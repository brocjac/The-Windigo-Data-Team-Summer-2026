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sconsinPrep" sheetId="1" r:id="rId5"/>
    <sheet state="visible" name="Locations" sheetId="2" r:id="rId6"/>
  </sheets>
  <definedNames/>
  <calcPr/>
</workbook>
</file>

<file path=xl/sharedStrings.xml><?xml version="1.0" encoding="utf-8"?>
<sst xmlns="http://schemas.openxmlformats.org/spreadsheetml/2006/main" count="4631" uniqueCount="837">
  <si>
    <t>Season</t>
  </si>
  <si>
    <t>Rank</t>
  </si>
  <si>
    <t>Team</t>
  </si>
  <si>
    <t>PTS</t>
  </si>
  <si>
    <t>GP</t>
  </si>
  <si>
    <t>W</t>
  </si>
  <si>
    <t>L</t>
  </si>
  <si>
    <t>T</t>
  </si>
  <si>
    <t>GF</t>
  </si>
  <si>
    <t>GA</t>
  </si>
  <si>
    <t>GD</t>
  </si>
  <si>
    <t>Overall</t>
  </si>
  <si>
    <t>Wins</t>
  </si>
  <si>
    <t>Losses</t>
  </si>
  <si>
    <t>Ties</t>
  </si>
  <si>
    <t>2024-2025 Regular Season</t>
  </si>
  <si>
    <t>New Richmond</t>
  </si>
  <si>
    <t>18-5-0</t>
  </si>
  <si>
    <t>Madison Edgewood</t>
  </si>
  <si>
    <t>18-6-0</t>
  </si>
  <si>
    <t>Hudson</t>
  </si>
  <si>
    <t>15-8-0</t>
  </si>
  <si>
    <t>Middleton</t>
  </si>
  <si>
    <t>14-10-0</t>
  </si>
  <si>
    <t>Verona</t>
  </si>
  <si>
    <t>Eau Claire Memorial</t>
  </si>
  <si>
    <t>13-9-2</t>
  </si>
  <si>
    <t>Stevens Point</t>
  </si>
  <si>
    <t>24-0-0</t>
  </si>
  <si>
    <t>Tomahawk</t>
  </si>
  <si>
    <t>20-3-0</t>
  </si>
  <si>
    <t>Brookfield</t>
  </si>
  <si>
    <t>21-3-0</t>
  </si>
  <si>
    <t>Waunakee</t>
  </si>
  <si>
    <t>McFarland</t>
  </si>
  <si>
    <t>20-3-1</t>
  </si>
  <si>
    <t>Arrowhead</t>
  </si>
  <si>
    <t>Monona Grove</t>
  </si>
  <si>
    <t>16-8-0</t>
  </si>
  <si>
    <t>Amery</t>
  </si>
  <si>
    <t>17-6-1</t>
  </si>
  <si>
    <t>Neenah/Hortonville/Menasha</t>
  </si>
  <si>
    <t>19-4-1</t>
  </si>
  <si>
    <t>Notre Dame</t>
  </si>
  <si>
    <t>15-7-1</t>
  </si>
  <si>
    <t>Wausau West</t>
  </si>
  <si>
    <t>Mosinee</t>
  </si>
  <si>
    <t>14-9-1</t>
  </si>
  <si>
    <t>Monroe</t>
  </si>
  <si>
    <t>10-13-0</t>
  </si>
  <si>
    <t>Oregon</t>
  </si>
  <si>
    <t>15-9-0</t>
  </si>
  <si>
    <t>River Falls</t>
  </si>
  <si>
    <t>12-12-0</t>
  </si>
  <si>
    <t>KMMO</t>
  </si>
  <si>
    <t>17-6-0</t>
  </si>
  <si>
    <t>West Bend</t>
  </si>
  <si>
    <t>17-7-0</t>
  </si>
  <si>
    <t>Sun Prairie</t>
  </si>
  <si>
    <t>10-14-0</t>
  </si>
  <si>
    <t>Reedsburg/Wis. Dells</t>
  </si>
  <si>
    <t>Fond du Lac Springs</t>
  </si>
  <si>
    <t>Somerset</t>
  </si>
  <si>
    <t>16-7-1</t>
  </si>
  <si>
    <t>Antigo</t>
  </si>
  <si>
    <t>11-10-1</t>
  </si>
  <si>
    <t>Chippewa Falls</t>
  </si>
  <si>
    <t>8-15-1</t>
  </si>
  <si>
    <t>Baldwin-Woodville</t>
  </si>
  <si>
    <t>Muskego</t>
  </si>
  <si>
    <t>16-7-0</t>
  </si>
  <si>
    <t>D.C. Everest</t>
  </si>
  <si>
    <t>15-8-1</t>
  </si>
  <si>
    <t>Sauk Prairie</t>
  </si>
  <si>
    <t>11-13-0</t>
  </si>
  <si>
    <t>Lakeland</t>
  </si>
  <si>
    <t>8-11-3</t>
  </si>
  <si>
    <t>WSFLG</t>
  </si>
  <si>
    <t>14-7-1</t>
  </si>
  <si>
    <t>Northland Pines</t>
  </si>
  <si>
    <t>12-12-2000</t>
  </si>
  <si>
    <t>Fond du Lac</t>
  </si>
  <si>
    <t>11-12-2001</t>
  </si>
  <si>
    <t>Hayward</t>
  </si>
  <si>
    <t>13-9-1</t>
  </si>
  <si>
    <t>Regis/Altoona/McDonell</t>
  </si>
  <si>
    <t>Madison West</t>
  </si>
  <si>
    <t>8-16-2000</t>
  </si>
  <si>
    <t>De Pere</t>
  </si>
  <si>
    <t>12-10-2001</t>
  </si>
  <si>
    <t>Bay Port</t>
  </si>
  <si>
    <t>6-17-2001</t>
  </si>
  <si>
    <t>Fox Cities</t>
  </si>
  <si>
    <t>13-10-0</t>
  </si>
  <si>
    <t>Madison Memorial</t>
  </si>
  <si>
    <t>9-14-2000</t>
  </si>
  <si>
    <t>Waukesha</t>
  </si>
  <si>
    <t>10-13-2000</t>
  </si>
  <si>
    <t>Marquette</t>
  </si>
  <si>
    <t>Beaver Dam</t>
  </si>
  <si>
    <t>7-15-2000</t>
  </si>
  <si>
    <t>Homestead</t>
  </si>
  <si>
    <t>13-11-0</t>
  </si>
  <si>
    <t>Kenosha</t>
  </si>
  <si>
    <t>11-11-2000</t>
  </si>
  <si>
    <t>Wisconsin Rapids</t>
  </si>
  <si>
    <t>Janesville</t>
  </si>
  <si>
    <t>5-19-2000</t>
  </si>
  <si>
    <t>Black River Falls</t>
  </si>
  <si>
    <t>14-9-0</t>
  </si>
  <si>
    <t>Stevens Point Pacelli</t>
  </si>
  <si>
    <t>9-16-2000</t>
  </si>
  <si>
    <t>Shawano/Bonduel</t>
  </si>
  <si>
    <t>Ashwaubenon</t>
  </si>
  <si>
    <t>Ashland</t>
  </si>
  <si>
    <t>4-17-2000</t>
  </si>
  <si>
    <t>Waupun</t>
  </si>
  <si>
    <t>Waupaca</t>
  </si>
  <si>
    <t>9-15-2000</t>
  </si>
  <si>
    <t>South Central</t>
  </si>
  <si>
    <t>7-16-2000</t>
  </si>
  <si>
    <t>Appleton United</t>
  </si>
  <si>
    <t>Baraboo/Portage</t>
  </si>
  <si>
    <t>Rice Lake</t>
  </si>
  <si>
    <t>7-14-2001</t>
  </si>
  <si>
    <t>Tomah/Sparta</t>
  </si>
  <si>
    <t>Viroqua</t>
  </si>
  <si>
    <t>9-11-2000</t>
  </si>
  <si>
    <t>Sheboygan</t>
  </si>
  <si>
    <t>12-10-2000</t>
  </si>
  <si>
    <t>Avalanche</t>
  </si>
  <si>
    <t>Onalaska/La Crosse</t>
  </si>
  <si>
    <t>Spooner</t>
  </si>
  <si>
    <t>5-16-2000</t>
  </si>
  <si>
    <t>Eau Claire North</t>
  </si>
  <si>
    <t>Medford</t>
  </si>
  <si>
    <t>4-20-2000</t>
  </si>
  <si>
    <t>Milton</t>
  </si>
  <si>
    <t>Menomonie</t>
  </si>
  <si>
    <t>6-18-2000</t>
  </si>
  <si>
    <t>East-Merrill</t>
  </si>
  <si>
    <t>Cedarburg</t>
  </si>
  <si>
    <t>Superior</t>
  </si>
  <si>
    <t>7-16-2001</t>
  </si>
  <si>
    <t>West Salem</t>
  </si>
  <si>
    <t>4-15-2000</t>
  </si>
  <si>
    <t>Beloit Memorial</t>
  </si>
  <si>
    <t>Whitefish Bay</t>
  </si>
  <si>
    <t>4-19-2001</t>
  </si>
  <si>
    <t>University School</t>
  </si>
  <si>
    <t>Chequamegon/Phillips/Butternut</t>
  </si>
  <si>
    <t>0-17-0</t>
  </si>
  <si>
    <t>Northwest Icemen</t>
  </si>
  <si>
    <t>5-18-2000</t>
  </si>
  <si>
    <t>Manitowoc</t>
  </si>
  <si>
    <t>1-12-2000</t>
  </si>
  <si>
    <t>Rhinelander</t>
  </si>
  <si>
    <t>3-21-2000</t>
  </si>
  <si>
    <t>Marshfield</t>
  </si>
  <si>
    <t>Oshkosh</t>
  </si>
  <si>
    <t>2-23-2000</t>
  </si>
  <si>
    <t>Stoughton</t>
  </si>
  <si>
    <t>0-18-0</t>
  </si>
  <si>
    <t>2023-2024 Regular Season</t>
  </si>
  <si>
    <t>19-2-2</t>
  </si>
  <si>
    <t>22-2-0</t>
  </si>
  <si>
    <t>18-5-1</t>
  </si>
  <si>
    <t>15-7-0</t>
  </si>
  <si>
    <t>19-3-1</t>
  </si>
  <si>
    <t>20-4-0</t>
  </si>
  <si>
    <t>11-13-2000</t>
  </si>
  <si>
    <t>13-8-1</t>
  </si>
  <si>
    <t>11-10-2002</t>
  </si>
  <si>
    <t>8-15-2001</t>
  </si>
  <si>
    <t>7-8-2000</t>
  </si>
  <si>
    <t>16-5-1</t>
  </si>
  <si>
    <t>11-11-2001</t>
  </si>
  <si>
    <t>13-10-1</t>
  </si>
  <si>
    <t>11-11-2002</t>
  </si>
  <si>
    <t>10-13-2001</t>
  </si>
  <si>
    <t>12-10-2002</t>
  </si>
  <si>
    <t>13-8-0</t>
  </si>
  <si>
    <t>12-11-2001</t>
  </si>
  <si>
    <t>14-8-1</t>
  </si>
  <si>
    <t>13-12-0</t>
  </si>
  <si>
    <t>13-10-2</t>
  </si>
  <si>
    <t>10-14-2000</t>
  </si>
  <si>
    <t>6-16-2000</t>
  </si>
  <si>
    <t>7-14-2000</t>
  </si>
  <si>
    <t>7-17-2000</t>
  </si>
  <si>
    <t>6-14-2000</t>
  </si>
  <si>
    <t>3-19-2002</t>
  </si>
  <si>
    <t>4-18-2001</t>
  </si>
  <si>
    <t>7-13-2001</t>
  </si>
  <si>
    <t>5-18-2001</t>
  </si>
  <si>
    <t>8-15-2000</t>
  </si>
  <si>
    <t>3-19-2000</t>
  </si>
  <si>
    <t>0-12-0</t>
  </si>
  <si>
    <t>5-15-2001</t>
  </si>
  <si>
    <t>8-12-2003</t>
  </si>
  <si>
    <t>6-16-2001</t>
  </si>
  <si>
    <t>2-18-2000</t>
  </si>
  <si>
    <t>1-17-2000</t>
  </si>
  <si>
    <t>2-19-2000</t>
  </si>
  <si>
    <t>2022-2023 Regular Season</t>
  </si>
  <si>
    <t>19-4-0</t>
  </si>
  <si>
    <t>16-6-1</t>
  </si>
  <si>
    <t>19-5-0</t>
  </si>
  <si>
    <t>14-8-2</t>
  </si>
  <si>
    <t>16-4-0</t>
  </si>
  <si>
    <t>14-4-2</t>
  </si>
  <si>
    <t>23-0-0</t>
  </si>
  <si>
    <t>17-5-0</t>
  </si>
  <si>
    <t>12-9-2000</t>
  </si>
  <si>
    <t>19-6-0</t>
  </si>
  <si>
    <t>18-8-0</t>
  </si>
  <si>
    <t>14-7-0</t>
  </si>
  <si>
    <t>18-4-0</t>
  </si>
  <si>
    <t>12-11-2000</t>
  </si>
  <si>
    <t>11-12-2000</t>
  </si>
  <si>
    <t>10-12-2002</t>
  </si>
  <si>
    <t>14-8-0</t>
  </si>
  <si>
    <t>4-11-2000</t>
  </si>
  <si>
    <t>7-15-2001</t>
  </si>
  <si>
    <t>7-13-2003</t>
  </si>
  <si>
    <t>3-12-2000</t>
  </si>
  <si>
    <t>8-14-2002</t>
  </si>
  <si>
    <t>3-18-2000</t>
  </si>
  <si>
    <t>5-17-2000</t>
  </si>
  <si>
    <t>6-17-2000</t>
  </si>
  <si>
    <t>2-22-2000</t>
  </si>
  <si>
    <t>8-14-2000</t>
  </si>
  <si>
    <t>1-23-2000</t>
  </si>
  <si>
    <t>Madison La Follette/East</t>
  </si>
  <si>
    <t>10-9-2000</t>
  </si>
  <si>
    <t>0-14-0</t>
  </si>
  <si>
    <t>4-18-2000</t>
  </si>
  <si>
    <t>2021-2022 Regular Season</t>
  </si>
  <si>
    <t>17-5-1</t>
  </si>
  <si>
    <t>19-2-1</t>
  </si>
  <si>
    <t>14-5-0</t>
  </si>
  <si>
    <t>21-2-0</t>
  </si>
  <si>
    <t>13-7-0</t>
  </si>
  <si>
    <t>15-4-0</t>
  </si>
  <si>
    <t>15-5-3</t>
  </si>
  <si>
    <t>8-12-2001</t>
  </si>
  <si>
    <t>8-13-2002</t>
  </si>
  <si>
    <t>9-13-2001</t>
  </si>
  <si>
    <t>9-9-2000</t>
  </si>
  <si>
    <t>7-14-2003</t>
  </si>
  <si>
    <t>2-20-2002</t>
  </si>
  <si>
    <t>16-5-0</t>
  </si>
  <si>
    <t>4-14-2000</t>
  </si>
  <si>
    <t>6-13-2001</t>
  </si>
  <si>
    <t>6-16-2002</t>
  </si>
  <si>
    <t>6-15-2000</t>
  </si>
  <si>
    <t>0-19-1</t>
  </si>
  <si>
    <t>1-19-2001</t>
  </si>
  <si>
    <t>7-11-2000</t>
  </si>
  <si>
    <t>2-21-2000</t>
  </si>
  <si>
    <t>1-21-2001</t>
  </si>
  <si>
    <t>2020-2021 Regular Season</t>
  </si>
  <si>
    <t>5-0-0</t>
  </si>
  <si>
    <t>6-0-0</t>
  </si>
  <si>
    <t>9-0-0</t>
  </si>
  <si>
    <t>12-0-0</t>
  </si>
  <si>
    <t>5-1-2000</t>
  </si>
  <si>
    <t>4-2-2000</t>
  </si>
  <si>
    <t>10-2-2000</t>
  </si>
  <si>
    <t>10-0-0</t>
  </si>
  <si>
    <t>5-2-2000</t>
  </si>
  <si>
    <t>1-1-2000</t>
  </si>
  <si>
    <t>3-0-0</t>
  </si>
  <si>
    <t>11-3-2000</t>
  </si>
  <si>
    <t>6-1-2000</t>
  </si>
  <si>
    <t>2-3-2001</t>
  </si>
  <si>
    <t>4-3-2001</t>
  </si>
  <si>
    <t>4-4-2001</t>
  </si>
  <si>
    <t>1-5-2001</t>
  </si>
  <si>
    <t>7-2-2000</t>
  </si>
  <si>
    <t>2-2-2000</t>
  </si>
  <si>
    <t>5-3-2000</t>
  </si>
  <si>
    <t>2-4-2000</t>
  </si>
  <si>
    <t>4-6-2001</t>
  </si>
  <si>
    <t>6-4-2000</t>
  </si>
  <si>
    <t>0-0-0</t>
  </si>
  <si>
    <t>8-2-2000</t>
  </si>
  <si>
    <t>9-2-2000</t>
  </si>
  <si>
    <t>6-4-2001</t>
  </si>
  <si>
    <t>7-5-2000</t>
  </si>
  <si>
    <t>1-2-2000</t>
  </si>
  <si>
    <t>5-5-2000</t>
  </si>
  <si>
    <t>3-6-2000</t>
  </si>
  <si>
    <t>0-8-0</t>
  </si>
  <si>
    <t>4-6-2000</t>
  </si>
  <si>
    <t>2-10-2000</t>
  </si>
  <si>
    <t>0-1-0</t>
  </si>
  <si>
    <t>3-3-2000</t>
  </si>
  <si>
    <t>1-5-2000</t>
  </si>
  <si>
    <t>1-6-2000</t>
  </si>
  <si>
    <t>2-8-2000</t>
  </si>
  <si>
    <t>2-6-2000</t>
  </si>
  <si>
    <t>4-0-0</t>
  </si>
  <si>
    <t>0-6-0</t>
  </si>
  <si>
    <t>1-3-2000</t>
  </si>
  <si>
    <t>0-3-0</t>
  </si>
  <si>
    <t>4-1-2000</t>
  </si>
  <si>
    <t>2-5-2000</t>
  </si>
  <si>
    <t>1-0-0</t>
  </si>
  <si>
    <t>0-2-0</t>
  </si>
  <si>
    <t>0-10-0</t>
  </si>
  <si>
    <t>2019-2020 Regular Season</t>
  </si>
  <si>
    <t>18-4-2</t>
  </si>
  <si>
    <t>16-4-1</t>
  </si>
  <si>
    <t>18-2-2</t>
  </si>
  <si>
    <t>22-0-2</t>
  </si>
  <si>
    <t>13-3-1</t>
  </si>
  <si>
    <t>14-7-2</t>
  </si>
  <si>
    <t>21-1-1</t>
  </si>
  <si>
    <t>14-6-2</t>
  </si>
  <si>
    <t>10-11-2003</t>
  </si>
  <si>
    <t>9-14-2001</t>
  </si>
  <si>
    <t>17-6-2</t>
  </si>
  <si>
    <t>10-12-2001</t>
  </si>
  <si>
    <t>12-8-2004</t>
  </si>
  <si>
    <t>10-11-2002</t>
  </si>
  <si>
    <t>7-15-2002</t>
  </si>
  <si>
    <t>9-12-2003</t>
  </si>
  <si>
    <t>8-14-2001</t>
  </si>
  <si>
    <t>9-13-2000</t>
  </si>
  <si>
    <t>5-17-2002</t>
  </si>
  <si>
    <t>8-13-2001</t>
  </si>
  <si>
    <t>4-17-2001</t>
  </si>
  <si>
    <t>12-9-2001</t>
  </si>
  <si>
    <t>3-20-2000</t>
  </si>
  <si>
    <t>4-19-2000</t>
  </si>
  <si>
    <t>5-17-2001</t>
  </si>
  <si>
    <t>2-20-2001</t>
  </si>
  <si>
    <t>5-9-2001</t>
  </si>
  <si>
    <t>2018-2019 Regular Season</t>
  </si>
  <si>
    <t>17-5-2</t>
  </si>
  <si>
    <t>20-2-0</t>
  </si>
  <si>
    <t>17-4-2</t>
  </si>
  <si>
    <t>16-6-2</t>
  </si>
  <si>
    <t>11-10-2000</t>
  </si>
  <si>
    <t>18-3-2</t>
  </si>
  <si>
    <t>12-6-2005</t>
  </si>
  <si>
    <t>15-7-2</t>
  </si>
  <si>
    <t>16-4-4</t>
  </si>
  <si>
    <t>10-12-2000</t>
  </si>
  <si>
    <t>10-10-2001</t>
  </si>
  <si>
    <t>12-8-2002</t>
  </si>
  <si>
    <t>10-11-2000</t>
  </si>
  <si>
    <t>13-8-3</t>
  </si>
  <si>
    <t>11-7-2005</t>
  </si>
  <si>
    <t>6-15-2002</t>
  </si>
  <si>
    <t>4-16-2000</t>
  </si>
  <si>
    <t>6-8-2000</t>
  </si>
  <si>
    <t>16-6-0</t>
  </si>
  <si>
    <t>1-20-2000</t>
  </si>
  <si>
    <t>1-16-2000</t>
  </si>
  <si>
    <t>1-18-2001</t>
  </si>
  <si>
    <t>2017-2018 Regular Season</t>
  </si>
  <si>
    <t>17-3-3</t>
  </si>
  <si>
    <t>22-1-1</t>
  </si>
  <si>
    <t>20-2-2</t>
  </si>
  <si>
    <t>17-4-3</t>
  </si>
  <si>
    <t>15-4-1</t>
  </si>
  <si>
    <t>La Crosse Logan/Central</t>
  </si>
  <si>
    <t>11-9-2001</t>
  </si>
  <si>
    <t>4-13-2001</t>
  </si>
  <si>
    <t>Sparta</t>
  </si>
  <si>
    <t>6-11-2001</t>
  </si>
  <si>
    <t>10-9-2004</t>
  </si>
  <si>
    <t>9-10-2000</t>
  </si>
  <si>
    <t>3-16-2002</t>
  </si>
  <si>
    <t>1-19-2000</t>
  </si>
  <si>
    <t>Tomah</t>
  </si>
  <si>
    <t>1-22-2000</t>
  </si>
  <si>
    <t>2-19-2001</t>
  </si>
  <si>
    <t>2016-2017 Regular Season</t>
  </si>
  <si>
    <t>21-2-1</t>
  </si>
  <si>
    <t>15-6-0</t>
  </si>
  <si>
    <t>13-8-2</t>
  </si>
  <si>
    <t>9-13-2002</t>
  </si>
  <si>
    <t>8-10-2002</t>
  </si>
  <si>
    <t>15-5-0</t>
  </si>
  <si>
    <t>17-3-1</t>
  </si>
  <si>
    <t>8-12-2000</t>
  </si>
  <si>
    <t>10-10-2002</t>
  </si>
  <si>
    <t>12-8-2000</t>
  </si>
  <si>
    <t>6-13-2002</t>
  </si>
  <si>
    <t>5-15-2000</t>
  </si>
  <si>
    <t>3-14-2002</t>
  </si>
  <si>
    <t>7-12-2001</t>
  </si>
  <si>
    <t>7-6-2001</t>
  </si>
  <si>
    <t>1-3-2001</t>
  </si>
  <si>
    <t>3-16-2000</t>
  </si>
  <si>
    <t>Green Bay United</t>
  </si>
  <si>
    <t>3-18-2001</t>
  </si>
  <si>
    <t>2-21-2001</t>
  </si>
  <si>
    <t>2015-2016 Regular Season</t>
  </si>
  <si>
    <t>20-4-1</t>
  </si>
  <si>
    <t>19-3-2</t>
  </si>
  <si>
    <t>16-5-3</t>
  </si>
  <si>
    <t>14-5-1</t>
  </si>
  <si>
    <t>19-3-0</t>
  </si>
  <si>
    <t>11-8-2002</t>
  </si>
  <si>
    <t>13-6-1</t>
  </si>
  <si>
    <t>5-13-2001</t>
  </si>
  <si>
    <t>13-9-0</t>
  </si>
  <si>
    <t>12-9-2002</t>
  </si>
  <si>
    <t>6-14-2001</t>
  </si>
  <si>
    <t>Wausau East</t>
  </si>
  <si>
    <t>2-20-2000</t>
  </si>
  <si>
    <t>3-15-2001</t>
  </si>
  <si>
    <t>Altoona</t>
  </si>
  <si>
    <t>4-8-2002</t>
  </si>
  <si>
    <t>Providence Catholic</t>
  </si>
  <si>
    <t>4-15-2001</t>
  </si>
  <si>
    <t>3-12-2001</t>
  </si>
  <si>
    <t>Grafton</t>
  </si>
  <si>
    <t>0-22-1</t>
  </si>
  <si>
    <t>2014-2015 Regular Season</t>
  </si>
  <si>
    <t>16-4-3</t>
  </si>
  <si>
    <t>12-7-2005</t>
  </si>
  <si>
    <t>16-5-2</t>
  </si>
  <si>
    <t>9-12-2000</t>
  </si>
  <si>
    <t>5-13-2000</t>
  </si>
  <si>
    <t>9-10-2005</t>
  </si>
  <si>
    <t>9-7-2001</t>
  </si>
  <si>
    <t>8-11-2001</t>
  </si>
  <si>
    <t>10-11-2001</t>
  </si>
  <si>
    <t>11-10-2001</t>
  </si>
  <si>
    <t>8-13-2000</t>
  </si>
  <si>
    <t>3-19-2001</t>
  </si>
  <si>
    <t>5-14-2000</t>
  </si>
  <si>
    <t>1-21-2000</t>
  </si>
  <si>
    <t>3-14-2000</t>
  </si>
  <si>
    <t>3-20-2001</t>
  </si>
  <si>
    <t>0-4-0</t>
  </si>
  <si>
    <t>Wild United</t>
  </si>
  <si>
    <t>1-9-2001</t>
  </si>
  <si>
    <t>2013-2014 Regular Season</t>
  </si>
  <si>
    <t>21-1-2</t>
  </si>
  <si>
    <t>23-1-0</t>
  </si>
  <si>
    <t>18-4-1</t>
  </si>
  <si>
    <t>12-7-2001</t>
  </si>
  <si>
    <t>18-3-1</t>
  </si>
  <si>
    <t>12-6-2004</t>
  </si>
  <si>
    <t>10-8-2004</t>
  </si>
  <si>
    <t>9-12-2001</t>
  </si>
  <si>
    <t>16-3-0</t>
  </si>
  <si>
    <t>11-10-2003</t>
  </si>
  <si>
    <t>14-6-0</t>
  </si>
  <si>
    <t>8-13-2003</t>
  </si>
  <si>
    <t>6-15-2001</t>
  </si>
  <si>
    <t>6-13-2003</t>
  </si>
  <si>
    <t>3-17-2000</t>
  </si>
  <si>
    <t>9-6-2001</t>
  </si>
  <si>
    <t>4-12-2001</t>
  </si>
  <si>
    <t>0-16-0</t>
  </si>
  <si>
    <t>6-11-2000</t>
  </si>
  <si>
    <t>2-17-2000</t>
  </si>
  <si>
    <t>0-20-0</t>
  </si>
  <si>
    <t>2012-2013 Regular Season</t>
  </si>
  <si>
    <t>15-6-2</t>
  </si>
  <si>
    <t>19-1-2</t>
  </si>
  <si>
    <t>15-6-1</t>
  </si>
  <si>
    <t>20-2-1</t>
  </si>
  <si>
    <t>10-9-2002</t>
  </si>
  <si>
    <t>12-7-2003</t>
  </si>
  <si>
    <t>13-7-2</t>
  </si>
  <si>
    <t>13-7-4</t>
  </si>
  <si>
    <t>9-9-2001</t>
  </si>
  <si>
    <t>12-6-2001</t>
  </si>
  <si>
    <t>7-11-2004</t>
  </si>
  <si>
    <t>7-9-2002</t>
  </si>
  <si>
    <t>6-12-2001</t>
  </si>
  <si>
    <t>9-10-2001</t>
  </si>
  <si>
    <t>5-16-2001</t>
  </si>
  <si>
    <t>Barron/Chetek</t>
  </si>
  <si>
    <t>10-7-2000</t>
  </si>
  <si>
    <t>5-14-2001</t>
  </si>
  <si>
    <t>8-10-2000</t>
  </si>
  <si>
    <t>13-3-2</t>
  </si>
  <si>
    <t>11-6-2001</t>
  </si>
  <si>
    <t>4-13-2000</t>
  </si>
  <si>
    <t>1-15-2000</t>
  </si>
  <si>
    <t>1-22-2001</t>
  </si>
  <si>
    <t>0-21-0</t>
  </si>
  <si>
    <t>2-16-2000</t>
  </si>
  <si>
    <t>2011-2012 Regular Season</t>
  </si>
  <si>
    <t>15-5-2</t>
  </si>
  <si>
    <t>11-8-2001</t>
  </si>
  <si>
    <t>9-11-2001</t>
  </si>
  <si>
    <t>OldBrook</t>
  </si>
  <si>
    <t>15-5-1</t>
  </si>
  <si>
    <t>11-9-2000</t>
  </si>
  <si>
    <t>10-9-2003</t>
  </si>
  <si>
    <t>9-11-2002</t>
  </si>
  <si>
    <t>10-10-2003</t>
  </si>
  <si>
    <t>6-8-2003</t>
  </si>
  <si>
    <t>3-17-2002</t>
  </si>
  <si>
    <t>Catholic Memorial/Pius XI</t>
  </si>
  <si>
    <t>5-14-2002</t>
  </si>
  <si>
    <t>9-10-2002</t>
  </si>
  <si>
    <t>2-13-2000</t>
  </si>
  <si>
    <t>11-8-2000</t>
  </si>
  <si>
    <t>2010-2011 Regular Season</t>
  </si>
  <si>
    <t>16-3-1</t>
  </si>
  <si>
    <t>24-1-0</t>
  </si>
  <si>
    <t>13-7-1</t>
  </si>
  <si>
    <t>13-6-3</t>
  </si>
  <si>
    <t>4-16-2003</t>
  </si>
  <si>
    <t>3-15-2000</t>
  </si>
  <si>
    <t>12-7-2002</t>
  </si>
  <si>
    <t>2-17-2001</t>
  </si>
  <si>
    <t>OldWSFLG</t>
  </si>
  <si>
    <t>22-1-0</t>
  </si>
  <si>
    <t>6-9-2001</t>
  </si>
  <si>
    <t>13-6-2</t>
  </si>
  <si>
    <t>7-12-2003</t>
  </si>
  <si>
    <t>7-6-2000</t>
  </si>
  <si>
    <t>Ashland2</t>
  </si>
  <si>
    <t>0-18-3</t>
  </si>
  <si>
    <t>St. John&amp;#39;s Military</t>
  </si>
  <si>
    <t>0-23-0</t>
  </si>
  <si>
    <t>2009-2010 Regular</t>
  </si>
  <si>
    <t>71</t>
  </si>
  <si>
    <t>91</t>
  </si>
  <si>
    <t>21</t>
  </si>
  <si>
    <t>23</t>
  </si>
  <si>
    <t>46</t>
  </si>
  <si>
    <t>35</t>
  </si>
  <si>
    <t>93</t>
  </si>
  <si>
    <t>51</t>
  </si>
  <si>
    <t>45</t>
  </si>
  <si>
    <t>34</t>
  </si>
  <si>
    <t>47</t>
  </si>
  <si>
    <t>72</t>
  </si>
  <si>
    <t>68</t>
  </si>
  <si>
    <t>49</t>
  </si>
  <si>
    <t>83</t>
  </si>
  <si>
    <t>65</t>
  </si>
  <si>
    <t>26</t>
  </si>
  <si>
    <t>31</t>
  </si>
  <si>
    <t>18</t>
  </si>
  <si>
    <t>9</t>
  </si>
  <si>
    <t>42</t>
  </si>
  <si>
    <t>39</t>
  </si>
  <si>
    <t>58</t>
  </si>
  <si>
    <t>116</t>
  </si>
  <si>
    <t>55</t>
  </si>
  <si>
    <t>32</t>
  </si>
  <si>
    <t>36</t>
  </si>
  <si>
    <t>44</t>
  </si>
  <si>
    <t>38</t>
  </si>
  <si>
    <t>27</t>
  </si>
  <si>
    <t>29</t>
  </si>
  <si>
    <t>33</t>
  </si>
  <si>
    <t>43</t>
  </si>
  <si>
    <t>30</t>
  </si>
  <si>
    <t>52</t>
  </si>
  <si>
    <t>60</t>
  </si>
  <si>
    <t>63</t>
  </si>
  <si>
    <t>64</t>
  </si>
  <si>
    <t>12</t>
  </si>
  <si>
    <t>59</t>
  </si>
  <si>
    <t>41</t>
  </si>
  <si>
    <t>53</t>
  </si>
  <si>
    <t>14</t>
  </si>
  <si>
    <t>15</t>
  </si>
  <si>
    <t>22</t>
  </si>
  <si>
    <t>19</t>
  </si>
  <si>
    <t>28</t>
  </si>
  <si>
    <t>24</t>
  </si>
  <si>
    <t>16</t>
  </si>
  <si>
    <t>37</t>
  </si>
  <si>
    <t>11</t>
  </si>
  <si>
    <t>20</t>
  </si>
  <si>
    <t>5</t>
  </si>
  <si>
    <t>4</t>
  </si>
  <si>
    <t>1</t>
  </si>
  <si>
    <t>LaCrescent</t>
  </si>
  <si>
    <t>0</t>
  </si>
  <si>
    <t>Location_ID</t>
  </si>
  <si>
    <t>Rink Name</t>
  </si>
  <si>
    <t>Address</t>
  </si>
  <si>
    <t>Latitude</t>
  </si>
  <si>
    <t>Longitude</t>
  </si>
  <si>
    <t>L1</t>
  </si>
  <si>
    <t>Amery Youth Hockey Association</t>
  </si>
  <si>
    <t>1065 Riverplace Dr, Amery, WI 54001, USA</t>
  </si>
  <si>
    <t>L10</t>
  </si>
  <si>
    <t>Bob Suter's LEGACY20 Arena Middleton</t>
  </si>
  <si>
    <t>2616 N Pleasant View Rd, Middleton, WI 53562, USA</t>
  </si>
  <si>
    <t>L11</t>
  </si>
  <si>
    <t>Chequamegon Ice Arena</t>
  </si>
  <si>
    <t>1047 E Hwy 13, Park Falls, WI 54552</t>
  </si>
  <si>
    <t>L12</t>
  </si>
  <si>
    <t>Chippewa Area Ice Arena</t>
  </si>
  <si>
    <t>839 1st Ave, Chippewa Falls, WI 54729, USA</t>
  </si>
  <si>
    <t>L13</t>
  </si>
  <si>
    <t>Cornerstone Community Center</t>
  </si>
  <si>
    <t>1640 Fernando Dr, Ashwaubenon, WI 54115</t>
  </si>
  <si>
    <t>1640 Fernando Dr, Ashwaubenon, WI 54115, USA</t>
  </si>
  <si>
    <t>1640 Fernando Dr, De Pere, WI 54115</t>
  </si>
  <si>
    <t>L14</t>
  </si>
  <si>
    <t>De Pere Ice Arena</t>
  </si>
  <si>
    <t>1450 Ft Howard Ave, De Pere, WI 54115, USA</t>
  </si>
  <si>
    <t>L15</t>
  </si>
  <si>
    <t>Dunn County Ice Arena</t>
  </si>
  <si>
    <t>620 17th St SE, Menomonie, WI 54751, USA</t>
  </si>
  <si>
    <t>L16</t>
  </si>
  <si>
    <t>Eagle River Sports Arena</t>
  </si>
  <si>
    <t>4149 WI‑70, Eagle River, WI 54521</t>
  </si>
  <si>
    <t>L17</t>
  </si>
  <si>
    <t>Eble Ice Arena</t>
  </si>
  <si>
    <t>19400 W Bluemound Rd, Brookfield, WI 53045</t>
  </si>
  <si>
    <t>19400 W Bluemound Rd, Brookfield, WI 53045, USA</t>
  </si>
  <si>
    <t>L18</t>
  </si>
  <si>
    <t>Green Bay United Ice Hockey</t>
  </si>
  <si>
    <t>1640 Fernando Dr, De Pere, WI 54115, USA</t>
  </si>
  <si>
    <t>L19</t>
  </si>
  <si>
    <t>Greenheck Field House</t>
  </si>
  <si>
    <t>6400 Alderson St, Weston, WI 54476, USA</t>
  </si>
  <si>
    <t>L2</t>
  </si>
  <si>
    <t>Antigo Ice Arena</t>
  </si>
  <si>
    <t>Antigo, WI 54409, USA</t>
  </si>
  <si>
    <t>L20</t>
  </si>
  <si>
    <t>Hayward Sports Center</t>
  </si>
  <si>
    <t>10474 California Ave, Hayward, WI 54843</t>
  </si>
  <si>
    <t>L21</t>
  </si>
  <si>
    <t>Hobbs Municipal Ice Center</t>
  </si>
  <si>
    <t>915 Menomonie St, Eau Claire, WI 54703</t>
  </si>
  <si>
    <t>915 Menomonie St, Eau Claire, WI 54703, USA</t>
  </si>
  <si>
    <t>L22</t>
  </si>
  <si>
    <t>Howard G. Mullett Ice Center</t>
  </si>
  <si>
    <t>700 North Ave, Hartland, WI 53029</t>
  </si>
  <si>
    <t>St. John's Military Academy</t>
  </si>
  <si>
    <t>L23</t>
  </si>
  <si>
    <t>Hudson Youth Hockey Association</t>
  </si>
  <si>
    <t>1820 Hanley Rd, Hudson, WI 54016, USA</t>
  </si>
  <si>
    <t>L24</t>
  </si>
  <si>
    <t>Ice Hawks Arena</t>
  </si>
  <si>
    <t>801 Badger Ave, Stevens Point, WI 54481, USA</t>
  </si>
  <si>
    <t>L25</t>
  </si>
  <si>
    <t>Janesville Ice Arena</t>
  </si>
  <si>
    <t>821 Beloit Ave, Janesville, WI 53545, USA</t>
  </si>
  <si>
    <t>L26</t>
  </si>
  <si>
    <t>K.B. Willett Ice Arena</t>
  </si>
  <si>
    <t>1000 Minnesota Ave, Stevens Point, WI 54481, USA</t>
  </si>
  <si>
    <t>L27</t>
  </si>
  <si>
    <t>Kenosha Ice Arena</t>
  </si>
  <si>
    <t>7727 60th Ave, Kenosha, WI 53142, USA</t>
  </si>
  <si>
    <t>L28</t>
  </si>
  <si>
    <t>Kettle Moraine Ice Center</t>
  </si>
  <si>
    <t>2330 S Main St, West Bend, WI 53095, USA</t>
  </si>
  <si>
    <t>L29</t>
  </si>
  <si>
    <t>La Crescent Community Ice Arena</t>
  </si>
  <si>
    <t>520 S 14th St, La Crescent, MN 55947, USA</t>
  </si>
  <si>
    <t>L3</t>
  </si>
  <si>
    <t>Appleton Family Ice Center</t>
  </si>
  <si>
    <t>1717 E Witzke Blvd, Appleton, WI 54911, USA</t>
  </si>
  <si>
    <t>L30</t>
  </si>
  <si>
    <t>L31</t>
  </si>
  <si>
    <t>Lake Ridge Bank River Rink</t>
  </si>
  <si>
    <t>6320 Inland Wy, Monona, WI 53716, USA</t>
  </si>
  <si>
    <t>L32</t>
  </si>
  <si>
    <t>Lakeland Hawks Ice Arena</t>
  </si>
  <si>
    <t>7849 Airport Rd, Minocqua, WI 54548</t>
  </si>
  <si>
    <t>L33</t>
  </si>
  <si>
    <t>Madison Ice Arena</t>
  </si>
  <si>
    <t>725 Forward Dr, Madison, WI 53711</t>
  </si>
  <si>
    <t>725 Forward Dr, Madison, WI 53711, USA</t>
  </si>
  <si>
    <t>L34</t>
  </si>
  <si>
    <t>Mandt Community Center</t>
  </si>
  <si>
    <t>400 Mandt Pkwy, Stoughton, WI 53589, USA</t>
  </si>
  <si>
    <t>L35</t>
  </si>
  <si>
    <t>Manitowoc County Ice Center</t>
  </si>
  <si>
    <t>4931 Expo Dr, Manitowoc, WI 54220, USA</t>
  </si>
  <si>
    <t>L36</t>
  </si>
  <si>
    <t>Marathon County Ice Arena</t>
  </si>
  <si>
    <t>1201 Stewart Ave, Wausau, WI 54401, USA</t>
  </si>
  <si>
    <t>L37</t>
  </si>
  <si>
    <t>Marshfield Area Ice Arena</t>
  </si>
  <si>
    <t>405 E 17th St, Marshfield, WI 54449, USA</t>
  </si>
  <si>
    <t>L38</t>
  </si>
  <si>
    <t>McFarland Community Ice Arena</t>
  </si>
  <si>
    <t>4802 Marsh Rd, McFarland, WI 53558</t>
  </si>
  <si>
    <t>L39</t>
  </si>
  <si>
    <t>Medford Area Youth Hockey Association</t>
  </si>
  <si>
    <t>220 S Wisconsin Ave, Medford, WI 54451</t>
  </si>
  <si>
    <t>L4</t>
  </si>
  <si>
    <t>Arctic Ice Arena</t>
  </si>
  <si>
    <t>10700 160th St, Orland Park, IL 60467</t>
  </si>
  <si>
    <t>L40</t>
  </si>
  <si>
    <t>Milt Lunda Memorial Arena</t>
  </si>
  <si>
    <t>388 Melrose St, Black River Falls, WI 54615, USA</t>
  </si>
  <si>
    <t>L41</t>
  </si>
  <si>
    <t>Mosinee Hockey Club</t>
  </si>
  <si>
    <t>709 11th St, Mosinee, WI 54455, USA</t>
  </si>
  <si>
    <t>L42</t>
  </si>
  <si>
    <t>Naga‑Waukee Ice Arena</t>
  </si>
  <si>
    <t>2699 Golf Rd, Delafield, WI 53018</t>
  </si>
  <si>
    <t>L43</t>
  </si>
  <si>
    <t>New Richmond Youth Hockey Association</t>
  </si>
  <si>
    <t>450 Sports Center Rd, New Richmond, WI 54017, USA</t>
  </si>
  <si>
    <t>L44</t>
  </si>
  <si>
    <t>Onalaska Omni Center</t>
  </si>
  <si>
    <t>255 Riders Club Rd, Onalaska, WI 54650</t>
  </si>
  <si>
    <t>255 Riders Club Rd, Onalaska, WI 54650, USA</t>
  </si>
  <si>
    <t>L45</t>
  </si>
  <si>
    <t>Oregon Ice Arena</t>
  </si>
  <si>
    <t>100 N Perry Pkwy, Oregon, WI 53575</t>
  </si>
  <si>
    <t>L46</t>
  </si>
  <si>
    <t>Oshkosh Community YMCA- 20th Ave</t>
  </si>
  <si>
    <t>3303 W 20th Ave, Oshkosh, WI 54904, USA</t>
  </si>
  <si>
    <t>L47</t>
  </si>
  <si>
    <t>Ozaukee Ice Center</t>
  </si>
  <si>
    <t>5505 Pioneer Rd #144n, Mequon, WI 53097, USA</t>
  </si>
  <si>
    <t>L48</t>
  </si>
  <si>
    <t>The Ponds of Brookfield Ice Arena</t>
  </si>
  <si>
    <t>2810 N Calhoun Rd, Brookfield, WI 53005</t>
  </si>
  <si>
    <t>2810 N Calhoun Rd, Brookfield, WI 53005, USA</t>
  </si>
  <si>
    <t>L49</t>
  </si>
  <si>
    <t>Poppy Waterman Ice Arena</t>
  </si>
  <si>
    <t>112 Miller Dr, Baraboo, WI 53913</t>
  </si>
  <si>
    <t>L5</t>
  </si>
  <si>
    <t>Ashland Youth Hockey</t>
  </si>
  <si>
    <t>320 Depot Dr, Ashland, WI 54806, USA</t>
  </si>
  <si>
    <t>L50</t>
  </si>
  <si>
    <t>112 Miller Dr, Baraboo, WI 53913, USA</t>
  </si>
  <si>
    <t>L51</t>
  </si>
  <si>
    <t>Reedsburg Ice Arena</t>
  </si>
  <si>
    <t>1411 N Viking Dr, Reedsburg, WI 53959, USA</t>
  </si>
  <si>
    <t>L52</t>
  </si>
  <si>
    <t>Rhinelander Ice Arena</t>
  </si>
  <si>
    <t>2021 E Timber Dr, Rhinelander, WI 54501, USA</t>
  </si>
  <si>
    <t>L53</t>
  </si>
  <si>
    <t>Rice Lake Hockey Arena</t>
  </si>
  <si>
    <t>1204 Hammond Ave, Rice Lake, WI 54868, USA</t>
  </si>
  <si>
    <t>L54</t>
  </si>
  <si>
    <t>Sauk Prairie Ice Arena</t>
  </si>
  <si>
    <t>1700 Tower St, Prairie du Sac, WI 53578, USA</t>
  </si>
  <si>
    <t>L55</t>
  </si>
  <si>
    <t>Shawano Hockey League</t>
  </si>
  <si>
    <t>251 S Waukechon St, Shawano, WI 54166, USA</t>
  </si>
  <si>
    <t>L56</t>
  </si>
  <si>
    <t>Sheboygan Lakers Ice Center</t>
  </si>
  <si>
    <t>1202 S Wildwood Ave, Sheboygan, WI 53081, USA</t>
  </si>
  <si>
    <t>L57</t>
  </si>
  <si>
    <t>Siren Ice Arena</t>
  </si>
  <si>
    <t>24022 State Rd 35, Siren, WI 54872</t>
  </si>
  <si>
    <t>L58</t>
  </si>
  <si>
    <t>SLICE (Stoughton Ice Arena)</t>
  </si>
  <si>
    <t>1124 Jackson St, Stoughton, WI 53589</t>
  </si>
  <si>
    <t>L59</t>
  </si>
  <si>
    <t>L6</t>
  </si>
  <si>
    <t>Barron County Ice Arena</t>
  </si>
  <si>
    <t>525 E Birch Ave, Barron, WI 54812</t>
  </si>
  <si>
    <t>525 E Birch Ave, Barron, WI 54812, USA</t>
  </si>
  <si>
    <t>L60</t>
  </si>
  <si>
    <t>Smith Center Ice Arena</t>
  </si>
  <si>
    <t>1100 Marc Dr, Merrill, WI 54452</t>
  </si>
  <si>
    <t>L61</t>
  </si>
  <si>
    <t>Somerset Ice Arena</t>
  </si>
  <si>
    <t>529 Main St, Somerset, WI 54025, USA</t>
  </si>
  <si>
    <t>L62</t>
  </si>
  <si>
    <t>South Wood County Recreation Center</t>
  </si>
  <si>
    <t>2711 16th St S, Wisconsin Rapids, WI 54494, USA</t>
  </si>
  <si>
    <t>L63</t>
  </si>
  <si>
    <t>Sparta Youth Hockey</t>
  </si>
  <si>
    <t>1121 E Montgomery St, Sparta, WI 54656, USA</t>
  </si>
  <si>
    <t>L64</t>
  </si>
  <si>
    <t>Spooner Civic Center</t>
  </si>
  <si>
    <t>301 Walnut St, Spooner, WI 54801</t>
  </si>
  <si>
    <t>L65</t>
  </si>
  <si>
    <t>Sun Prairie Ice Arena</t>
  </si>
  <si>
    <t>838 Grove St, Sun Prairie, WI 53590, USA</t>
  </si>
  <si>
    <t>L66</t>
  </si>
  <si>
    <t>Superior Ice Arena (Wessman Arena)</t>
  </si>
  <si>
    <t>2701 Catlin Ave, Superior, WI 54880</t>
  </si>
  <si>
    <t>L67</t>
  </si>
  <si>
    <t>The Ice Pond at Waunakee</t>
  </si>
  <si>
    <t>1110 Prairie View Dr, Waunakee, WI 53597, USA</t>
  </si>
  <si>
    <t>L68</t>
  </si>
  <si>
    <t>Tomah Ice Center</t>
  </si>
  <si>
    <t>1625 Butts Ave, Tomah, WI 54660, USA</t>
  </si>
  <si>
    <t>L69</t>
  </si>
  <si>
    <t>Tomahawk Hockey Association</t>
  </si>
  <si>
    <t>F7F5+5J9, 900 W Somo Ave, Tomahawk, WI 54487, USA</t>
  </si>
  <si>
    <t>L7</t>
  </si>
  <si>
    <t>Beaver Dam Family Center Ice Arena</t>
  </si>
  <si>
    <t>609 Gould St, Beaver Dam, WI 53916, USA</t>
  </si>
  <si>
    <t>L70</t>
  </si>
  <si>
    <t>Tri-County Ice Arena</t>
  </si>
  <si>
    <t>700 Shady Ln, Neenah, WI 54956, USA</t>
  </si>
  <si>
    <t>Tri‑County Ice Arena</t>
  </si>
  <si>
    <t>700 Shady Ln, Neenah, WI 54956</t>
  </si>
  <si>
    <t>L71</t>
  </si>
  <si>
    <t>United Civic Center Ice Arena</t>
  </si>
  <si>
    <t>410 Maple St, Baldwin, WI 54002, USA</t>
  </si>
  <si>
    <t>L72</t>
  </si>
  <si>
    <t>USM Ice Arena</t>
  </si>
  <si>
    <t>2100 W Fairy Chasm Rd, Milwaukee, WI 53217</t>
  </si>
  <si>
    <t>L73</t>
  </si>
  <si>
    <t>Verona Ice Arena</t>
  </si>
  <si>
    <t>451 E Verona Ave, Verona, WI 53593, USA</t>
  </si>
  <si>
    <t>L74</t>
  </si>
  <si>
    <t>Viroqua Community Arena</t>
  </si>
  <si>
    <t>858 Nelson Pkwy, Viroqua, WI 54665, USA</t>
  </si>
  <si>
    <t>L75</t>
  </si>
  <si>
    <t>Waupaca Expo Center</t>
  </si>
  <si>
    <t>187 Grand Seasons Dr, Waupaca, WI 54981, USA</t>
  </si>
  <si>
    <t>L76</t>
  </si>
  <si>
    <t>Waupun Hockey Association</t>
  </si>
  <si>
    <t>510 E Spring St, Waupun, WI 53963, USA</t>
  </si>
  <si>
    <t>L77</t>
  </si>
  <si>
    <t>Wausau Youth Hockey</t>
  </si>
  <si>
    <t>801 Garfield Ave, Wausau, WI 54401, USA</t>
  </si>
  <si>
    <t>L78</t>
  </si>
  <si>
    <t>West Salem Ice Rink</t>
  </si>
  <si>
    <t>601 N Mark St, West Salem, WI 54669, USA</t>
  </si>
  <si>
    <t>L79</t>
  </si>
  <si>
    <t>Wildcat Center</t>
  </si>
  <si>
    <t>861 Cemetery Rd, River Falls, WI 54022, USA</t>
  </si>
  <si>
    <t>L8</t>
  </si>
  <si>
    <t>Beloit Youth Hockey Association</t>
  </si>
  <si>
    <t>2101 Cranston Rd, Beloit, WI 53511, USA</t>
  </si>
  <si>
    <t>L80</t>
  </si>
  <si>
    <t>Wildcat Centre</t>
  </si>
  <si>
    <t>861 Cemetery Rd, River Falls, WI 54022</t>
  </si>
  <si>
    <t>L9</t>
  </si>
  <si>
    <t>Blue Line Family Ice Center</t>
  </si>
  <si>
    <t>550 Fond du Lac Ave, Fond du Lac, WI 54935, 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</si>
</sst>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theme="1"/>
      <name val="Arial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1" numFmtId="49" xfId="0" applyFont="1" applyNumberForma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4.88"/>
    <col customWidth="1" min="3" max="3" width="24.88"/>
    <col customWidth="1" min="4" max="4" width="4.25"/>
    <col customWidth="1" min="5" max="5" width="3.38"/>
    <col customWidth="1" min="6" max="7" width="2.88"/>
    <col customWidth="1" min="8" max="8" width="2.0"/>
    <col customWidth="1" min="9" max="10" width="3.75"/>
    <col customWidth="1" min="11" max="11" width="4.38"/>
    <col customWidth="1" min="12" max="12" width="9.5"/>
    <col customWidth="1" min="13" max="13" width="4.75"/>
    <col customWidth="1" min="14" max="14" width="6.25"/>
    <col customWidth="1" min="15" max="15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3" t="s">
        <v>14</v>
      </c>
    </row>
    <row r="2">
      <c r="A2" s="1" t="s">
        <v>15</v>
      </c>
      <c r="B2" s="4">
        <v>1.0</v>
      </c>
      <c r="C2" s="1" t="s">
        <v>16</v>
      </c>
      <c r="D2" s="4">
        <v>26.0</v>
      </c>
      <c r="E2" s="4">
        <v>14.0</v>
      </c>
      <c r="F2" s="4">
        <v>13.0</v>
      </c>
      <c r="G2" s="4">
        <v>1.0</v>
      </c>
      <c r="H2" s="4">
        <v>0.0</v>
      </c>
      <c r="I2" s="4">
        <v>101.0</v>
      </c>
      <c r="J2" s="4">
        <v>38.0</v>
      </c>
      <c r="K2" s="4">
        <v>63.0</v>
      </c>
      <c r="L2" s="2" t="s">
        <v>17</v>
      </c>
      <c r="M2" s="5">
        <f>IFERROR(__xludf.DUMMYFUNCTION("ARRAYFORMULA(IF(L2:L10286="""",, IF(ISNUMBER(L2:L10286), MONTH(L2:L10286), IFERROR(VALUE(INDEX(SPLIT(L2:L10286, ""-""), 0, 1)), 0))))"),18.0)</f>
        <v>18</v>
      </c>
      <c r="N2" s="5">
        <f>IFERROR(__xludf.DUMMYFUNCTION("ARRAYFORMULA(IF(L2:L10286="""",, IF(ISNUMBER(L2:L10286), DAY(L2:L10286), IFERROR(VALUE(INDEX(SPLIT(L2:L10286, ""-""), 0, 2)), 0))))"),5.0)</f>
        <v>5</v>
      </c>
      <c r="O2" s="5">
        <f>IFERROR(__xludf.DUMMYFUNCTION("ARRAYFORMULA(IF(L2:L10286="""",, IF(ISNUMBER(L2:L10286), 0, IFERROR(VALUE(INDEX(SPLIT(L2:L10286, ""-""), 0, 3)), 0))))"),0.0)</f>
        <v>0</v>
      </c>
    </row>
    <row r="3">
      <c r="A3" s="1" t="s">
        <v>15</v>
      </c>
      <c r="B3" s="4">
        <v>2.0</v>
      </c>
      <c r="C3" s="1" t="s">
        <v>18</v>
      </c>
      <c r="D3" s="4">
        <v>24.0</v>
      </c>
      <c r="E3" s="4">
        <v>12.0</v>
      </c>
      <c r="F3" s="4">
        <v>12.0</v>
      </c>
      <c r="G3" s="4">
        <v>0.0</v>
      </c>
      <c r="H3" s="4">
        <v>0.0</v>
      </c>
      <c r="I3" s="4">
        <v>113.0</v>
      </c>
      <c r="J3" s="4">
        <v>12.0</v>
      </c>
      <c r="K3" s="4">
        <v>101.0</v>
      </c>
      <c r="L3" s="2" t="s">
        <v>19</v>
      </c>
      <c r="M3" s="5">
        <f>IFERROR(__xludf.DUMMYFUNCTION("""COMPUTED_VALUE"""),18.0)</f>
        <v>18</v>
      </c>
      <c r="N3" s="5">
        <f>IFERROR(__xludf.DUMMYFUNCTION("""COMPUTED_VALUE"""),6.0)</f>
        <v>6</v>
      </c>
      <c r="O3" s="5">
        <f>IFERROR(__xludf.DUMMYFUNCTION("""COMPUTED_VALUE"""),0.0)</f>
        <v>0</v>
      </c>
    </row>
    <row r="4">
      <c r="A4" s="1" t="s">
        <v>15</v>
      </c>
      <c r="B4" s="4">
        <v>3.0</v>
      </c>
      <c r="C4" s="1" t="s">
        <v>20</v>
      </c>
      <c r="D4" s="4">
        <v>22.0</v>
      </c>
      <c r="E4" s="4">
        <v>14.0</v>
      </c>
      <c r="F4" s="4">
        <v>11.0</v>
      </c>
      <c r="G4" s="4">
        <v>3.0</v>
      </c>
      <c r="H4" s="4">
        <v>0.0</v>
      </c>
      <c r="I4" s="4">
        <v>79.0</v>
      </c>
      <c r="J4" s="4">
        <v>36.0</v>
      </c>
      <c r="K4" s="4">
        <v>43.0</v>
      </c>
      <c r="L4" s="2" t="s">
        <v>21</v>
      </c>
      <c r="M4" s="5">
        <f>IFERROR(__xludf.DUMMYFUNCTION("""COMPUTED_VALUE"""),15.0)</f>
        <v>15</v>
      </c>
      <c r="N4" s="5">
        <f>IFERROR(__xludf.DUMMYFUNCTION("""COMPUTED_VALUE"""),8.0)</f>
        <v>8</v>
      </c>
      <c r="O4" s="5">
        <f>IFERROR(__xludf.DUMMYFUNCTION("""COMPUTED_VALUE"""),0.0)</f>
        <v>0</v>
      </c>
    </row>
    <row r="5">
      <c r="A5" s="1" t="s">
        <v>15</v>
      </c>
      <c r="B5" s="4">
        <v>4.0</v>
      </c>
      <c r="C5" s="1" t="s">
        <v>22</v>
      </c>
      <c r="D5" s="4">
        <v>22.0</v>
      </c>
      <c r="E5" s="4">
        <v>12.0</v>
      </c>
      <c r="F5" s="4">
        <v>11.0</v>
      </c>
      <c r="G5" s="4">
        <v>1.0</v>
      </c>
      <c r="H5" s="4">
        <v>0.0</v>
      </c>
      <c r="I5" s="4">
        <v>63.0</v>
      </c>
      <c r="J5" s="4">
        <v>27.0</v>
      </c>
      <c r="K5" s="4">
        <v>36.0</v>
      </c>
      <c r="L5" s="2" t="s">
        <v>23</v>
      </c>
      <c r="M5" s="5">
        <f>IFERROR(__xludf.DUMMYFUNCTION("""COMPUTED_VALUE"""),14.0)</f>
        <v>14</v>
      </c>
      <c r="N5" s="5">
        <f>IFERROR(__xludf.DUMMYFUNCTION("""COMPUTED_VALUE"""),10.0)</f>
        <v>10</v>
      </c>
      <c r="O5" s="5">
        <f>IFERROR(__xludf.DUMMYFUNCTION("""COMPUTED_VALUE"""),0.0)</f>
        <v>0</v>
      </c>
    </row>
    <row r="6">
      <c r="A6" s="1" t="s">
        <v>15</v>
      </c>
      <c r="B6" s="4">
        <v>5.0</v>
      </c>
      <c r="C6" s="1" t="s">
        <v>24</v>
      </c>
      <c r="D6" s="4">
        <v>22.0</v>
      </c>
      <c r="E6" s="4">
        <v>12.0</v>
      </c>
      <c r="F6" s="4">
        <v>11.0</v>
      </c>
      <c r="G6" s="4">
        <v>1.0</v>
      </c>
      <c r="H6" s="4">
        <v>0.0</v>
      </c>
      <c r="I6" s="4">
        <v>53.0</v>
      </c>
      <c r="J6" s="4">
        <v>23.0</v>
      </c>
      <c r="K6" s="4">
        <v>30.0</v>
      </c>
      <c r="L6" s="2" t="s">
        <v>23</v>
      </c>
      <c r="M6" s="5">
        <f>IFERROR(__xludf.DUMMYFUNCTION("""COMPUTED_VALUE"""),14.0)</f>
        <v>14</v>
      </c>
      <c r="N6" s="5">
        <f>IFERROR(__xludf.DUMMYFUNCTION("""COMPUTED_VALUE"""),10.0)</f>
        <v>10</v>
      </c>
      <c r="O6" s="5">
        <f>IFERROR(__xludf.DUMMYFUNCTION("""COMPUTED_VALUE"""),0.0)</f>
        <v>0</v>
      </c>
    </row>
    <row r="7">
      <c r="A7" s="1" t="s">
        <v>15</v>
      </c>
      <c r="B7" s="4">
        <v>6.0</v>
      </c>
      <c r="C7" s="1" t="s">
        <v>25</v>
      </c>
      <c r="D7" s="4">
        <v>21.0</v>
      </c>
      <c r="E7" s="4">
        <v>14.0</v>
      </c>
      <c r="F7" s="4">
        <v>10.0</v>
      </c>
      <c r="G7" s="4">
        <v>3.0</v>
      </c>
      <c r="H7" s="4">
        <v>1.0</v>
      </c>
      <c r="I7" s="4">
        <v>74.0</v>
      </c>
      <c r="J7" s="4">
        <v>46.0</v>
      </c>
      <c r="K7" s="4">
        <v>28.0</v>
      </c>
      <c r="L7" s="2" t="s">
        <v>26</v>
      </c>
      <c r="M7" s="5">
        <f>IFERROR(__xludf.DUMMYFUNCTION("""COMPUTED_VALUE"""),13.0)</f>
        <v>13</v>
      </c>
      <c r="N7" s="5">
        <f>IFERROR(__xludf.DUMMYFUNCTION("""COMPUTED_VALUE"""),9.0)</f>
        <v>9</v>
      </c>
      <c r="O7" s="5">
        <f>IFERROR(__xludf.DUMMYFUNCTION("""COMPUTED_VALUE"""),2.0)</f>
        <v>2</v>
      </c>
    </row>
    <row r="8">
      <c r="A8" s="1" t="s">
        <v>15</v>
      </c>
      <c r="B8" s="4">
        <v>7.0</v>
      </c>
      <c r="C8" s="1" t="s">
        <v>27</v>
      </c>
      <c r="D8" s="4">
        <v>20.0</v>
      </c>
      <c r="E8" s="4">
        <v>10.0</v>
      </c>
      <c r="F8" s="4">
        <v>10.0</v>
      </c>
      <c r="G8" s="4">
        <v>0.0</v>
      </c>
      <c r="H8" s="4">
        <v>0.0</v>
      </c>
      <c r="I8" s="4">
        <v>96.0</v>
      </c>
      <c r="J8" s="4">
        <v>8.0</v>
      </c>
      <c r="K8" s="4">
        <v>88.0</v>
      </c>
      <c r="L8" s="2" t="s">
        <v>28</v>
      </c>
      <c r="M8" s="5">
        <f>IFERROR(__xludf.DUMMYFUNCTION("""COMPUTED_VALUE"""),24.0)</f>
        <v>24</v>
      </c>
      <c r="N8" s="5">
        <f>IFERROR(__xludf.DUMMYFUNCTION("""COMPUTED_VALUE"""),0.0)</f>
        <v>0</v>
      </c>
      <c r="O8" s="5">
        <f>IFERROR(__xludf.DUMMYFUNCTION("""COMPUTED_VALUE"""),0.0)</f>
        <v>0</v>
      </c>
    </row>
    <row r="9">
      <c r="A9" s="1" t="s">
        <v>15</v>
      </c>
      <c r="B9" s="4">
        <v>8.0</v>
      </c>
      <c r="C9" s="1" t="s">
        <v>29</v>
      </c>
      <c r="D9" s="4">
        <v>20.0</v>
      </c>
      <c r="E9" s="4">
        <v>10.0</v>
      </c>
      <c r="F9" s="4">
        <v>10.0</v>
      </c>
      <c r="G9" s="4">
        <v>0.0</v>
      </c>
      <c r="H9" s="4">
        <v>0.0</v>
      </c>
      <c r="I9" s="4">
        <v>73.0</v>
      </c>
      <c r="J9" s="4">
        <v>6.0</v>
      </c>
      <c r="K9" s="4">
        <v>67.0</v>
      </c>
      <c r="L9" s="2" t="s">
        <v>30</v>
      </c>
      <c r="M9" s="5">
        <f>IFERROR(__xludf.DUMMYFUNCTION("""COMPUTED_VALUE"""),20.0)</f>
        <v>20</v>
      </c>
      <c r="N9" s="5">
        <f>IFERROR(__xludf.DUMMYFUNCTION("""COMPUTED_VALUE"""),3.0)</f>
        <v>3</v>
      </c>
      <c r="O9" s="5">
        <f>IFERROR(__xludf.DUMMYFUNCTION("""COMPUTED_VALUE"""),0.0)</f>
        <v>0</v>
      </c>
    </row>
    <row r="10">
      <c r="A10" s="1" t="s">
        <v>15</v>
      </c>
      <c r="B10" s="4">
        <v>9.0</v>
      </c>
      <c r="C10" s="1" t="s">
        <v>31</v>
      </c>
      <c r="D10" s="4">
        <v>20.0</v>
      </c>
      <c r="E10" s="4">
        <v>10.0</v>
      </c>
      <c r="F10" s="4">
        <v>10.0</v>
      </c>
      <c r="G10" s="4">
        <v>0.0</v>
      </c>
      <c r="H10" s="4">
        <v>0.0</v>
      </c>
      <c r="I10" s="4">
        <v>83.0</v>
      </c>
      <c r="J10" s="4">
        <v>24.0</v>
      </c>
      <c r="K10" s="4">
        <v>59.0</v>
      </c>
      <c r="L10" s="2" t="s">
        <v>32</v>
      </c>
      <c r="M10" s="5">
        <f>IFERROR(__xludf.DUMMYFUNCTION("""COMPUTED_VALUE"""),21.0)</f>
        <v>21</v>
      </c>
      <c r="N10" s="5">
        <f>IFERROR(__xludf.DUMMYFUNCTION("""COMPUTED_VALUE"""),3.0)</f>
        <v>3</v>
      </c>
      <c r="O10" s="5">
        <f>IFERROR(__xludf.DUMMYFUNCTION("""COMPUTED_VALUE"""),0.0)</f>
        <v>0</v>
      </c>
    </row>
    <row r="11">
      <c r="A11" s="1" t="s">
        <v>15</v>
      </c>
      <c r="B11" s="4">
        <v>10.0</v>
      </c>
      <c r="C11" s="1" t="s">
        <v>33</v>
      </c>
      <c r="D11" s="4">
        <v>20.0</v>
      </c>
      <c r="E11" s="4">
        <v>12.0</v>
      </c>
      <c r="F11" s="4">
        <v>10.0</v>
      </c>
      <c r="G11" s="4">
        <v>2.0</v>
      </c>
      <c r="H11" s="4">
        <v>0.0</v>
      </c>
      <c r="I11" s="4">
        <v>69.0</v>
      </c>
      <c r="J11" s="4">
        <v>16.0</v>
      </c>
      <c r="K11" s="4">
        <v>53.0</v>
      </c>
      <c r="L11" s="2" t="s">
        <v>19</v>
      </c>
      <c r="M11" s="5">
        <f>IFERROR(__xludf.DUMMYFUNCTION("""COMPUTED_VALUE"""),18.0)</f>
        <v>18</v>
      </c>
      <c r="N11" s="5">
        <f>IFERROR(__xludf.DUMMYFUNCTION("""COMPUTED_VALUE"""),6.0)</f>
        <v>6</v>
      </c>
      <c r="O11" s="5">
        <f>IFERROR(__xludf.DUMMYFUNCTION("""COMPUTED_VALUE"""),0.0)</f>
        <v>0</v>
      </c>
    </row>
    <row r="12">
      <c r="A12" s="1" t="s">
        <v>15</v>
      </c>
      <c r="B12" s="4">
        <v>11.0</v>
      </c>
      <c r="C12" s="1" t="s">
        <v>34</v>
      </c>
      <c r="D12" s="4">
        <v>20.0</v>
      </c>
      <c r="E12" s="4">
        <v>12.0</v>
      </c>
      <c r="F12" s="4">
        <v>10.0</v>
      </c>
      <c r="G12" s="4">
        <v>2.0</v>
      </c>
      <c r="H12" s="4">
        <v>0.0</v>
      </c>
      <c r="I12" s="4">
        <v>50.0</v>
      </c>
      <c r="J12" s="4">
        <v>31.0</v>
      </c>
      <c r="K12" s="4">
        <v>19.0</v>
      </c>
      <c r="L12" s="2" t="s">
        <v>35</v>
      </c>
      <c r="M12" s="5">
        <f>IFERROR(__xludf.DUMMYFUNCTION("""COMPUTED_VALUE"""),20.0)</f>
        <v>20</v>
      </c>
      <c r="N12" s="5">
        <f>IFERROR(__xludf.DUMMYFUNCTION("""COMPUTED_VALUE"""),3.0)</f>
        <v>3</v>
      </c>
      <c r="O12" s="5">
        <f>IFERROR(__xludf.DUMMYFUNCTION("""COMPUTED_VALUE"""),1.0)</f>
        <v>1</v>
      </c>
    </row>
    <row r="13">
      <c r="A13" s="1" t="s">
        <v>15</v>
      </c>
      <c r="B13" s="4">
        <v>12.0</v>
      </c>
      <c r="C13" s="1" t="s">
        <v>36</v>
      </c>
      <c r="D13" s="4">
        <v>18.0</v>
      </c>
      <c r="E13" s="4">
        <v>11.0</v>
      </c>
      <c r="F13" s="4">
        <v>9.0</v>
      </c>
      <c r="G13" s="4">
        <v>2.0</v>
      </c>
      <c r="H13" s="4">
        <v>0.0</v>
      </c>
      <c r="I13" s="4">
        <v>64.0</v>
      </c>
      <c r="J13" s="4">
        <v>29.0</v>
      </c>
      <c r="K13" s="4">
        <v>35.0</v>
      </c>
      <c r="L13" s="2" t="s">
        <v>32</v>
      </c>
      <c r="M13" s="5">
        <f>IFERROR(__xludf.DUMMYFUNCTION("""COMPUTED_VALUE"""),21.0)</f>
        <v>21</v>
      </c>
      <c r="N13" s="5">
        <f>IFERROR(__xludf.DUMMYFUNCTION("""COMPUTED_VALUE"""),3.0)</f>
        <v>3</v>
      </c>
      <c r="O13" s="5">
        <f>IFERROR(__xludf.DUMMYFUNCTION("""COMPUTED_VALUE"""),0.0)</f>
        <v>0</v>
      </c>
    </row>
    <row r="14">
      <c r="A14" s="1" t="s">
        <v>15</v>
      </c>
      <c r="B14" s="4">
        <v>13.0</v>
      </c>
      <c r="C14" s="1" t="s">
        <v>37</v>
      </c>
      <c r="D14" s="4">
        <v>18.0</v>
      </c>
      <c r="E14" s="4">
        <v>12.0</v>
      </c>
      <c r="F14" s="4">
        <v>9.0</v>
      </c>
      <c r="G14" s="4">
        <v>3.0</v>
      </c>
      <c r="H14" s="4">
        <v>0.0</v>
      </c>
      <c r="I14" s="4">
        <v>54.0</v>
      </c>
      <c r="J14" s="4">
        <v>26.0</v>
      </c>
      <c r="K14" s="4">
        <v>28.0</v>
      </c>
      <c r="L14" s="2" t="s">
        <v>38</v>
      </c>
      <c r="M14" s="5">
        <f>IFERROR(__xludf.DUMMYFUNCTION("""COMPUTED_VALUE"""),16.0)</f>
        <v>16</v>
      </c>
      <c r="N14" s="5">
        <f>IFERROR(__xludf.DUMMYFUNCTION("""COMPUTED_VALUE"""),8.0)</f>
        <v>8</v>
      </c>
      <c r="O14" s="5">
        <f>IFERROR(__xludf.DUMMYFUNCTION("""COMPUTED_VALUE"""),0.0)</f>
        <v>0</v>
      </c>
    </row>
    <row r="15">
      <c r="A15" s="1" t="s">
        <v>15</v>
      </c>
      <c r="B15" s="4">
        <v>14.0</v>
      </c>
      <c r="C15" s="1" t="s">
        <v>39</v>
      </c>
      <c r="D15" s="4">
        <v>17.0</v>
      </c>
      <c r="E15" s="4">
        <v>9.0</v>
      </c>
      <c r="F15" s="4">
        <v>8.0</v>
      </c>
      <c r="G15" s="4">
        <v>0.0</v>
      </c>
      <c r="H15" s="4">
        <v>1.0</v>
      </c>
      <c r="I15" s="4">
        <v>46.0</v>
      </c>
      <c r="J15" s="4">
        <v>14.0</v>
      </c>
      <c r="K15" s="4">
        <v>32.0</v>
      </c>
      <c r="L15" s="2" t="s">
        <v>40</v>
      </c>
      <c r="M15" s="5">
        <f>IFERROR(__xludf.DUMMYFUNCTION("""COMPUTED_VALUE"""),17.0)</f>
        <v>17</v>
      </c>
      <c r="N15" s="5">
        <f>IFERROR(__xludf.DUMMYFUNCTION("""COMPUTED_VALUE"""),6.0)</f>
        <v>6</v>
      </c>
      <c r="O15" s="5">
        <f>IFERROR(__xludf.DUMMYFUNCTION("""COMPUTED_VALUE"""),1.0)</f>
        <v>1</v>
      </c>
    </row>
    <row r="16">
      <c r="A16" s="1" t="s">
        <v>15</v>
      </c>
      <c r="B16" s="4">
        <v>15.0</v>
      </c>
      <c r="C16" s="1" t="s">
        <v>41</v>
      </c>
      <c r="D16" s="4">
        <v>16.0</v>
      </c>
      <c r="E16" s="4">
        <v>8.0</v>
      </c>
      <c r="F16" s="4">
        <v>8.0</v>
      </c>
      <c r="G16" s="4">
        <v>0.0</v>
      </c>
      <c r="H16" s="4">
        <v>0.0</v>
      </c>
      <c r="I16" s="4">
        <v>64.0</v>
      </c>
      <c r="J16" s="4">
        <v>7.0</v>
      </c>
      <c r="K16" s="4">
        <v>57.0</v>
      </c>
      <c r="L16" s="2" t="s">
        <v>42</v>
      </c>
      <c r="M16" s="5">
        <f>IFERROR(__xludf.DUMMYFUNCTION("""COMPUTED_VALUE"""),19.0)</f>
        <v>19</v>
      </c>
      <c r="N16" s="5">
        <f>IFERROR(__xludf.DUMMYFUNCTION("""COMPUTED_VALUE"""),4.0)</f>
        <v>4</v>
      </c>
      <c r="O16" s="5">
        <f>IFERROR(__xludf.DUMMYFUNCTION("""COMPUTED_VALUE"""),1.0)</f>
        <v>1</v>
      </c>
    </row>
    <row r="17">
      <c r="A17" s="1" t="s">
        <v>15</v>
      </c>
      <c r="B17" s="4">
        <v>16.0</v>
      </c>
      <c r="C17" s="1" t="s">
        <v>43</v>
      </c>
      <c r="D17" s="4">
        <v>16.0</v>
      </c>
      <c r="E17" s="4">
        <v>8.0</v>
      </c>
      <c r="F17" s="4">
        <v>8.0</v>
      </c>
      <c r="G17" s="4">
        <v>0.0</v>
      </c>
      <c r="H17" s="4">
        <v>0.0</v>
      </c>
      <c r="I17" s="4">
        <v>52.0</v>
      </c>
      <c r="J17" s="4">
        <v>7.0</v>
      </c>
      <c r="K17" s="4">
        <v>45.0</v>
      </c>
      <c r="L17" s="2" t="s">
        <v>44</v>
      </c>
      <c r="M17" s="5">
        <f>IFERROR(__xludf.DUMMYFUNCTION("""COMPUTED_VALUE"""),15.0)</f>
        <v>15</v>
      </c>
      <c r="N17" s="5">
        <f>IFERROR(__xludf.DUMMYFUNCTION("""COMPUTED_VALUE"""),7.0)</f>
        <v>7</v>
      </c>
      <c r="O17" s="5">
        <f>IFERROR(__xludf.DUMMYFUNCTION("""COMPUTED_VALUE"""),1.0)</f>
        <v>1</v>
      </c>
    </row>
    <row r="18">
      <c r="A18" s="1" t="s">
        <v>15</v>
      </c>
      <c r="B18" s="4">
        <v>17.0</v>
      </c>
      <c r="C18" s="1" t="s">
        <v>45</v>
      </c>
      <c r="D18" s="4">
        <v>16.0</v>
      </c>
      <c r="E18" s="4">
        <v>10.0</v>
      </c>
      <c r="F18" s="4">
        <v>8.0</v>
      </c>
      <c r="G18" s="4">
        <v>2.0</v>
      </c>
      <c r="H18" s="4">
        <v>0.0</v>
      </c>
      <c r="I18" s="4">
        <v>63.0</v>
      </c>
      <c r="J18" s="4">
        <v>20.0</v>
      </c>
      <c r="K18" s="4">
        <v>43.0</v>
      </c>
      <c r="L18" s="2" t="s">
        <v>19</v>
      </c>
      <c r="M18" s="5">
        <f>IFERROR(__xludf.DUMMYFUNCTION("""COMPUTED_VALUE"""),18.0)</f>
        <v>18</v>
      </c>
      <c r="N18" s="5">
        <f>IFERROR(__xludf.DUMMYFUNCTION("""COMPUTED_VALUE"""),6.0)</f>
        <v>6</v>
      </c>
      <c r="O18" s="5">
        <f>IFERROR(__xludf.DUMMYFUNCTION("""COMPUTED_VALUE"""),0.0)</f>
        <v>0</v>
      </c>
    </row>
    <row r="19">
      <c r="A19" s="1" t="s">
        <v>15</v>
      </c>
      <c r="B19" s="4">
        <v>18.0</v>
      </c>
      <c r="C19" s="1" t="s">
        <v>46</v>
      </c>
      <c r="D19" s="4">
        <v>16.0</v>
      </c>
      <c r="E19" s="4">
        <v>10.0</v>
      </c>
      <c r="F19" s="4">
        <v>8.0</v>
      </c>
      <c r="G19" s="4">
        <v>2.0</v>
      </c>
      <c r="H19" s="4">
        <v>0.0</v>
      </c>
      <c r="I19" s="4">
        <v>55.0</v>
      </c>
      <c r="J19" s="4">
        <v>16.0</v>
      </c>
      <c r="K19" s="4">
        <v>39.0</v>
      </c>
      <c r="L19" s="2" t="s">
        <v>47</v>
      </c>
      <c r="M19" s="5">
        <f>IFERROR(__xludf.DUMMYFUNCTION("""COMPUTED_VALUE"""),14.0)</f>
        <v>14</v>
      </c>
      <c r="N19" s="5">
        <f>IFERROR(__xludf.DUMMYFUNCTION("""COMPUTED_VALUE"""),9.0)</f>
        <v>9</v>
      </c>
      <c r="O19" s="5">
        <f>IFERROR(__xludf.DUMMYFUNCTION("""COMPUTED_VALUE"""),1.0)</f>
        <v>1</v>
      </c>
    </row>
    <row r="20">
      <c r="A20" s="1" t="s">
        <v>15</v>
      </c>
      <c r="B20" s="4">
        <v>19.0</v>
      </c>
      <c r="C20" s="1" t="s">
        <v>48</v>
      </c>
      <c r="D20" s="4">
        <v>16.0</v>
      </c>
      <c r="E20" s="4">
        <v>14.0</v>
      </c>
      <c r="F20" s="4">
        <v>8.0</v>
      </c>
      <c r="G20" s="4">
        <v>6.0</v>
      </c>
      <c r="H20" s="4">
        <v>0.0</v>
      </c>
      <c r="I20" s="4">
        <v>71.0</v>
      </c>
      <c r="J20" s="4">
        <v>44.0</v>
      </c>
      <c r="K20" s="4">
        <v>27.0</v>
      </c>
      <c r="L20" s="2" t="s">
        <v>49</v>
      </c>
      <c r="M20" s="5">
        <f>IFERROR(__xludf.DUMMYFUNCTION("""COMPUTED_VALUE"""),10.0)</f>
        <v>10</v>
      </c>
      <c r="N20" s="5">
        <f>IFERROR(__xludf.DUMMYFUNCTION("""COMPUTED_VALUE"""),13.0)</f>
        <v>13</v>
      </c>
      <c r="O20" s="5">
        <f>IFERROR(__xludf.DUMMYFUNCTION("""COMPUTED_VALUE"""),0.0)</f>
        <v>0</v>
      </c>
    </row>
    <row r="21">
      <c r="A21" s="1" t="s">
        <v>15</v>
      </c>
      <c r="B21" s="4">
        <v>20.0</v>
      </c>
      <c r="C21" s="1" t="s">
        <v>50</v>
      </c>
      <c r="D21" s="4">
        <v>16.0</v>
      </c>
      <c r="E21" s="4">
        <v>12.0</v>
      </c>
      <c r="F21" s="4">
        <v>8.0</v>
      </c>
      <c r="G21" s="4">
        <v>4.0</v>
      </c>
      <c r="H21" s="4">
        <v>0.0</v>
      </c>
      <c r="I21" s="4">
        <v>47.0</v>
      </c>
      <c r="J21" s="4">
        <v>34.0</v>
      </c>
      <c r="K21" s="4">
        <v>13.0</v>
      </c>
      <c r="L21" s="2" t="s">
        <v>51</v>
      </c>
      <c r="M21" s="5">
        <f>IFERROR(__xludf.DUMMYFUNCTION("""COMPUTED_VALUE"""),15.0)</f>
        <v>15</v>
      </c>
      <c r="N21" s="5">
        <f>IFERROR(__xludf.DUMMYFUNCTION("""COMPUTED_VALUE"""),9.0)</f>
        <v>9</v>
      </c>
      <c r="O21" s="5">
        <f>IFERROR(__xludf.DUMMYFUNCTION("""COMPUTED_VALUE"""),0.0)</f>
        <v>0</v>
      </c>
    </row>
    <row r="22">
      <c r="A22" s="1" t="s">
        <v>15</v>
      </c>
      <c r="B22" s="4">
        <v>21.0</v>
      </c>
      <c r="C22" s="1" t="s">
        <v>52</v>
      </c>
      <c r="D22" s="4">
        <v>16.0</v>
      </c>
      <c r="E22" s="4">
        <v>14.0</v>
      </c>
      <c r="F22" s="4">
        <v>8.0</v>
      </c>
      <c r="G22" s="4">
        <v>6.0</v>
      </c>
      <c r="H22" s="4">
        <v>0.0</v>
      </c>
      <c r="I22" s="4">
        <v>61.0</v>
      </c>
      <c r="J22" s="4">
        <v>52.0</v>
      </c>
      <c r="K22" s="4">
        <v>9.0</v>
      </c>
      <c r="L22" s="2" t="s">
        <v>53</v>
      </c>
      <c r="M22" s="5">
        <f>IFERROR(__xludf.DUMMYFUNCTION("""COMPUTED_VALUE"""),12.0)</f>
        <v>12</v>
      </c>
      <c r="N22" s="5">
        <f>IFERROR(__xludf.DUMMYFUNCTION("""COMPUTED_VALUE"""),12.0)</f>
        <v>12</v>
      </c>
      <c r="O22" s="5">
        <f>IFERROR(__xludf.DUMMYFUNCTION("""COMPUTED_VALUE"""),0.0)</f>
        <v>0</v>
      </c>
    </row>
    <row r="23">
      <c r="A23" s="1" t="s">
        <v>15</v>
      </c>
      <c r="B23" s="4">
        <v>22.0</v>
      </c>
      <c r="C23" s="1" t="s">
        <v>54</v>
      </c>
      <c r="D23" s="4">
        <v>14.0</v>
      </c>
      <c r="E23" s="4">
        <v>11.0</v>
      </c>
      <c r="F23" s="4">
        <v>7.0</v>
      </c>
      <c r="G23" s="4">
        <v>4.0</v>
      </c>
      <c r="H23" s="4">
        <v>0.0</v>
      </c>
      <c r="I23" s="4">
        <v>55.0</v>
      </c>
      <c r="J23" s="4">
        <v>32.0</v>
      </c>
      <c r="K23" s="4">
        <v>23.0</v>
      </c>
      <c r="L23" s="2" t="s">
        <v>55</v>
      </c>
      <c r="M23" s="5">
        <f>IFERROR(__xludf.DUMMYFUNCTION("""COMPUTED_VALUE"""),17.0)</f>
        <v>17</v>
      </c>
      <c r="N23" s="5">
        <f>IFERROR(__xludf.DUMMYFUNCTION("""COMPUTED_VALUE"""),6.0)</f>
        <v>6</v>
      </c>
      <c r="O23" s="5">
        <f>IFERROR(__xludf.DUMMYFUNCTION("""COMPUTED_VALUE"""),0.0)</f>
        <v>0</v>
      </c>
    </row>
    <row r="24">
      <c r="A24" s="1" t="s">
        <v>15</v>
      </c>
      <c r="B24" s="4">
        <v>23.0</v>
      </c>
      <c r="C24" s="1" t="s">
        <v>56</v>
      </c>
      <c r="D24" s="4">
        <v>14.0</v>
      </c>
      <c r="E24" s="4">
        <v>10.0</v>
      </c>
      <c r="F24" s="4">
        <v>7.0</v>
      </c>
      <c r="G24" s="4">
        <v>3.0</v>
      </c>
      <c r="H24" s="4">
        <v>0.0</v>
      </c>
      <c r="I24" s="4">
        <v>52.0</v>
      </c>
      <c r="J24" s="4">
        <v>41.0</v>
      </c>
      <c r="K24" s="4">
        <v>11.0</v>
      </c>
      <c r="L24" s="2" t="s">
        <v>57</v>
      </c>
      <c r="M24" s="5">
        <f>IFERROR(__xludf.DUMMYFUNCTION("""COMPUTED_VALUE"""),17.0)</f>
        <v>17</v>
      </c>
      <c r="N24" s="5">
        <f>IFERROR(__xludf.DUMMYFUNCTION("""COMPUTED_VALUE"""),7.0)</f>
        <v>7</v>
      </c>
      <c r="O24" s="5">
        <f>IFERROR(__xludf.DUMMYFUNCTION("""COMPUTED_VALUE"""),0.0)</f>
        <v>0</v>
      </c>
    </row>
    <row r="25">
      <c r="A25" s="1" t="s">
        <v>15</v>
      </c>
      <c r="B25" s="4">
        <v>24.0</v>
      </c>
      <c r="C25" s="1" t="s">
        <v>58</v>
      </c>
      <c r="D25" s="4">
        <v>14.0</v>
      </c>
      <c r="E25" s="4">
        <v>13.0</v>
      </c>
      <c r="F25" s="4">
        <v>7.0</v>
      </c>
      <c r="G25" s="4">
        <v>6.0</v>
      </c>
      <c r="H25" s="4">
        <v>0.0</v>
      </c>
      <c r="I25" s="4">
        <v>39.0</v>
      </c>
      <c r="J25" s="4">
        <v>37.0</v>
      </c>
      <c r="K25" s="4">
        <v>2.0</v>
      </c>
      <c r="L25" s="2" t="s">
        <v>59</v>
      </c>
      <c r="M25" s="5">
        <f>IFERROR(__xludf.DUMMYFUNCTION("""COMPUTED_VALUE"""),10.0)</f>
        <v>10</v>
      </c>
      <c r="N25" s="5">
        <f>IFERROR(__xludf.DUMMYFUNCTION("""COMPUTED_VALUE"""),14.0)</f>
        <v>14</v>
      </c>
      <c r="O25" s="5">
        <f>IFERROR(__xludf.DUMMYFUNCTION("""COMPUTED_VALUE"""),0.0)</f>
        <v>0</v>
      </c>
    </row>
    <row r="26">
      <c r="A26" s="1" t="s">
        <v>15</v>
      </c>
      <c r="B26" s="4">
        <v>25.0</v>
      </c>
      <c r="C26" s="1" t="s">
        <v>60</v>
      </c>
      <c r="D26" s="4">
        <v>14.0</v>
      </c>
      <c r="E26" s="4">
        <v>13.0</v>
      </c>
      <c r="F26" s="4">
        <v>7.0</v>
      </c>
      <c r="G26" s="4">
        <v>6.0</v>
      </c>
      <c r="H26" s="4">
        <v>0.0</v>
      </c>
      <c r="I26" s="4">
        <v>36.0</v>
      </c>
      <c r="J26" s="4">
        <v>37.0</v>
      </c>
      <c r="K26" s="4">
        <v>-1.0</v>
      </c>
      <c r="L26" s="2" t="s">
        <v>59</v>
      </c>
      <c r="M26" s="5">
        <f>IFERROR(__xludf.DUMMYFUNCTION("""COMPUTED_VALUE"""),10.0)</f>
        <v>10</v>
      </c>
      <c r="N26" s="5">
        <f>IFERROR(__xludf.DUMMYFUNCTION("""COMPUTED_VALUE"""),14.0)</f>
        <v>14</v>
      </c>
      <c r="O26" s="5">
        <f>IFERROR(__xludf.DUMMYFUNCTION("""COMPUTED_VALUE"""),0.0)</f>
        <v>0</v>
      </c>
    </row>
    <row r="27">
      <c r="A27" s="1" t="s">
        <v>15</v>
      </c>
      <c r="B27" s="4">
        <v>26.0</v>
      </c>
      <c r="C27" s="1" t="s">
        <v>61</v>
      </c>
      <c r="D27" s="4">
        <v>13.0</v>
      </c>
      <c r="E27" s="4">
        <v>9.0</v>
      </c>
      <c r="F27" s="4">
        <v>6.0</v>
      </c>
      <c r="G27" s="4">
        <v>2.0</v>
      </c>
      <c r="H27" s="4">
        <v>1.0</v>
      </c>
      <c r="I27" s="4">
        <v>70.0</v>
      </c>
      <c r="J27" s="4">
        <v>21.0</v>
      </c>
      <c r="K27" s="4">
        <v>49.0</v>
      </c>
      <c r="L27" s="2" t="s">
        <v>42</v>
      </c>
      <c r="M27" s="5">
        <f>IFERROR(__xludf.DUMMYFUNCTION("""COMPUTED_VALUE"""),19.0)</f>
        <v>19</v>
      </c>
      <c r="N27" s="5">
        <f>IFERROR(__xludf.DUMMYFUNCTION("""COMPUTED_VALUE"""),4.0)</f>
        <v>4</v>
      </c>
      <c r="O27" s="5">
        <f>IFERROR(__xludf.DUMMYFUNCTION("""COMPUTED_VALUE"""),1.0)</f>
        <v>1</v>
      </c>
    </row>
    <row r="28">
      <c r="A28" s="1" t="s">
        <v>15</v>
      </c>
      <c r="B28" s="4">
        <v>27.0</v>
      </c>
      <c r="C28" s="1" t="s">
        <v>62</v>
      </c>
      <c r="D28" s="4">
        <v>13.0</v>
      </c>
      <c r="E28" s="4">
        <v>9.0</v>
      </c>
      <c r="F28" s="4">
        <v>6.0</v>
      </c>
      <c r="G28" s="4">
        <v>2.0</v>
      </c>
      <c r="H28" s="4">
        <v>1.0</v>
      </c>
      <c r="I28" s="4">
        <v>39.0</v>
      </c>
      <c r="J28" s="4">
        <v>19.0</v>
      </c>
      <c r="K28" s="4">
        <v>20.0</v>
      </c>
      <c r="L28" s="2" t="s">
        <v>63</v>
      </c>
      <c r="M28" s="5">
        <f>IFERROR(__xludf.DUMMYFUNCTION("""COMPUTED_VALUE"""),16.0)</f>
        <v>16</v>
      </c>
      <c r="N28" s="5">
        <f>IFERROR(__xludf.DUMMYFUNCTION("""COMPUTED_VALUE"""),7.0)</f>
        <v>7</v>
      </c>
      <c r="O28" s="5">
        <f>IFERROR(__xludf.DUMMYFUNCTION("""COMPUTED_VALUE"""),1.0)</f>
        <v>1</v>
      </c>
    </row>
    <row r="29">
      <c r="A29" s="1" t="s">
        <v>15</v>
      </c>
      <c r="B29" s="4">
        <v>28.0</v>
      </c>
      <c r="C29" s="1" t="s">
        <v>64</v>
      </c>
      <c r="D29" s="4">
        <v>13.0</v>
      </c>
      <c r="E29" s="4">
        <v>10.0</v>
      </c>
      <c r="F29" s="4">
        <v>6.0</v>
      </c>
      <c r="G29" s="4">
        <v>3.0</v>
      </c>
      <c r="H29" s="4">
        <v>1.0</v>
      </c>
      <c r="I29" s="4">
        <v>54.0</v>
      </c>
      <c r="J29" s="4">
        <v>57.0</v>
      </c>
      <c r="K29" s="4">
        <v>-3.0</v>
      </c>
      <c r="L29" s="2" t="s">
        <v>65</v>
      </c>
      <c r="M29" s="5">
        <f>IFERROR(__xludf.DUMMYFUNCTION("""COMPUTED_VALUE"""),11.0)</f>
        <v>11</v>
      </c>
      <c r="N29" s="5">
        <f>IFERROR(__xludf.DUMMYFUNCTION("""COMPUTED_VALUE"""),10.0)</f>
        <v>10</v>
      </c>
      <c r="O29" s="5">
        <f>IFERROR(__xludf.DUMMYFUNCTION("""COMPUTED_VALUE"""),1.0)</f>
        <v>1</v>
      </c>
    </row>
    <row r="30">
      <c r="A30" s="1" t="s">
        <v>15</v>
      </c>
      <c r="B30" s="4">
        <v>29.0</v>
      </c>
      <c r="C30" s="1" t="s">
        <v>66</v>
      </c>
      <c r="D30" s="4">
        <v>13.0</v>
      </c>
      <c r="E30" s="4">
        <v>14.0</v>
      </c>
      <c r="F30" s="4">
        <v>6.0</v>
      </c>
      <c r="G30" s="4">
        <v>7.0</v>
      </c>
      <c r="H30" s="4">
        <v>1.0</v>
      </c>
      <c r="I30" s="4">
        <v>38.0</v>
      </c>
      <c r="J30" s="4">
        <v>50.0</v>
      </c>
      <c r="K30" s="4">
        <v>-12.0</v>
      </c>
      <c r="L30" s="2" t="s">
        <v>67</v>
      </c>
      <c r="M30" s="5">
        <f>IFERROR(__xludf.DUMMYFUNCTION("""COMPUTED_VALUE"""),8.0)</f>
        <v>8</v>
      </c>
      <c r="N30" s="5">
        <f>IFERROR(__xludf.DUMMYFUNCTION("""COMPUTED_VALUE"""),15.0)</f>
        <v>15</v>
      </c>
      <c r="O30" s="5">
        <f>IFERROR(__xludf.DUMMYFUNCTION("""COMPUTED_VALUE"""),1.0)</f>
        <v>1</v>
      </c>
    </row>
    <row r="31">
      <c r="A31" s="1" t="s">
        <v>15</v>
      </c>
      <c r="B31" s="4">
        <v>30.0</v>
      </c>
      <c r="C31" s="1" t="s">
        <v>68</v>
      </c>
      <c r="D31" s="4">
        <v>12.0</v>
      </c>
      <c r="E31" s="4">
        <v>9.0</v>
      </c>
      <c r="F31" s="4">
        <v>6.0</v>
      </c>
      <c r="G31" s="4">
        <v>3.0</v>
      </c>
      <c r="H31" s="4">
        <v>0.0</v>
      </c>
      <c r="I31" s="4">
        <v>38.0</v>
      </c>
      <c r="J31" s="4">
        <v>18.0</v>
      </c>
      <c r="K31" s="4">
        <v>20.0</v>
      </c>
      <c r="L31" s="2" t="s">
        <v>63</v>
      </c>
      <c r="M31" s="5">
        <f>IFERROR(__xludf.DUMMYFUNCTION("""COMPUTED_VALUE"""),16.0)</f>
        <v>16</v>
      </c>
      <c r="N31" s="5">
        <f>IFERROR(__xludf.DUMMYFUNCTION("""COMPUTED_VALUE"""),7.0)</f>
        <v>7</v>
      </c>
      <c r="O31" s="5">
        <f>IFERROR(__xludf.DUMMYFUNCTION("""COMPUTED_VALUE"""),1.0)</f>
        <v>1</v>
      </c>
    </row>
    <row r="32">
      <c r="A32" s="1" t="s">
        <v>15</v>
      </c>
      <c r="B32" s="4">
        <v>31.0</v>
      </c>
      <c r="C32" s="1" t="s">
        <v>69</v>
      </c>
      <c r="D32" s="4">
        <v>12.0</v>
      </c>
      <c r="E32" s="4">
        <v>10.0</v>
      </c>
      <c r="F32" s="4">
        <v>6.0</v>
      </c>
      <c r="G32" s="4">
        <v>4.0</v>
      </c>
      <c r="H32" s="4">
        <v>0.0</v>
      </c>
      <c r="I32" s="4">
        <v>53.0</v>
      </c>
      <c r="J32" s="4">
        <v>41.0</v>
      </c>
      <c r="K32" s="4">
        <v>12.0</v>
      </c>
      <c r="L32" s="2" t="s">
        <v>70</v>
      </c>
      <c r="M32" s="5">
        <f>IFERROR(__xludf.DUMMYFUNCTION("""COMPUTED_VALUE"""),16.0)</f>
        <v>16</v>
      </c>
      <c r="N32" s="5">
        <f>IFERROR(__xludf.DUMMYFUNCTION("""COMPUTED_VALUE"""),7.0)</f>
        <v>7</v>
      </c>
      <c r="O32" s="5">
        <f>IFERROR(__xludf.DUMMYFUNCTION("""COMPUTED_VALUE"""),0.0)</f>
        <v>0</v>
      </c>
    </row>
    <row r="33">
      <c r="A33" s="1" t="s">
        <v>15</v>
      </c>
      <c r="B33" s="4">
        <v>32.0</v>
      </c>
      <c r="C33" s="1" t="s">
        <v>71</v>
      </c>
      <c r="D33" s="4">
        <v>12.0</v>
      </c>
      <c r="E33" s="4">
        <v>10.0</v>
      </c>
      <c r="F33" s="4">
        <v>6.0</v>
      </c>
      <c r="G33" s="4">
        <v>4.0</v>
      </c>
      <c r="H33" s="4">
        <v>0.0</v>
      </c>
      <c r="I33" s="4">
        <v>29.0</v>
      </c>
      <c r="J33" s="4">
        <v>23.0</v>
      </c>
      <c r="K33" s="4">
        <v>6.0</v>
      </c>
      <c r="L33" s="2" t="s">
        <v>72</v>
      </c>
      <c r="M33" s="5">
        <f>IFERROR(__xludf.DUMMYFUNCTION("""COMPUTED_VALUE"""),15.0)</f>
        <v>15</v>
      </c>
      <c r="N33" s="5">
        <f>IFERROR(__xludf.DUMMYFUNCTION("""COMPUTED_VALUE"""),8.0)</f>
        <v>8</v>
      </c>
      <c r="O33" s="5">
        <f>IFERROR(__xludf.DUMMYFUNCTION("""COMPUTED_VALUE"""),1.0)</f>
        <v>1</v>
      </c>
    </row>
    <row r="34">
      <c r="A34" s="1" t="s">
        <v>15</v>
      </c>
      <c r="B34" s="4">
        <v>33.0</v>
      </c>
      <c r="C34" s="1" t="s">
        <v>73</v>
      </c>
      <c r="D34" s="4">
        <v>12.0</v>
      </c>
      <c r="E34" s="4">
        <v>12.0</v>
      </c>
      <c r="F34" s="4">
        <v>6.0</v>
      </c>
      <c r="G34" s="4">
        <v>6.0</v>
      </c>
      <c r="H34" s="4">
        <v>0.0</v>
      </c>
      <c r="I34" s="4">
        <v>43.0</v>
      </c>
      <c r="J34" s="4">
        <v>43.0</v>
      </c>
      <c r="K34" s="4">
        <v>0.0</v>
      </c>
      <c r="L34" s="2" t="s">
        <v>74</v>
      </c>
      <c r="M34" s="5">
        <f>IFERROR(__xludf.DUMMYFUNCTION("""COMPUTED_VALUE"""),11.0)</f>
        <v>11</v>
      </c>
      <c r="N34" s="5">
        <f>IFERROR(__xludf.DUMMYFUNCTION("""COMPUTED_VALUE"""),13.0)</f>
        <v>13</v>
      </c>
      <c r="O34" s="5">
        <f>IFERROR(__xludf.DUMMYFUNCTION("""COMPUTED_VALUE"""),0.0)</f>
        <v>0</v>
      </c>
    </row>
    <row r="35">
      <c r="A35" s="1" t="s">
        <v>15</v>
      </c>
      <c r="B35" s="4">
        <v>34.0</v>
      </c>
      <c r="C35" s="1" t="s">
        <v>75</v>
      </c>
      <c r="D35" s="4">
        <v>11.0</v>
      </c>
      <c r="E35" s="4">
        <v>10.0</v>
      </c>
      <c r="F35" s="4">
        <v>5.0</v>
      </c>
      <c r="G35" s="4">
        <v>4.0</v>
      </c>
      <c r="H35" s="4">
        <v>1.0</v>
      </c>
      <c r="I35" s="4">
        <v>35.0</v>
      </c>
      <c r="J35" s="4">
        <v>26.0</v>
      </c>
      <c r="K35" s="4">
        <v>9.0</v>
      </c>
      <c r="L35" s="2" t="s">
        <v>76</v>
      </c>
      <c r="M35" s="5">
        <f>IFERROR(__xludf.DUMMYFUNCTION("""COMPUTED_VALUE"""),8.0)</f>
        <v>8</v>
      </c>
      <c r="N35" s="5">
        <f>IFERROR(__xludf.DUMMYFUNCTION("""COMPUTED_VALUE"""),11.0)</f>
        <v>11</v>
      </c>
      <c r="O35" s="5">
        <f>IFERROR(__xludf.DUMMYFUNCTION("""COMPUTED_VALUE"""),3.0)</f>
        <v>3</v>
      </c>
    </row>
    <row r="36">
      <c r="A36" s="1" t="s">
        <v>15</v>
      </c>
      <c r="B36" s="4">
        <v>35.0</v>
      </c>
      <c r="C36" s="1" t="s">
        <v>77</v>
      </c>
      <c r="D36" s="4">
        <v>10.0</v>
      </c>
      <c r="E36" s="4">
        <v>5.0</v>
      </c>
      <c r="F36" s="4">
        <v>5.0</v>
      </c>
      <c r="G36" s="4">
        <v>0.0</v>
      </c>
      <c r="H36" s="4">
        <v>0.0</v>
      </c>
      <c r="I36" s="4">
        <v>30.0</v>
      </c>
      <c r="J36" s="4">
        <v>3.0</v>
      </c>
      <c r="K36" s="4">
        <v>27.0</v>
      </c>
      <c r="L36" s="2" t="s">
        <v>78</v>
      </c>
      <c r="M36" s="5">
        <f>IFERROR(__xludf.DUMMYFUNCTION("""COMPUTED_VALUE"""),14.0)</f>
        <v>14</v>
      </c>
      <c r="N36" s="5">
        <f>IFERROR(__xludf.DUMMYFUNCTION("""COMPUTED_VALUE"""),7.0)</f>
        <v>7</v>
      </c>
      <c r="O36" s="5">
        <f>IFERROR(__xludf.DUMMYFUNCTION("""COMPUTED_VALUE"""),1.0)</f>
        <v>1</v>
      </c>
    </row>
    <row r="37">
      <c r="A37" s="1" t="s">
        <v>15</v>
      </c>
      <c r="B37" s="4">
        <v>36.0</v>
      </c>
      <c r="C37" s="1" t="s">
        <v>79</v>
      </c>
      <c r="D37" s="4">
        <v>10.0</v>
      </c>
      <c r="E37" s="4">
        <v>10.0</v>
      </c>
      <c r="F37" s="4">
        <v>5.0</v>
      </c>
      <c r="G37" s="4">
        <v>5.0</v>
      </c>
      <c r="H37" s="4">
        <v>0.0</v>
      </c>
      <c r="I37" s="4">
        <v>44.0</v>
      </c>
      <c r="J37" s="4">
        <v>31.0</v>
      </c>
      <c r="K37" s="4">
        <v>13.0</v>
      </c>
      <c r="L37" s="2" t="s">
        <v>80</v>
      </c>
      <c r="M37" s="5">
        <f>IFERROR(__xludf.DUMMYFUNCTION("""COMPUTED_VALUE"""),12.0)</f>
        <v>12</v>
      </c>
      <c r="N37" s="5">
        <f>IFERROR(__xludf.DUMMYFUNCTION("""COMPUTED_VALUE"""),12.0)</f>
        <v>12</v>
      </c>
      <c r="O37" s="5">
        <f>IFERROR(__xludf.DUMMYFUNCTION("""COMPUTED_VALUE"""),2000.0)</f>
        <v>2000</v>
      </c>
    </row>
    <row r="38">
      <c r="A38" s="1" t="s">
        <v>15</v>
      </c>
      <c r="B38" s="4">
        <v>37.0</v>
      </c>
      <c r="C38" s="1" t="s">
        <v>81</v>
      </c>
      <c r="D38" s="4">
        <v>10.0</v>
      </c>
      <c r="E38" s="4">
        <v>8.0</v>
      </c>
      <c r="F38" s="4">
        <v>5.0</v>
      </c>
      <c r="G38" s="4">
        <v>2.0</v>
      </c>
      <c r="H38" s="4">
        <v>1.0</v>
      </c>
      <c r="I38" s="4">
        <v>26.0</v>
      </c>
      <c r="J38" s="4">
        <v>16.0</v>
      </c>
      <c r="K38" s="4">
        <v>10.0</v>
      </c>
      <c r="L38" s="2" t="s">
        <v>82</v>
      </c>
      <c r="M38" s="5">
        <f>IFERROR(__xludf.DUMMYFUNCTION("""COMPUTED_VALUE"""),11.0)</f>
        <v>11</v>
      </c>
      <c r="N38" s="5">
        <f>IFERROR(__xludf.DUMMYFUNCTION("""COMPUTED_VALUE"""),12.0)</f>
        <v>12</v>
      </c>
      <c r="O38" s="5">
        <f>IFERROR(__xludf.DUMMYFUNCTION("""COMPUTED_VALUE"""),2001.0)</f>
        <v>2001</v>
      </c>
    </row>
    <row r="39">
      <c r="A39" s="1" t="s">
        <v>15</v>
      </c>
      <c r="B39" s="4">
        <v>38.0</v>
      </c>
      <c r="C39" s="1" t="s">
        <v>83</v>
      </c>
      <c r="D39" s="4">
        <v>10.0</v>
      </c>
      <c r="E39" s="4">
        <v>9.0</v>
      </c>
      <c r="F39" s="4">
        <v>5.0</v>
      </c>
      <c r="G39" s="4">
        <v>4.0</v>
      </c>
      <c r="H39" s="4">
        <v>0.0</v>
      </c>
      <c r="I39" s="4">
        <v>36.0</v>
      </c>
      <c r="J39" s="4">
        <v>28.0</v>
      </c>
      <c r="K39" s="4">
        <v>8.0</v>
      </c>
      <c r="L39" s="2" t="s">
        <v>84</v>
      </c>
      <c r="M39" s="5">
        <f>IFERROR(__xludf.DUMMYFUNCTION("""COMPUTED_VALUE"""),13.0)</f>
        <v>13</v>
      </c>
      <c r="N39" s="5">
        <f>IFERROR(__xludf.DUMMYFUNCTION("""COMPUTED_VALUE"""),9.0)</f>
        <v>9</v>
      </c>
      <c r="O39" s="5">
        <f>IFERROR(__xludf.DUMMYFUNCTION("""COMPUTED_VALUE"""),1.0)</f>
        <v>1</v>
      </c>
    </row>
    <row r="40">
      <c r="A40" s="1" t="s">
        <v>15</v>
      </c>
      <c r="B40" s="4">
        <v>39.0</v>
      </c>
      <c r="C40" s="1" t="s">
        <v>85</v>
      </c>
      <c r="D40" s="4">
        <v>10.0</v>
      </c>
      <c r="E40" s="4">
        <v>9.0</v>
      </c>
      <c r="F40" s="4">
        <v>5.0</v>
      </c>
      <c r="G40" s="4">
        <v>4.0</v>
      </c>
      <c r="H40" s="4">
        <v>0.0</v>
      </c>
      <c r="I40" s="4">
        <v>37.0</v>
      </c>
      <c r="J40" s="4">
        <v>38.0</v>
      </c>
      <c r="K40" s="4">
        <v>-1.0</v>
      </c>
      <c r="L40" s="2" t="s">
        <v>55</v>
      </c>
      <c r="M40" s="5">
        <f>IFERROR(__xludf.DUMMYFUNCTION("""COMPUTED_VALUE"""),17.0)</f>
        <v>17</v>
      </c>
      <c r="N40" s="5">
        <f>IFERROR(__xludf.DUMMYFUNCTION("""COMPUTED_VALUE"""),6.0)</f>
        <v>6</v>
      </c>
      <c r="O40" s="5">
        <f>IFERROR(__xludf.DUMMYFUNCTION("""COMPUTED_VALUE"""),0.0)</f>
        <v>0</v>
      </c>
    </row>
    <row r="41">
      <c r="A41" s="1" t="s">
        <v>15</v>
      </c>
      <c r="B41" s="4">
        <v>40.0</v>
      </c>
      <c r="C41" s="1" t="s">
        <v>86</v>
      </c>
      <c r="D41" s="4">
        <v>10.0</v>
      </c>
      <c r="E41" s="4">
        <v>12.0</v>
      </c>
      <c r="F41" s="4">
        <v>5.0</v>
      </c>
      <c r="G41" s="4">
        <v>7.0</v>
      </c>
      <c r="H41" s="4">
        <v>0.0</v>
      </c>
      <c r="I41" s="4">
        <v>34.0</v>
      </c>
      <c r="J41" s="4">
        <v>36.0</v>
      </c>
      <c r="K41" s="4">
        <v>-2.0</v>
      </c>
      <c r="L41" s="2" t="s">
        <v>87</v>
      </c>
      <c r="M41" s="5">
        <f>IFERROR(__xludf.DUMMYFUNCTION("""COMPUTED_VALUE"""),8.0)</f>
        <v>8</v>
      </c>
      <c r="N41" s="5">
        <f>IFERROR(__xludf.DUMMYFUNCTION("""COMPUTED_VALUE"""),16.0)</f>
        <v>16</v>
      </c>
      <c r="O41" s="5">
        <f>IFERROR(__xludf.DUMMYFUNCTION("""COMPUTED_VALUE"""),2000.0)</f>
        <v>2000</v>
      </c>
    </row>
    <row r="42">
      <c r="A42" s="1" t="s">
        <v>15</v>
      </c>
      <c r="B42" s="4">
        <v>41.0</v>
      </c>
      <c r="C42" s="1" t="s">
        <v>88</v>
      </c>
      <c r="D42" s="4">
        <v>9.0</v>
      </c>
      <c r="E42" s="4">
        <v>8.0</v>
      </c>
      <c r="F42" s="4">
        <v>4.0</v>
      </c>
      <c r="G42" s="4">
        <v>3.0</v>
      </c>
      <c r="H42" s="4">
        <v>1.0</v>
      </c>
      <c r="I42" s="4">
        <v>36.0</v>
      </c>
      <c r="J42" s="4">
        <v>18.0</v>
      </c>
      <c r="K42" s="4">
        <v>18.0</v>
      </c>
      <c r="L42" s="2" t="s">
        <v>89</v>
      </c>
      <c r="M42" s="5">
        <f>IFERROR(__xludf.DUMMYFUNCTION("""COMPUTED_VALUE"""),12.0)</f>
        <v>12</v>
      </c>
      <c r="N42" s="5">
        <f>IFERROR(__xludf.DUMMYFUNCTION("""COMPUTED_VALUE"""),10.0)</f>
        <v>10</v>
      </c>
      <c r="O42" s="5">
        <f>IFERROR(__xludf.DUMMYFUNCTION("""COMPUTED_VALUE"""),2001.0)</f>
        <v>2001</v>
      </c>
    </row>
    <row r="43">
      <c r="A43" s="1" t="s">
        <v>15</v>
      </c>
      <c r="B43" s="4">
        <v>42.0</v>
      </c>
      <c r="C43" s="1" t="s">
        <v>90</v>
      </c>
      <c r="D43" s="4">
        <v>9.0</v>
      </c>
      <c r="E43" s="4">
        <v>7.0</v>
      </c>
      <c r="F43" s="4">
        <v>4.0</v>
      </c>
      <c r="G43" s="4">
        <v>2.0</v>
      </c>
      <c r="H43" s="4">
        <v>1.0</v>
      </c>
      <c r="I43" s="4">
        <v>18.0</v>
      </c>
      <c r="J43" s="4">
        <v>15.0</v>
      </c>
      <c r="K43" s="4">
        <v>3.0</v>
      </c>
      <c r="L43" s="2" t="s">
        <v>91</v>
      </c>
      <c r="M43" s="5">
        <f>IFERROR(__xludf.DUMMYFUNCTION("""COMPUTED_VALUE"""),6.0)</f>
        <v>6</v>
      </c>
      <c r="N43" s="5">
        <f>IFERROR(__xludf.DUMMYFUNCTION("""COMPUTED_VALUE"""),17.0)</f>
        <v>17</v>
      </c>
      <c r="O43" s="5">
        <f>IFERROR(__xludf.DUMMYFUNCTION("""COMPUTED_VALUE"""),2001.0)</f>
        <v>2001</v>
      </c>
    </row>
    <row r="44">
      <c r="A44" s="1" t="s">
        <v>15</v>
      </c>
      <c r="B44" s="4">
        <v>43.0</v>
      </c>
      <c r="C44" s="1" t="s">
        <v>92</v>
      </c>
      <c r="D44" s="4">
        <v>8.0</v>
      </c>
      <c r="E44" s="4">
        <v>8.0</v>
      </c>
      <c r="F44" s="4">
        <v>4.0</v>
      </c>
      <c r="G44" s="4">
        <v>4.0</v>
      </c>
      <c r="H44" s="4">
        <v>0.0</v>
      </c>
      <c r="I44" s="4">
        <v>41.0</v>
      </c>
      <c r="J44" s="4">
        <v>31.0</v>
      </c>
      <c r="K44" s="4">
        <v>10.0</v>
      </c>
      <c r="L44" s="2" t="s">
        <v>93</v>
      </c>
      <c r="M44" s="5">
        <f>IFERROR(__xludf.DUMMYFUNCTION("""COMPUTED_VALUE"""),13.0)</f>
        <v>13</v>
      </c>
      <c r="N44" s="5">
        <f>IFERROR(__xludf.DUMMYFUNCTION("""COMPUTED_VALUE"""),10.0)</f>
        <v>10</v>
      </c>
      <c r="O44" s="5">
        <f>IFERROR(__xludf.DUMMYFUNCTION("""COMPUTED_VALUE"""),0.0)</f>
        <v>0</v>
      </c>
    </row>
    <row r="45">
      <c r="A45" s="1" t="s">
        <v>15</v>
      </c>
      <c r="B45" s="4">
        <v>44.0</v>
      </c>
      <c r="C45" s="1" t="s">
        <v>94</v>
      </c>
      <c r="D45" s="4">
        <v>8.0</v>
      </c>
      <c r="E45" s="4">
        <v>12.0</v>
      </c>
      <c r="F45" s="4">
        <v>4.0</v>
      </c>
      <c r="G45" s="4">
        <v>8.0</v>
      </c>
      <c r="H45" s="4">
        <v>0.0</v>
      </c>
      <c r="I45" s="4">
        <v>45.0</v>
      </c>
      <c r="J45" s="4">
        <v>47.0</v>
      </c>
      <c r="K45" s="4">
        <v>-2.0</v>
      </c>
      <c r="L45" s="2" t="s">
        <v>95</v>
      </c>
      <c r="M45" s="5">
        <f>IFERROR(__xludf.DUMMYFUNCTION("""COMPUTED_VALUE"""),9.0)</f>
        <v>9</v>
      </c>
      <c r="N45" s="5">
        <f>IFERROR(__xludf.DUMMYFUNCTION("""COMPUTED_VALUE"""),14.0)</f>
        <v>14</v>
      </c>
      <c r="O45" s="5">
        <f>IFERROR(__xludf.DUMMYFUNCTION("""COMPUTED_VALUE"""),2000.0)</f>
        <v>2000</v>
      </c>
    </row>
    <row r="46">
      <c r="A46" s="1" t="s">
        <v>15</v>
      </c>
      <c r="B46" s="4">
        <v>45.0</v>
      </c>
      <c r="C46" s="1" t="s">
        <v>96</v>
      </c>
      <c r="D46" s="4">
        <v>8.0</v>
      </c>
      <c r="E46" s="4">
        <v>10.0</v>
      </c>
      <c r="F46" s="4">
        <v>4.0</v>
      </c>
      <c r="G46" s="4">
        <v>6.0</v>
      </c>
      <c r="H46" s="4">
        <v>0.0</v>
      </c>
      <c r="I46" s="4">
        <v>33.0</v>
      </c>
      <c r="J46" s="4">
        <v>39.0</v>
      </c>
      <c r="K46" s="4">
        <v>-6.0</v>
      </c>
      <c r="L46" s="2" t="s">
        <v>97</v>
      </c>
      <c r="M46" s="5">
        <f>IFERROR(__xludf.DUMMYFUNCTION("""COMPUTED_VALUE"""),10.0)</f>
        <v>10</v>
      </c>
      <c r="N46" s="5">
        <f>IFERROR(__xludf.DUMMYFUNCTION("""COMPUTED_VALUE"""),13.0)</f>
        <v>13</v>
      </c>
      <c r="O46" s="5">
        <f>IFERROR(__xludf.DUMMYFUNCTION("""COMPUTED_VALUE"""),2000.0)</f>
        <v>2000</v>
      </c>
    </row>
    <row r="47">
      <c r="A47" s="1" t="s">
        <v>15</v>
      </c>
      <c r="B47" s="4">
        <v>46.0</v>
      </c>
      <c r="C47" s="1" t="s">
        <v>98</v>
      </c>
      <c r="D47" s="4">
        <v>8.0</v>
      </c>
      <c r="E47" s="4">
        <v>12.0</v>
      </c>
      <c r="F47" s="4">
        <v>4.0</v>
      </c>
      <c r="G47" s="4">
        <v>8.0</v>
      </c>
      <c r="H47" s="4">
        <v>0.0</v>
      </c>
      <c r="I47" s="4">
        <v>35.0</v>
      </c>
      <c r="J47" s="4">
        <v>45.0</v>
      </c>
      <c r="K47" s="4">
        <v>-10.0</v>
      </c>
      <c r="L47" s="2" t="s">
        <v>51</v>
      </c>
      <c r="M47" s="5">
        <f>IFERROR(__xludf.DUMMYFUNCTION("""COMPUTED_VALUE"""),15.0)</f>
        <v>15</v>
      </c>
      <c r="N47" s="5">
        <f>IFERROR(__xludf.DUMMYFUNCTION("""COMPUTED_VALUE"""),9.0)</f>
        <v>9</v>
      </c>
      <c r="O47" s="5">
        <f>IFERROR(__xludf.DUMMYFUNCTION("""COMPUTED_VALUE"""),0.0)</f>
        <v>0</v>
      </c>
    </row>
    <row r="48">
      <c r="A48" s="1" t="s">
        <v>15</v>
      </c>
      <c r="B48" s="4">
        <v>47.0</v>
      </c>
      <c r="C48" s="1" t="s">
        <v>99</v>
      </c>
      <c r="D48" s="4">
        <v>8.0</v>
      </c>
      <c r="E48" s="4">
        <v>12.0</v>
      </c>
      <c r="F48" s="4">
        <v>4.0</v>
      </c>
      <c r="G48" s="4">
        <v>8.0</v>
      </c>
      <c r="H48" s="4">
        <v>0.0</v>
      </c>
      <c r="I48" s="4">
        <v>36.0</v>
      </c>
      <c r="J48" s="4">
        <v>50.0</v>
      </c>
      <c r="K48" s="4">
        <v>-14.0</v>
      </c>
      <c r="L48" s="2" t="s">
        <v>100</v>
      </c>
      <c r="M48" s="5">
        <f>IFERROR(__xludf.DUMMYFUNCTION("""COMPUTED_VALUE"""),7.0)</f>
        <v>7</v>
      </c>
      <c r="N48" s="5">
        <f>IFERROR(__xludf.DUMMYFUNCTION("""COMPUTED_VALUE"""),15.0)</f>
        <v>15</v>
      </c>
      <c r="O48" s="5">
        <f>IFERROR(__xludf.DUMMYFUNCTION("""COMPUTED_VALUE"""),2000.0)</f>
        <v>2000</v>
      </c>
    </row>
    <row r="49">
      <c r="A49" s="1" t="s">
        <v>15</v>
      </c>
      <c r="B49" s="4">
        <v>48.0</v>
      </c>
      <c r="C49" s="1" t="s">
        <v>101</v>
      </c>
      <c r="D49" s="4">
        <v>8.0</v>
      </c>
      <c r="E49" s="4">
        <v>10.0</v>
      </c>
      <c r="F49" s="4">
        <v>4.0</v>
      </c>
      <c r="G49" s="4">
        <v>6.0</v>
      </c>
      <c r="H49" s="4">
        <v>0.0</v>
      </c>
      <c r="I49" s="4">
        <v>34.0</v>
      </c>
      <c r="J49" s="4">
        <v>51.0</v>
      </c>
      <c r="K49" s="4">
        <v>-17.0</v>
      </c>
      <c r="L49" s="2" t="s">
        <v>102</v>
      </c>
      <c r="M49" s="5">
        <f>IFERROR(__xludf.DUMMYFUNCTION("""COMPUTED_VALUE"""),13.0)</f>
        <v>13</v>
      </c>
      <c r="N49" s="5">
        <f>IFERROR(__xludf.DUMMYFUNCTION("""COMPUTED_VALUE"""),11.0)</f>
        <v>11</v>
      </c>
      <c r="O49" s="5">
        <f>IFERROR(__xludf.DUMMYFUNCTION("""COMPUTED_VALUE"""),0.0)</f>
        <v>0</v>
      </c>
    </row>
    <row r="50">
      <c r="A50" s="1" t="s">
        <v>15</v>
      </c>
      <c r="B50" s="4">
        <v>49.0</v>
      </c>
      <c r="C50" s="1" t="s">
        <v>103</v>
      </c>
      <c r="D50" s="4">
        <v>8.0</v>
      </c>
      <c r="E50" s="4">
        <v>10.0</v>
      </c>
      <c r="F50" s="4">
        <v>4.0</v>
      </c>
      <c r="G50" s="4">
        <v>6.0</v>
      </c>
      <c r="H50" s="4">
        <v>0.0</v>
      </c>
      <c r="I50" s="4">
        <v>35.0</v>
      </c>
      <c r="J50" s="4">
        <v>53.0</v>
      </c>
      <c r="K50" s="4">
        <v>-18.0</v>
      </c>
      <c r="L50" s="2" t="s">
        <v>104</v>
      </c>
      <c r="M50" s="5">
        <f>IFERROR(__xludf.DUMMYFUNCTION("""COMPUTED_VALUE"""),11.0)</f>
        <v>11</v>
      </c>
      <c r="N50" s="5">
        <f>IFERROR(__xludf.DUMMYFUNCTION("""COMPUTED_VALUE"""),11.0)</f>
        <v>11</v>
      </c>
      <c r="O50" s="5">
        <f>IFERROR(__xludf.DUMMYFUNCTION("""COMPUTED_VALUE"""),2000.0)</f>
        <v>2000</v>
      </c>
    </row>
    <row r="51">
      <c r="A51" s="1" t="s">
        <v>15</v>
      </c>
      <c r="B51" s="4">
        <v>50.0</v>
      </c>
      <c r="C51" s="1" t="s">
        <v>105</v>
      </c>
      <c r="D51" s="4">
        <v>8.0</v>
      </c>
      <c r="E51" s="4">
        <v>10.0</v>
      </c>
      <c r="F51" s="4">
        <v>4.0</v>
      </c>
      <c r="G51" s="4">
        <v>6.0</v>
      </c>
      <c r="H51" s="4">
        <v>0.0</v>
      </c>
      <c r="I51" s="4">
        <v>29.0</v>
      </c>
      <c r="J51" s="4">
        <v>48.0</v>
      </c>
      <c r="K51" s="4">
        <v>-19.0</v>
      </c>
      <c r="L51" s="2" t="s">
        <v>97</v>
      </c>
      <c r="M51" s="5">
        <f>IFERROR(__xludf.DUMMYFUNCTION("""COMPUTED_VALUE"""),10.0)</f>
        <v>10</v>
      </c>
      <c r="N51" s="5">
        <f>IFERROR(__xludf.DUMMYFUNCTION("""COMPUTED_VALUE"""),13.0)</f>
        <v>13</v>
      </c>
      <c r="O51" s="5">
        <f>IFERROR(__xludf.DUMMYFUNCTION("""COMPUTED_VALUE"""),2000.0)</f>
        <v>2000</v>
      </c>
    </row>
    <row r="52">
      <c r="A52" s="1" t="s">
        <v>15</v>
      </c>
      <c r="B52" s="4">
        <v>51.0</v>
      </c>
      <c r="C52" s="1" t="s">
        <v>106</v>
      </c>
      <c r="D52" s="4">
        <v>8.0</v>
      </c>
      <c r="E52" s="4">
        <v>13.0</v>
      </c>
      <c r="F52" s="4">
        <v>4.0</v>
      </c>
      <c r="G52" s="4">
        <v>9.0</v>
      </c>
      <c r="H52" s="4">
        <v>0.0</v>
      </c>
      <c r="I52" s="4">
        <v>33.0</v>
      </c>
      <c r="J52" s="4">
        <v>55.0</v>
      </c>
      <c r="K52" s="4">
        <v>-22.0</v>
      </c>
      <c r="L52" s="2" t="s">
        <v>107</v>
      </c>
      <c r="M52" s="5">
        <f>IFERROR(__xludf.DUMMYFUNCTION("""COMPUTED_VALUE"""),5.0)</f>
        <v>5</v>
      </c>
      <c r="N52" s="5">
        <f>IFERROR(__xludf.DUMMYFUNCTION("""COMPUTED_VALUE"""),19.0)</f>
        <v>19</v>
      </c>
      <c r="O52" s="5">
        <f>IFERROR(__xludf.DUMMYFUNCTION("""COMPUTED_VALUE"""),2000.0)</f>
        <v>2000</v>
      </c>
    </row>
    <row r="53">
      <c r="A53" s="1" t="s">
        <v>15</v>
      </c>
      <c r="B53" s="4">
        <v>52.0</v>
      </c>
      <c r="C53" s="1" t="s">
        <v>108</v>
      </c>
      <c r="D53" s="4">
        <v>6.0</v>
      </c>
      <c r="E53" s="4">
        <v>4.0</v>
      </c>
      <c r="F53" s="4">
        <v>3.0</v>
      </c>
      <c r="G53" s="4">
        <v>1.0</v>
      </c>
      <c r="H53" s="4">
        <v>0.0</v>
      </c>
      <c r="I53" s="4">
        <v>22.0</v>
      </c>
      <c r="J53" s="4">
        <v>18.0</v>
      </c>
      <c r="K53" s="4">
        <v>4.0</v>
      </c>
      <c r="L53" s="2" t="s">
        <v>109</v>
      </c>
      <c r="M53" s="5">
        <f>IFERROR(__xludf.DUMMYFUNCTION("""COMPUTED_VALUE"""),14.0)</f>
        <v>14</v>
      </c>
      <c r="N53" s="5">
        <f>IFERROR(__xludf.DUMMYFUNCTION("""COMPUTED_VALUE"""),9.0)</f>
        <v>9</v>
      </c>
      <c r="O53" s="5">
        <f>IFERROR(__xludf.DUMMYFUNCTION("""COMPUTED_VALUE"""),0.0)</f>
        <v>0</v>
      </c>
    </row>
    <row r="54">
      <c r="A54" s="1" t="s">
        <v>15</v>
      </c>
      <c r="B54" s="4">
        <v>53.0</v>
      </c>
      <c r="C54" s="1" t="s">
        <v>110</v>
      </c>
      <c r="D54" s="4">
        <v>6.0</v>
      </c>
      <c r="E54" s="4">
        <v>6.0</v>
      </c>
      <c r="F54" s="4">
        <v>3.0</v>
      </c>
      <c r="G54" s="4">
        <v>3.0</v>
      </c>
      <c r="H54" s="4">
        <v>0.0</v>
      </c>
      <c r="I54" s="4">
        <v>22.0</v>
      </c>
      <c r="J54" s="4">
        <v>19.0</v>
      </c>
      <c r="K54" s="4">
        <v>3.0</v>
      </c>
      <c r="L54" s="2" t="s">
        <v>111</v>
      </c>
      <c r="M54" s="5">
        <f>IFERROR(__xludf.DUMMYFUNCTION("""COMPUTED_VALUE"""),9.0)</f>
        <v>9</v>
      </c>
      <c r="N54" s="5">
        <f>IFERROR(__xludf.DUMMYFUNCTION("""COMPUTED_VALUE"""),16.0)</f>
        <v>16</v>
      </c>
      <c r="O54" s="5">
        <f>IFERROR(__xludf.DUMMYFUNCTION("""COMPUTED_VALUE"""),2000.0)</f>
        <v>2000</v>
      </c>
    </row>
    <row r="55">
      <c r="A55" s="1" t="s">
        <v>15</v>
      </c>
      <c r="B55" s="4">
        <v>54.0</v>
      </c>
      <c r="C55" s="1" t="s">
        <v>112</v>
      </c>
      <c r="D55" s="4">
        <v>6.0</v>
      </c>
      <c r="E55" s="4">
        <v>5.0</v>
      </c>
      <c r="F55" s="4">
        <v>3.0</v>
      </c>
      <c r="G55" s="4">
        <v>2.0</v>
      </c>
      <c r="H55" s="4">
        <v>0.0</v>
      </c>
      <c r="I55" s="4">
        <v>19.0</v>
      </c>
      <c r="J55" s="4">
        <v>17.0</v>
      </c>
      <c r="K55" s="4">
        <v>2.0</v>
      </c>
      <c r="L55" s="2" t="s">
        <v>109</v>
      </c>
      <c r="M55" s="5">
        <f>IFERROR(__xludf.DUMMYFUNCTION("""COMPUTED_VALUE"""),14.0)</f>
        <v>14</v>
      </c>
      <c r="N55" s="5">
        <f>IFERROR(__xludf.DUMMYFUNCTION("""COMPUTED_VALUE"""),9.0)</f>
        <v>9</v>
      </c>
      <c r="O55" s="5">
        <f>IFERROR(__xludf.DUMMYFUNCTION("""COMPUTED_VALUE"""),0.0)</f>
        <v>0</v>
      </c>
    </row>
    <row r="56">
      <c r="A56" s="1" t="s">
        <v>15</v>
      </c>
      <c r="B56" s="4">
        <v>55.0</v>
      </c>
      <c r="C56" s="1" t="s">
        <v>113</v>
      </c>
      <c r="D56" s="4">
        <v>6.0</v>
      </c>
      <c r="E56" s="4">
        <v>7.0</v>
      </c>
      <c r="F56" s="4">
        <v>3.0</v>
      </c>
      <c r="G56" s="4">
        <v>4.0</v>
      </c>
      <c r="H56" s="4">
        <v>0.0</v>
      </c>
      <c r="I56" s="4">
        <v>14.0</v>
      </c>
      <c r="J56" s="4">
        <v>24.0</v>
      </c>
      <c r="K56" s="4">
        <v>-10.0</v>
      </c>
      <c r="L56" s="2" t="s">
        <v>97</v>
      </c>
      <c r="M56" s="5">
        <f>IFERROR(__xludf.DUMMYFUNCTION("""COMPUTED_VALUE"""),10.0)</f>
        <v>10</v>
      </c>
      <c r="N56" s="5">
        <f>IFERROR(__xludf.DUMMYFUNCTION("""COMPUTED_VALUE"""),13.0)</f>
        <v>13</v>
      </c>
      <c r="O56" s="5">
        <f>IFERROR(__xludf.DUMMYFUNCTION("""COMPUTED_VALUE"""),2000.0)</f>
        <v>2000</v>
      </c>
    </row>
    <row r="57">
      <c r="A57" s="1" t="s">
        <v>15</v>
      </c>
      <c r="B57" s="4">
        <v>56.0</v>
      </c>
      <c r="C57" s="1" t="s">
        <v>114</v>
      </c>
      <c r="D57" s="4">
        <v>6.0</v>
      </c>
      <c r="E57" s="4">
        <v>9.0</v>
      </c>
      <c r="F57" s="4">
        <v>3.0</v>
      </c>
      <c r="G57" s="4">
        <v>6.0</v>
      </c>
      <c r="H57" s="4">
        <v>0.0</v>
      </c>
      <c r="I57" s="4">
        <v>30.0</v>
      </c>
      <c r="J57" s="4">
        <v>40.0</v>
      </c>
      <c r="K57" s="4">
        <v>-10.0</v>
      </c>
      <c r="L57" s="2" t="s">
        <v>115</v>
      </c>
      <c r="M57" s="5">
        <f>IFERROR(__xludf.DUMMYFUNCTION("""COMPUTED_VALUE"""),4.0)</f>
        <v>4</v>
      </c>
      <c r="N57" s="5">
        <f>IFERROR(__xludf.DUMMYFUNCTION("""COMPUTED_VALUE"""),17.0)</f>
        <v>17</v>
      </c>
      <c r="O57" s="5">
        <f>IFERROR(__xludf.DUMMYFUNCTION("""COMPUTED_VALUE"""),2000.0)</f>
        <v>2000</v>
      </c>
    </row>
    <row r="58">
      <c r="A58" s="1" t="s">
        <v>15</v>
      </c>
      <c r="B58" s="4">
        <v>57.0</v>
      </c>
      <c r="C58" s="1" t="s">
        <v>116</v>
      </c>
      <c r="D58" s="4">
        <v>6.0</v>
      </c>
      <c r="E58" s="4">
        <v>9.0</v>
      </c>
      <c r="F58" s="4">
        <v>3.0</v>
      </c>
      <c r="G58" s="4">
        <v>6.0</v>
      </c>
      <c r="H58" s="4">
        <v>0.0</v>
      </c>
      <c r="I58" s="4">
        <v>27.0</v>
      </c>
      <c r="J58" s="4">
        <v>39.0</v>
      </c>
      <c r="K58" s="4">
        <v>-12.0</v>
      </c>
      <c r="L58" s="2" t="s">
        <v>80</v>
      </c>
      <c r="M58" s="5">
        <f>IFERROR(__xludf.DUMMYFUNCTION("""COMPUTED_VALUE"""),12.0)</f>
        <v>12</v>
      </c>
      <c r="N58" s="5">
        <f>IFERROR(__xludf.DUMMYFUNCTION("""COMPUTED_VALUE"""),12.0)</f>
        <v>12</v>
      </c>
      <c r="O58" s="5">
        <f>IFERROR(__xludf.DUMMYFUNCTION("""COMPUTED_VALUE"""),2000.0)</f>
        <v>2000</v>
      </c>
    </row>
    <row r="59">
      <c r="A59" s="1" t="s">
        <v>15</v>
      </c>
      <c r="B59" s="4">
        <v>58.0</v>
      </c>
      <c r="C59" s="1" t="s">
        <v>117</v>
      </c>
      <c r="D59" s="4">
        <v>6.0</v>
      </c>
      <c r="E59" s="4">
        <v>10.0</v>
      </c>
      <c r="F59" s="4">
        <v>3.0</v>
      </c>
      <c r="G59" s="4">
        <v>7.0</v>
      </c>
      <c r="H59" s="4">
        <v>0.0</v>
      </c>
      <c r="I59" s="4">
        <v>28.0</v>
      </c>
      <c r="J59" s="4">
        <v>48.0</v>
      </c>
      <c r="K59" s="4">
        <v>-20.0</v>
      </c>
      <c r="L59" s="2" t="s">
        <v>118</v>
      </c>
      <c r="M59" s="5">
        <f>IFERROR(__xludf.DUMMYFUNCTION("""COMPUTED_VALUE"""),9.0)</f>
        <v>9</v>
      </c>
      <c r="N59" s="5">
        <f>IFERROR(__xludf.DUMMYFUNCTION("""COMPUTED_VALUE"""),15.0)</f>
        <v>15</v>
      </c>
      <c r="O59" s="5">
        <f>IFERROR(__xludf.DUMMYFUNCTION("""COMPUTED_VALUE"""),2000.0)</f>
        <v>2000</v>
      </c>
    </row>
    <row r="60">
      <c r="A60" s="1" t="s">
        <v>15</v>
      </c>
      <c r="B60" s="4">
        <v>59.0</v>
      </c>
      <c r="C60" s="1" t="s">
        <v>119</v>
      </c>
      <c r="D60" s="4">
        <v>6.0</v>
      </c>
      <c r="E60" s="4">
        <v>12.0</v>
      </c>
      <c r="F60" s="4">
        <v>3.0</v>
      </c>
      <c r="G60" s="4">
        <v>9.0</v>
      </c>
      <c r="H60" s="4">
        <v>0.0</v>
      </c>
      <c r="I60" s="4">
        <v>30.0</v>
      </c>
      <c r="J60" s="4">
        <v>51.0</v>
      </c>
      <c r="K60" s="4">
        <v>-21.0</v>
      </c>
      <c r="L60" s="2" t="s">
        <v>120</v>
      </c>
      <c r="M60" s="5">
        <f>IFERROR(__xludf.DUMMYFUNCTION("""COMPUTED_VALUE"""),7.0)</f>
        <v>7</v>
      </c>
      <c r="N60" s="5">
        <f>IFERROR(__xludf.DUMMYFUNCTION("""COMPUTED_VALUE"""),16.0)</f>
        <v>16</v>
      </c>
      <c r="O60" s="5">
        <f>IFERROR(__xludf.DUMMYFUNCTION("""COMPUTED_VALUE"""),2000.0)</f>
        <v>2000</v>
      </c>
    </row>
    <row r="61">
      <c r="A61" s="1" t="s">
        <v>15</v>
      </c>
      <c r="B61" s="4">
        <v>60.0</v>
      </c>
      <c r="C61" s="1" t="s">
        <v>121</v>
      </c>
      <c r="D61" s="4">
        <v>6.0</v>
      </c>
      <c r="E61" s="4">
        <v>9.0</v>
      </c>
      <c r="F61" s="4">
        <v>3.0</v>
      </c>
      <c r="G61" s="4">
        <v>6.0</v>
      </c>
      <c r="H61" s="4">
        <v>0.0</v>
      </c>
      <c r="I61" s="4">
        <v>12.0</v>
      </c>
      <c r="J61" s="4">
        <v>50.0</v>
      </c>
      <c r="K61" s="4">
        <v>-38.0</v>
      </c>
      <c r="L61" s="2" t="s">
        <v>100</v>
      </c>
      <c r="M61" s="5">
        <f>IFERROR(__xludf.DUMMYFUNCTION("""COMPUTED_VALUE"""),7.0)</f>
        <v>7</v>
      </c>
      <c r="N61" s="5">
        <f>IFERROR(__xludf.DUMMYFUNCTION("""COMPUTED_VALUE"""),15.0)</f>
        <v>15</v>
      </c>
      <c r="O61" s="5">
        <f>IFERROR(__xludf.DUMMYFUNCTION("""COMPUTED_VALUE"""),2000.0)</f>
        <v>2000</v>
      </c>
    </row>
    <row r="62">
      <c r="A62" s="1" t="s">
        <v>15</v>
      </c>
      <c r="B62" s="4">
        <v>61.0</v>
      </c>
      <c r="C62" s="1" t="s">
        <v>122</v>
      </c>
      <c r="D62" s="4">
        <v>6.0</v>
      </c>
      <c r="E62" s="4">
        <v>15.0</v>
      </c>
      <c r="F62" s="4">
        <v>3.0</v>
      </c>
      <c r="G62" s="4">
        <v>12.0</v>
      </c>
      <c r="H62" s="4">
        <v>0.0</v>
      </c>
      <c r="I62" s="4">
        <v>38.0</v>
      </c>
      <c r="J62" s="4">
        <v>84.0</v>
      </c>
      <c r="K62" s="4">
        <v>-46.0</v>
      </c>
      <c r="L62" s="2" t="s">
        <v>107</v>
      </c>
      <c r="M62" s="5">
        <f>IFERROR(__xludf.DUMMYFUNCTION("""COMPUTED_VALUE"""),5.0)</f>
        <v>5</v>
      </c>
      <c r="N62" s="5">
        <f>IFERROR(__xludf.DUMMYFUNCTION("""COMPUTED_VALUE"""),19.0)</f>
        <v>19</v>
      </c>
      <c r="O62" s="5">
        <f>IFERROR(__xludf.DUMMYFUNCTION("""COMPUTED_VALUE"""),2000.0)</f>
        <v>2000</v>
      </c>
    </row>
    <row r="63">
      <c r="A63" s="1" t="s">
        <v>15</v>
      </c>
      <c r="B63" s="4">
        <v>62.0</v>
      </c>
      <c r="C63" s="1" t="s">
        <v>123</v>
      </c>
      <c r="D63" s="4">
        <v>6.0</v>
      </c>
      <c r="E63" s="4">
        <v>14.0</v>
      </c>
      <c r="F63" s="4">
        <v>3.0</v>
      </c>
      <c r="G63" s="4">
        <v>11.0</v>
      </c>
      <c r="H63" s="4">
        <v>0.0</v>
      </c>
      <c r="I63" s="4">
        <v>29.0</v>
      </c>
      <c r="J63" s="4">
        <v>81.0</v>
      </c>
      <c r="K63" s="4">
        <v>-52.0</v>
      </c>
      <c r="L63" s="2" t="s">
        <v>124</v>
      </c>
      <c r="M63" s="5">
        <f>IFERROR(__xludf.DUMMYFUNCTION("""COMPUTED_VALUE"""),7.0)</f>
        <v>7</v>
      </c>
      <c r="N63" s="5">
        <f>IFERROR(__xludf.DUMMYFUNCTION("""COMPUTED_VALUE"""),14.0)</f>
        <v>14</v>
      </c>
      <c r="O63" s="5">
        <f>IFERROR(__xludf.DUMMYFUNCTION("""COMPUTED_VALUE"""),2001.0)</f>
        <v>2001</v>
      </c>
    </row>
    <row r="64">
      <c r="A64" s="1" t="s">
        <v>15</v>
      </c>
      <c r="B64" s="4">
        <v>63.0</v>
      </c>
      <c r="C64" s="1" t="s">
        <v>125</v>
      </c>
      <c r="D64" s="4">
        <v>4.0</v>
      </c>
      <c r="E64" s="4">
        <v>4.0</v>
      </c>
      <c r="F64" s="4">
        <v>2.0</v>
      </c>
      <c r="G64" s="4">
        <v>2.0</v>
      </c>
      <c r="H64" s="4">
        <v>0.0</v>
      </c>
      <c r="I64" s="4">
        <v>15.0</v>
      </c>
      <c r="J64" s="4">
        <v>10.0</v>
      </c>
      <c r="K64" s="4">
        <v>5.0</v>
      </c>
      <c r="L64" s="2" t="s">
        <v>26</v>
      </c>
      <c r="M64" s="5">
        <f>IFERROR(__xludf.DUMMYFUNCTION("""COMPUTED_VALUE"""),13.0)</f>
        <v>13</v>
      </c>
      <c r="N64" s="5">
        <f>IFERROR(__xludf.DUMMYFUNCTION("""COMPUTED_VALUE"""),9.0)</f>
        <v>9</v>
      </c>
      <c r="O64" s="5">
        <f>IFERROR(__xludf.DUMMYFUNCTION("""COMPUTED_VALUE"""),2.0)</f>
        <v>2</v>
      </c>
    </row>
    <row r="65">
      <c r="A65" s="1" t="s">
        <v>15</v>
      </c>
      <c r="B65" s="4">
        <v>64.0</v>
      </c>
      <c r="C65" s="1" t="s">
        <v>126</v>
      </c>
      <c r="D65" s="4">
        <v>4.0</v>
      </c>
      <c r="E65" s="4">
        <v>4.0</v>
      </c>
      <c r="F65" s="4">
        <v>2.0</v>
      </c>
      <c r="G65" s="4">
        <v>2.0</v>
      </c>
      <c r="H65" s="4">
        <v>0.0</v>
      </c>
      <c r="I65" s="4">
        <v>14.0</v>
      </c>
      <c r="J65" s="4">
        <v>11.0</v>
      </c>
      <c r="K65" s="4">
        <v>3.0</v>
      </c>
      <c r="L65" s="2" t="s">
        <v>127</v>
      </c>
      <c r="M65" s="5">
        <f>IFERROR(__xludf.DUMMYFUNCTION("""COMPUTED_VALUE"""),9.0)</f>
        <v>9</v>
      </c>
      <c r="N65" s="5">
        <f>IFERROR(__xludf.DUMMYFUNCTION("""COMPUTED_VALUE"""),11.0)</f>
        <v>11</v>
      </c>
      <c r="O65" s="5">
        <f>IFERROR(__xludf.DUMMYFUNCTION("""COMPUTED_VALUE"""),2000.0)</f>
        <v>2000</v>
      </c>
    </row>
    <row r="66">
      <c r="A66" s="1" t="s">
        <v>15</v>
      </c>
      <c r="B66" s="4">
        <v>65.0</v>
      </c>
      <c r="C66" s="1" t="s">
        <v>128</v>
      </c>
      <c r="D66" s="4">
        <v>4.0</v>
      </c>
      <c r="E66" s="4">
        <v>7.0</v>
      </c>
      <c r="F66" s="4">
        <v>2.0</v>
      </c>
      <c r="G66" s="4">
        <v>5.0</v>
      </c>
      <c r="H66" s="4">
        <v>0.0</v>
      </c>
      <c r="I66" s="4">
        <v>19.0</v>
      </c>
      <c r="J66" s="4">
        <v>21.0</v>
      </c>
      <c r="K66" s="4">
        <v>-2.0</v>
      </c>
      <c r="L66" s="2" t="s">
        <v>129</v>
      </c>
      <c r="M66" s="5">
        <f>IFERROR(__xludf.DUMMYFUNCTION("""COMPUTED_VALUE"""),12.0)</f>
        <v>12</v>
      </c>
      <c r="N66" s="5">
        <f>IFERROR(__xludf.DUMMYFUNCTION("""COMPUTED_VALUE"""),10.0)</f>
        <v>10</v>
      </c>
      <c r="O66" s="5">
        <f>IFERROR(__xludf.DUMMYFUNCTION("""COMPUTED_VALUE"""),2000.0)</f>
        <v>2000</v>
      </c>
    </row>
    <row r="67">
      <c r="A67" s="1" t="s">
        <v>15</v>
      </c>
      <c r="B67" s="4">
        <v>66.0</v>
      </c>
      <c r="C67" s="1" t="s">
        <v>130</v>
      </c>
      <c r="D67" s="4">
        <v>4.0</v>
      </c>
      <c r="E67" s="4">
        <v>4.0</v>
      </c>
      <c r="F67" s="4">
        <v>2.0</v>
      </c>
      <c r="G67" s="4">
        <v>2.0</v>
      </c>
      <c r="H67" s="4">
        <v>0.0</v>
      </c>
      <c r="I67" s="4">
        <v>14.0</v>
      </c>
      <c r="J67" s="4">
        <v>16.0</v>
      </c>
      <c r="K67" s="4">
        <v>-2.0</v>
      </c>
      <c r="L67" s="2" t="s">
        <v>82</v>
      </c>
      <c r="M67" s="5">
        <f>IFERROR(__xludf.DUMMYFUNCTION("""COMPUTED_VALUE"""),11.0)</f>
        <v>11</v>
      </c>
      <c r="N67" s="5">
        <f>IFERROR(__xludf.DUMMYFUNCTION("""COMPUTED_VALUE"""),12.0)</f>
        <v>12</v>
      </c>
      <c r="O67" s="5">
        <f>IFERROR(__xludf.DUMMYFUNCTION("""COMPUTED_VALUE"""),2001.0)</f>
        <v>2001</v>
      </c>
    </row>
    <row r="68">
      <c r="A68" s="1" t="s">
        <v>15</v>
      </c>
      <c r="B68" s="4">
        <v>67.0</v>
      </c>
      <c r="C68" s="1" t="s">
        <v>131</v>
      </c>
      <c r="D68" s="4">
        <v>4.0</v>
      </c>
      <c r="E68" s="4">
        <v>4.0</v>
      </c>
      <c r="F68" s="4">
        <v>2.0</v>
      </c>
      <c r="G68" s="4">
        <v>2.0</v>
      </c>
      <c r="H68" s="4">
        <v>0.0</v>
      </c>
      <c r="I68" s="4">
        <v>14.0</v>
      </c>
      <c r="J68" s="4">
        <v>17.0</v>
      </c>
      <c r="K68" s="4">
        <v>-3.0</v>
      </c>
      <c r="L68" s="2" t="s">
        <v>80</v>
      </c>
      <c r="M68" s="5">
        <f>IFERROR(__xludf.DUMMYFUNCTION("""COMPUTED_VALUE"""),12.0)</f>
        <v>12</v>
      </c>
      <c r="N68" s="5">
        <f>IFERROR(__xludf.DUMMYFUNCTION("""COMPUTED_VALUE"""),12.0)</f>
        <v>12</v>
      </c>
      <c r="O68" s="5">
        <f>IFERROR(__xludf.DUMMYFUNCTION("""COMPUTED_VALUE"""),2000.0)</f>
        <v>2000</v>
      </c>
    </row>
    <row r="69">
      <c r="A69" s="1" t="s">
        <v>15</v>
      </c>
      <c r="B69" s="4">
        <v>68.0</v>
      </c>
      <c r="C69" s="1" t="s">
        <v>132</v>
      </c>
      <c r="D69" s="4">
        <v>4.0</v>
      </c>
      <c r="E69" s="4">
        <v>9.0</v>
      </c>
      <c r="F69" s="4">
        <v>2.0</v>
      </c>
      <c r="G69" s="4">
        <v>7.0</v>
      </c>
      <c r="H69" s="4">
        <v>0.0</v>
      </c>
      <c r="I69" s="4">
        <v>21.0</v>
      </c>
      <c r="J69" s="4">
        <v>48.0</v>
      </c>
      <c r="K69" s="4">
        <v>-27.0</v>
      </c>
      <c r="L69" s="2" t="s">
        <v>133</v>
      </c>
      <c r="M69" s="5">
        <f>IFERROR(__xludf.DUMMYFUNCTION("""COMPUTED_VALUE"""),5.0)</f>
        <v>5</v>
      </c>
      <c r="N69" s="5">
        <f>IFERROR(__xludf.DUMMYFUNCTION("""COMPUTED_VALUE"""),16.0)</f>
        <v>16</v>
      </c>
      <c r="O69" s="5">
        <f>IFERROR(__xludf.DUMMYFUNCTION("""COMPUTED_VALUE"""),2000.0)</f>
        <v>2000</v>
      </c>
    </row>
    <row r="70">
      <c r="A70" s="1" t="s">
        <v>15</v>
      </c>
      <c r="B70" s="4">
        <v>69.0</v>
      </c>
      <c r="C70" s="1" t="s">
        <v>134</v>
      </c>
      <c r="D70" s="4">
        <v>4.0</v>
      </c>
      <c r="E70" s="4">
        <v>14.0</v>
      </c>
      <c r="F70" s="4">
        <v>2.0</v>
      </c>
      <c r="G70" s="4">
        <v>12.0</v>
      </c>
      <c r="H70" s="4">
        <v>0.0</v>
      </c>
      <c r="I70" s="4">
        <v>29.0</v>
      </c>
      <c r="J70" s="4">
        <v>59.0</v>
      </c>
      <c r="K70" s="4">
        <v>-30.0</v>
      </c>
      <c r="L70" s="2" t="s">
        <v>91</v>
      </c>
      <c r="M70" s="5">
        <f>IFERROR(__xludf.DUMMYFUNCTION("""COMPUTED_VALUE"""),6.0)</f>
        <v>6</v>
      </c>
      <c r="N70" s="5">
        <f>IFERROR(__xludf.DUMMYFUNCTION("""COMPUTED_VALUE"""),17.0)</f>
        <v>17</v>
      </c>
      <c r="O70" s="5">
        <f>IFERROR(__xludf.DUMMYFUNCTION("""COMPUTED_VALUE"""),2001.0)</f>
        <v>2001</v>
      </c>
    </row>
    <row r="71">
      <c r="A71" s="1" t="s">
        <v>15</v>
      </c>
      <c r="B71" s="4">
        <v>70.0</v>
      </c>
      <c r="C71" s="1" t="s">
        <v>135</v>
      </c>
      <c r="D71" s="4">
        <v>4.0</v>
      </c>
      <c r="E71" s="4">
        <v>10.0</v>
      </c>
      <c r="F71" s="4">
        <v>2.0</v>
      </c>
      <c r="G71" s="4">
        <v>8.0</v>
      </c>
      <c r="H71" s="4">
        <v>0.0</v>
      </c>
      <c r="I71" s="4">
        <v>15.0</v>
      </c>
      <c r="J71" s="4">
        <v>61.0</v>
      </c>
      <c r="K71" s="4">
        <v>-46.0</v>
      </c>
      <c r="L71" s="2" t="s">
        <v>136</v>
      </c>
      <c r="M71" s="5">
        <f>IFERROR(__xludf.DUMMYFUNCTION("""COMPUTED_VALUE"""),4.0)</f>
        <v>4</v>
      </c>
      <c r="N71" s="5">
        <f>IFERROR(__xludf.DUMMYFUNCTION("""COMPUTED_VALUE"""),20.0)</f>
        <v>20</v>
      </c>
      <c r="O71" s="5">
        <f>IFERROR(__xludf.DUMMYFUNCTION("""COMPUTED_VALUE"""),2000.0)</f>
        <v>2000</v>
      </c>
    </row>
    <row r="72">
      <c r="A72" s="1" t="s">
        <v>15</v>
      </c>
      <c r="B72" s="4">
        <v>71.0</v>
      </c>
      <c r="C72" s="1" t="s">
        <v>137</v>
      </c>
      <c r="D72" s="4">
        <v>4.0</v>
      </c>
      <c r="E72" s="4">
        <v>13.0</v>
      </c>
      <c r="F72" s="4">
        <v>2.0</v>
      </c>
      <c r="G72" s="4">
        <v>11.0</v>
      </c>
      <c r="H72" s="4">
        <v>0.0</v>
      </c>
      <c r="I72" s="4">
        <v>25.0</v>
      </c>
      <c r="J72" s="4">
        <v>73.0</v>
      </c>
      <c r="K72" s="4">
        <v>-48.0</v>
      </c>
      <c r="L72" s="2" t="s">
        <v>107</v>
      </c>
      <c r="M72" s="5">
        <f>IFERROR(__xludf.DUMMYFUNCTION("""COMPUTED_VALUE"""),5.0)</f>
        <v>5</v>
      </c>
      <c r="N72" s="5">
        <f>IFERROR(__xludf.DUMMYFUNCTION("""COMPUTED_VALUE"""),19.0)</f>
        <v>19</v>
      </c>
      <c r="O72" s="5">
        <f>IFERROR(__xludf.DUMMYFUNCTION("""COMPUTED_VALUE"""),2000.0)</f>
        <v>2000</v>
      </c>
    </row>
    <row r="73">
      <c r="A73" s="1" t="s">
        <v>15</v>
      </c>
      <c r="B73" s="4">
        <v>72.0</v>
      </c>
      <c r="C73" s="1" t="s">
        <v>138</v>
      </c>
      <c r="D73" s="4">
        <v>4.0</v>
      </c>
      <c r="E73" s="4">
        <v>14.0</v>
      </c>
      <c r="F73" s="4">
        <v>2.0</v>
      </c>
      <c r="G73" s="4">
        <v>12.0</v>
      </c>
      <c r="H73" s="4">
        <v>0.0</v>
      </c>
      <c r="I73" s="4">
        <v>29.0</v>
      </c>
      <c r="J73" s="4">
        <v>77.0</v>
      </c>
      <c r="K73" s="4">
        <v>-48.0</v>
      </c>
      <c r="L73" s="2" t="s">
        <v>139</v>
      </c>
      <c r="M73" s="5">
        <f>IFERROR(__xludf.DUMMYFUNCTION("""COMPUTED_VALUE"""),6.0)</f>
        <v>6</v>
      </c>
      <c r="N73" s="5">
        <f>IFERROR(__xludf.DUMMYFUNCTION("""COMPUTED_VALUE"""),18.0)</f>
        <v>18</v>
      </c>
      <c r="O73" s="5">
        <f>IFERROR(__xludf.DUMMYFUNCTION("""COMPUTED_VALUE"""),2000.0)</f>
        <v>2000</v>
      </c>
    </row>
    <row r="74">
      <c r="A74" s="1" t="s">
        <v>15</v>
      </c>
      <c r="B74" s="4">
        <v>73.0</v>
      </c>
      <c r="C74" s="1" t="s">
        <v>140</v>
      </c>
      <c r="D74" s="4">
        <v>4.0</v>
      </c>
      <c r="E74" s="4">
        <v>10.0</v>
      </c>
      <c r="F74" s="4">
        <v>2.0</v>
      </c>
      <c r="G74" s="4">
        <v>8.0</v>
      </c>
      <c r="H74" s="4">
        <v>0.0</v>
      </c>
      <c r="I74" s="4">
        <v>19.0</v>
      </c>
      <c r="J74" s="4">
        <v>75.0</v>
      </c>
      <c r="K74" s="4">
        <v>-56.0</v>
      </c>
      <c r="L74" s="2" t="s">
        <v>118</v>
      </c>
      <c r="M74" s="5">
        <f>IFERROR(__xludf.DUMMYFUNCTION("""COMPUTED_VALUE"""),9.0)</f>
        <v>9</v>
      </c>
      <c r="N74" s="5">
        <f>IFERROR(__xludf.DUMMYFUNCTION("""COMPUTED_VALUE"""),15.0)</f>
        <v>15</v>
      </c>
      <c r="O74" s="5">
        <f>IFERROR(__xludf.DUMMYFUNCTION("""COMPUTED_VALUE"""),2000.0)</f>
        <v>2000</v>
      </c>
    </row>
    <row r="75">
      <c r="A75" s="1" t="s">
        <v>15</v>
      </c>
      <c r="B75" s="4">
        <v>74.0</v>
      </c>
      <c r="C75" s="1" t="s">
        <v>141</v>
      </c>
      <c r="D75" s="4">
        <v>3.0</v>
      </c>
      <c r="E75" s="4">
        <v>10.0</v>
      </c>
      <c r="F75" s="4">
        <v>1.0</v>
      </c>
      <c r="G75" s="4">
        <v>8.0</v>
      </c>
      <c r="H75" s="4">
        <v>1.0</v>
      </c>
      <c r="I75" s="4">
        <v>24.0</v>
      </c>
      <c r="J75" s="4">
        <v>67.0</v>
      </c>
      <c r="K75" s="4">
        <v>-43.0</v>
      </c>
      <c r="L75" s="2" t="s">
        <v>82</v>
      </c>
      <c r="M75" s="5">
        <f>IFERROR(__xludf.DUMMYFUNCTION("""COMPUTED_VALUE"""),11.0)</f>
        <v>11</v>
      </c>
      <c r="N75" s="5">
        <f>IFERROR(__xludf.DUMMYFUNCTION("""COMPUTED_VALUE"""),12.0)</f>
        <v>12</v>
      </c>
      <c r="O75" s="5">
        <f>IFERROR(__xludf.DUMMYFUNCTION("""COMPUTED_VALUE"""),2001.0)</f>
        <v>2001</v>
      </c>
    </row>
    <row r="76">
      <c r="A76" s="1" t="s">
        <v>15</v>
      </c>
      <c r="B76" s="4">
        <v>75.0</v>
      </c>
      <c r="C76" s="1" t="s">
        <v>142</v>
      </c>
      <c r="D76" s="4">
        <v>2.0</v>
      </c>
      <c r="E76" s="4">
        <v>1.0</v>
      </c>
      <c r="F76" s="4">
        <v>1.0</v>
      </c>
      <c r="G76" s="4">
        <v>0.0</v>
      </c>
      <c r="H76" s="4">
        <v>0.0</v>
      </c>
      <c r="I76" s="4">
        <v>3.0</v>
      </c>
      <c r="J76" s="4">
        <v>2.0</v>
      </c>
      <c r="K76" s="4">
        <v>1.0</v>
      </c>
      <c r="L76" s="2" t="s">
        <v>143</v>
      </c>
      <c r="M76" s="5">
        <f>IFERROR(__xludf.DUMMYFUNCTION("""COMPUTED_VALUE"""),7.0)</f>
        <v>7</v>
      </c>
      <c r="N76" s="5">
        <f>IFERROR(__xludf.DUMMYFUNCTION("""COMPUTED_VALUE"""),16.0)</f>
        <v>16</v>
      </c>
      <c r="O76" s="5">
        <f>IFERROR(__xludf.DUMMYFUNCTION("""COMPUTED_VALUE"""),2001.0)</f>
        <v>2001</v>
      </c>
    </row>
    <row r="77">
      <c r="A77" s="1" t="s">
        <v>15</v>
      </c>
      <c r="B77" s="4">
        <v>76.0</v>
      </c>
      <c r="C77" s="1" t="s">
        <v>144</v>
      </c>
      <c r="D77" s="4">
        <v>2.0</v>
      </c>
      <c r="E77" s="4">
        <v>4.0</v>
      </c>
      <c r="F77" s="4">
        <v>1.0</v>
      </c>
      <c r="G77" s="4">
        <v>3.0</v>
      </c>
      <c r="H77" s="4">
        <v>0.0</v>
      </c>
      <c r="I77" s="4">
        <v>16.0</v>
      </c>
      <c r="J77" s="4">
        <v>23.0</v>
      </c>
      <c r="K77" s="4">
        <v>-7.0</v>
      </c>
      <c r="L77" s="2" t="s">
        <v>145</v>
      </c>
      <c r="M77" s="5">
        <f>IFERROR(__xludf.DUMMYFUNCTION("""COMPUTED_VALUE"""),4.0)</f>
        <v>4</v>
      </c>
      <c r="N77" s="5">
        <f>IFERROR(__xludf.DUMMYFUNCTION("""COMPUTED_VALUE"""),15.0)</f>
        <v>15</v>
      </c>
      <c r="O77" s="5">
        <f>IFERROR(__xludf.DUMMYFUNCTION("""COMPUTED_VALUE"""),2000.0)</f>
        <v>2000</v>
      </c>
    </row>
    <row r="78">
      <c r="A78" s="1" t="s">
        <v>15</v>
      </c>
      <c r="B78" s="4">
        <v>77.0</v>
      </c>
      <c r="C78" s="1" t="s">
        <v>146</v>
      </c>
      <c r="D78" s="4">
        <v>2.0</v>
      </c>
      <c r="E78" s="4">
        <v>12.0</v>
      </c>
      <c r="F78" s="4">
        <v>1.0</v>
      </c>
      <c r="G78" s="4">
        <v>11.0</v>
      </c>
      <c r="H78" s="4">
        <v>0.0</v>
      </c>
      <c r="I78" s="4">
        <v>32.0</v>
      </c>
      <c r="J78" s="4">
        <v>74.0</v>
      </c>
      <c r="K78" s="4">
        <v>-42.0</v>
      </c>
      <c r="L78" s="2" t="s">
        <v>118</v>
      </c>
      <c r="M78" s="5">
        <f>IFERROR(__xludf.DUMMYFUNCTION("""COMPUTED_VALUE"""),9.0)</f>
        <v>9</v>
      </c>
      <c r="N78" s="5">
        <f>IFERROR(__xludf.DUMMYFUNCTION("""COMPUTED_VALUE"""),15.0)</f>
        <v>15</v>
      </c>
      <c r="O78" s="5">
        <f>IFERROR(__xludf.DUMMYFUNCTION("""COMPUTED_VALUE"""),2000.0)</f>
        <v>2000</v>
      </c>
    </row>
    <row r="79">
      <c r="A79" s="1" t="s">
        <v>15</v>
      </c>
      <c r="B79" s="4">
        <v>78.0</v>
      </c>
      <c r="C79" s="1" t="s">
        <v>147</v>
      </c>
      <c r="D79" s="4">
        <v>1.0</v>
      </c>
      <c r="E79" s="4">
        <v>10.0</v>
      </c>
      <c r="F79" s="4">
        <v>0.0</v>
      </c>
      <c r="G79" s="4">
        <v>9.0</v>
      </c>
      <c r="H79" s="4">
        <v>1.0</v>
      </c>
      <c r="I79" s="4">
        <v>23.0</v>
      </c>
      <c r="J79" s="4">
        <v>69.0</v>
      </c>
      <c r="K79" s="4">
        <v>-46.0</v>
      </c>
      <c r="L79" s="2" t="s">
        <v>148</v>
      </c>
      <c r="M79" s="5">
        <f>IFERROR(__xludf.DUMMYFUNCTION("""COMPUTED_VALUE"""),4.0)</f>
        <v>4</v>
      </c>
      <c r="N79" s="5">
        <f>IFERROR(__xludf.DUMMYFUNCTION("""COMPUTED_VALUE"""),19.0)</f>
        <v>19</v>
      </c>
      <c r="O79" s="5">
        <f>IFERROR(__xludf.DUMMYFUNCTION("""COMPUTED_VALUE"""),2001.0)</f>
        <v>2001</v>
      </c>
    </row>
    <row r="80">
      <c r="A80" s="1" t="s">
        <v>15</v>
      </c>
      <c r="B80" s="4">
        <v>79.0</v>
      </c>
      <c r="C80" s="1" t="s">
        <v>149</v>
      </c>
      <c r="D80" s="4">
        <v>0.0</v>
      </c>
      <c r="E80" s="4">
        <v>1.0</v>
      </c>
      <c r="F80" s="4">
        <v>0.0</v>
      </c>
      <c r="G80" s="4">
        <v>1.0</v>
      </c>
      <c r="H80" s="4">
        <v>0.0</v>
      </c>
      <c r="I80" s="4">
        <v>2.0</v>
      </c>
      <c r="J80" s="4">
        <v>3.0</v>
      </c>
      <c r="K80" s="4">
        <v>-1.0</v>
      </c>
      <c r="L80" s="2" t="s">
        <v>109</v>
      </c>
      <c r="M80" s="5">
        <f>IFERROR(__xludf.DUMMYFUNCTION("""COMPUTED_VALUE"""),14.0)</f>
        <v>14</v>
      </c>
      <c r="N80" s="5">
        <f>IFERROR(__xludf.DUMMYFUNCTION("""COMPUTED_VALUE"""),9.0)</f>
        <v>9</v>
      </c>
      <c r="O80" s="5">
        <f>IFERROR(__xludf.DUMMYFUNCTION("""COMPUTED_VALUE"""),0.0)</f>
        <v>0</v>
      </c>
    </row>
    <row r="81">
      <c r="A81" s="1" t="s">
        <v>15</v>
      </c>
      <c r="B81" s="4">
        <v>80.0</v>
      </c>
      <c r="C81" s="1" t="s">
        <v>150</v>
      </c>
      <c r="D81" s="4">
        <v>0.0</v>
      </c>
      <c r="E81" s="4">
        <v>6.0</v>
      </c>
      <c r="F81" s="4">
        <v>0.0</v>
      </c>
      <c r="G81" s="4">
        <v>6.0</v>
      </c>
      <c r="H81" s="4">
        <v>0.0</v>
      </c>
      <c r="I81" s="4">
        <v>8.0</v>
      </c>
      <c r="J81" s="4">
        <v>40.0</v>
      </c>
      <c r="K81" s="4">
        <v>-32.0</v>
      </c>
      <c r="L81" s="2" t="s">
        <v>151</v>
      </c>
      <c r="M81" s="5">
        <f>IFERROR(__xludf.DUMMYFUNCTION("""COMPUTED_VALUE"""),0.0)</f>
        <v>0</v>
      </c>
      <c r="N81" s="5">
        <f>IFERROR(__xludf.DUMMYFUNCTION("""COMPUTED_VALUE"""),17.0)</f>
        <v>17</v>
      </c>
      <c r="O81" s="5">
        <f>IFERROR(__xludf.DUMMYFUNCTION("""COMPUTED_VALUE"""),0.0)</f>
        <v>0</v>
      </c>
    </row>
    <row r="82">
      <c r="A82" s="1" t="s">
        <v>15</v>
      </c>
      <c r="B82" s="4">
        <v>81.0</v>
      </c>
      <c r="C82" s="1" t="s">
        <v>152</v>
      </c>
      <c r="D82" s="4">
        <v>0.0</v>
      </c>
      <c r="E82" s="4">
        <v>9.0</v>
      </c>
      <c r="F82" s="4">
        <v>0.0</v>
      </c>
      <c r="G82" s="4">
        <v>9.0</v>
      </c>
      <c r="H82" s="4">
        <v>0.0</v>
      </c>
      <c r="I82" s="4">
        <v>15.0</v>
      </c>
      <c r="J82" s="4">
        <v>57.0</v>
      </c>
      <c r="K82" s="4">
        <v>-42.0</v>
      </c>
      <c r="L82" s="2" t="s">
        <v>153</v>
      </c>
      <c r="M82" s="5">
        <f>IFERROR(__xludf.DUMMYFUNCTION("""COMPUTED_VALUE"""),5.0)</f>
        <v>5</v>
      </c>
      <c r="N82" s="5">
        <f>IFERROR(__xludf.DUMMYFUNCTION("""COMPUTED_VALUE"""),18.0)</f>
        <v>18</v>
      </c>
      <c r="O82" s="5">
        <f>IFERROR(__xludf.DUMMYFUNCTION("""COMPUTED_VALUE"""),2000.0)</f>
        <v>2000</v>
      </c>
    </row>
    <row r="83">
      <c r="A83" s="1" t="s">
        <v>15</v>
      </c>
      <c r="B83" s="4">
        <v>82.0</v>
      </c>
      <c r="C83" s="1" t="s">
        <v>154</v>
      </c>
      <c r="D83" s="4">
        <v>0.0</v>
      </c>
      <c r="E83" s="4">
        <v>7.0</v>
      </c>
      <c r="F83" s="4">
        <v>0.0</v>
      </c>
      <c r="G83" s="4">
        <v>7.0</v>
      </c>
      <c r="H83" s="4">
        <v>0.0</v>
      </c>
      <c r="I83" s="4">
        <v>7.0</v>
      </c>
      <c r="J83" s="4">
        <v>61.0</v>
      </c>
      <c r="K83" s="4">
        <v>-54.0</v>
      </c>
      <c r="L83" s="2" t="s">
        <v>155</v>
      </c>
      <c r="M83" s="5">
        <f>IFERROR(__xludf.DUMMYFUNCTION("""COMPUTED_VALUE"""),1.0)</f>
        <v>1</v>
      </c>
      <c r="N83" s="5">
        <f>IFERROR(__xludf.DUMMYFUNCTION("""COMPUTED_VALUE"""),12.0)</f>
        <v>12</v>
      </c>
      <c r="O83" s="5">
        <f>IFERROR(__xludf.DUMMYFUNCTION("""COMPUTED_VALUE"""),2000.0)</f>
        <v>2000</v>
      </c>
    </row>
    <row r="84">
      <c r="A84" s="1" t="s">
        <v>15</v>
      </c>
      <c r="B84" s="4">
        <v>83.0</v>
      </c>
      <c r="C84" s="1" t="s">
        <v>156</v>
      </c>
      <c r="D84" s="4">
        <v>0.0</v>
      </c>
      <c r="E84" s="4">
        <v>10.0</v>
      </c>
      <c r="F84" s="4">
        <v>0.0</v>
      </c>
      <c r="G84" s="4">
        <v>10.0</v>
      </c>
      <c r="H84" s="4">
        <v>0.0</v>
      </c>
      <c r="I84" s="4">
        <v>13.0</v>
      </c>
      <c r="J84" s="4">
        <v>72.0</v>
      </c>
      <c r="K84" s="4">
        <v>-59.0</v>
      </c>
      <c r="L84" s="2" t="s">
        <v>157</v>
      </c>
      <c r="M84" s="5">
        <f>IFERROR(__xludf.DUMMYFUNCTION("""COMPUTED_VALUE"""),3.0)</f>
        <v>3</v>
      </c>
      <c r="N84" s="5">
        <f>IFERROR(__xludf.DUMMYFUNCTION("""COMPUTED_VALUE"""),21.0)</f>
        <v>21</v>
      </c>
      <c r="O84" s="5">
        <f>IFERROR(__xludf.DUMMYFUNCTION("""COMPUTED_VALUE"""),2000.0)</f>
        <v>2000</v>
      </c>
    </row>
    <row r="85">
      <c r="A85" s="1" t="s">
        <v>15</v>
      </c>
      <c r="B85" s="4">
        <v>84.0</v>
      </c>
      <c r="C85" s="1" t="s">
        <v>158</v>
      </c>
      <c r="D85" s="4">
        <v>0.0</v>
      </c>
      <c r="E85" s="4">
        <v>10.0</v>
      </c>
      <c r="F85" s="4">
        <v>0.0</v>
      </c>
      <c r="G85" s="4">
        <v>10.0</v>
      </c>
      <c r="H85" s="4">
        <v>0.0</v>
      </c>
      <c r="I85" s="4">
        <v>11.0</v>
      </c>
      <c r="J85" s="4">
        <v>73.0</v>
      </c>
      <c r="K85" s="4">
        <v>-62.0</v>
      </c>
      <c r="L85" s="2" t="s">
        <v>87</v>
      </c>
      <c r="M85" s="5">
        <f>IFERROR(__xludf.DUMMYFUNCTION("""COMPUTED_VALUE"""),8.0)</f>
        <v>8</v>
      </c>
      <c r="N85" s="5">
        <f>IFERROR(__xludf.DUMMYFUNCTION("""COMPUTED_VALUE"""),16.0)</f>
        <v>16</v>
      </c>
      <c r="O85" s="5">
        <f>IFERROR(__xludf.DUMMYFUNCTION("""COMPUTED_VALUE"""),2000.0)</f>
        <v>2000</v>
      </c>
    </row>
    <row r="86">
      <c r="A86" s="1" t="s">
        <v>15</v>
      </c>
      <c r="B86" s="4">
        <v>85.0</v>
      </c>
      <c r="C86" s="1" t="s">
        <v>159</v>
      </c>
      <c r="D86" s="4">
        <v>0.0</v>
      </c>
      <c r="E86" s="4">
        <v>9.0</v>
      </c>
      <c r="F86" s="4">
        <v>0.0</v>
      </c>
      <c r="G86" s="4">
        <v>9.0</v>
      </c>
      <c r="H86" s="4">
        <v>0.0</v>
      </c>
      <c r="I86" s="4">
        <v>7.0</v>
      </c>
      <c r="J86" s="4">
        <v>83.0</v>
      </c>
      <c r="K86" s="4">
        <v>-76.0</v>
      </c>
      <c r="L86" s="2" t="s">
        <v>160</v>
      </c>
      <c r="M86" s="5">
        <f>IFERROR(__xludf.DUMMYFUNCTION("""COMPUTED_VALUE"""),2.0)</f>
        <v>2</v>
      </c>
      <c r="N86" s="5">
        <f>IFERROR(__xludf.DUMMYFUNCTION("""COMPUTED_VALUE"""),23.0)</f>
        <v>23</v>
      </c>
      <c r="O86" s="5">
        <f>IFERROR(__xludf.DUMMYFUNCTION("""COMPUTED_VALUE"""),2000.0)</f>
        <v>2000</v>
      </c>
    </row>
    <row r="87">
      <c r="A87" s="1" t="s">
        <v>15</v>
      </c>
      <c r="B87" s="4">
        <v>86.0</v>
      </c>
      <c r="C87" s="1" t="s">
        <v>161</v>
      </c>
      <c r="D87" s="4">
        <v>0.0</v>
      </c>
      <c r="E87" s="4">
        <v>13.0</v>
      </c>
      <c r="F87" s="4">
        <v>0.0</v>
      </c>
      <c r="G87" s="4">
        <v>13.0</v>
      </c>
      <c r="H87" s="4">
        <v>0.0</v>
      </c>
      <c r="I87" s="4">
        <v>13.0</v>
      </c>
      <c r="J87" s="4">
        <v>124.0</v>
      </c>
      <c r="K87" s="4">
        <v>-111.0</v>
      </c>
      <c r="L87" s="2" t="s">
        <v>162</v>
      </c>
      <c r="M87" s="5">
        <f>IFERROR(__xludf.DUMMYFUNCTION("""COMPUTED_VALUE"""),0.0)</f>
        <v>0</v>
      </c>
      <c r="N87" s="5">
        <f>IFERROR(__xludf.DUMMYFUNCTION("""COMPUTED_VALUE"""),18.0)</f>
        <v>18</v>
      </c>
      <c r="O87" s="5">
        <f>IFERROR(__xludf.DUMMYFUNCTION("""COMPUTED_VALUE"""),0.0)</f>
        <v>0</v>
      </c>
    </row>
    <row r="88">
      <c r="A88" s="1" t="s">
        <v>163</v>
      </c>
      <c r="B88" s="4">
        <v>1.0</v>
      </c>
      <c r="C88" s="1" t="s">
        <v>66</v>
      </c>
      <c r="D88" s="4">
        <v>28.0</v>
      </c>
      <c r="E88" s="4">
        <v>14.0</v>
      </c>
      <c r="F88" s="4">
        <v>14.0</v>
      </c>
      <c r="G88" s="4">
        <v>0.0</v>
      </c>
      <c r="H88" s="4">
        <v>0.0</v>
      </c>
      <c r="I88" s="4">
        <v>85.0</v>
      </c>
      <c r="J88" s="4">
        <v>15.0</v>
      </c>
      <c r="K88" s="4">
        <v>70.0</v>
      </c>
      <c r="L88" s="2" t="s">
        <v>32</v>
      </c>
      <c r="M88" s="5">
        <f>IFERROR(__xludf.DUMMYFUNCTION("""COMPUTED_VALUE"""),21.0)</f>
        <v>21</v>
      </c>
      <c r="N88" s="5">
        <f>IFERROR(__xludf.DUMMYFUNCTION("""COMPUTED_VALUE"""),3.0)</f>
        <v>3</v>
      </c>
      <c r="O88" s="5">
        <f>IFERROR(__xludf.DUMMYFUNCTION("""COMPUTED_VALUE"""),0.0)</f>
        <v>0</v>
      </c>
    </row>
    <row r="89">
      <c r="A89" s="1" t="s">
        <v>163</v>
      </c>
      <c r="B89" s="4">
        <v>2.0</v>
      </c>
      <c r="C89" s="1" t="s">
        <v>18</v>
      </c>
      <c r="D89" s="4">
        <v>24.0</v>
      </c>
      <c r="E89" s="4">
        <v>12.0</v>
      </c>
      <c r="F89" s="4">
        <v>12.0</v>
      </c>
      <c r="G89" s="4">
        <v>0.0</v>
      </c>
      <c r="H89" s="4">
        <v>0.0</v>
      </c>
      <c r="I89" s="4">
        <v>92.0</v>
      </c>
      <c r="J89" s="4">
        <v>6.0</v>
      </c>
      <c r="K89" s="4">
        <v>86.0</v>
      </c>
      <c r="L89" s="2" t="s">
        <v>32</v>
      </c>
      <c r="M89" s="5">
        <f>IFERROR(__xludf.DUMMYFUNCTION("""COMPUTED_VALUE"""),21.0)</f>
        <v>21</v>
      </c>
      <c r="N89" s="5">
        <f>IFERROR(__xludf.DUMMYFUNCTION("""COMPUTED_VALUE"""),3.0)</f>
        <v>3</v>
      </c>
      <c r="O89" s="5">
        <f>IFERROR(__xludf.DUMMYFUNCTION("""COMPUTED_VALUE"""),0.0)</f>
        <v>0</v>
      </c>
    </row>
    <row r="90">
      <c r="A90" s="1" t="s">
        <v>163</v>
      </c>
      <c r="B90" s="4">
        <v>3.0</v>
      </c>
      <c r="C90" s="1" t="s">
        <v>20</v>
      </c>
      <c r="D90" s="4">
        <v>23.0</v>
      </c>
      <c r="E90" s="4">
        <v>14.0</v>
      </c>
      <c r="F90" s="4">
        <v>11.0</v>
      </c>
      <c r="G90" s="4">
        <v>2.0</v>
      </c>
      <c r="H90" s="4">
        <v>1.0</v>
      </c>
      <c r="I90" s="4">
        <v>70.0</v>
      </c>
      <c r="J90" s="4">
        <v>25.0</v>
      </c>
      <c r="K90" s="4">
        <v>45.0</v>
      </c>
      <c r="L90" s="2" t="s">
        <v>63</v>
      </c>
      <c r="M90" s="5">
        <f>IFERROR(__xludf.DUMMYFUNCTION("""COMPUTED_VALUE"""),16.0)</f>
        <v>16</v>
      </c>
      <c r="N90" s="5">
        <f>IFERROR(__xludf.DUMMYFUNCTION("""COMPUTED_VALUE"""),7.0)</f>
        <v>7</v>
      </c>
      <c r="O90" s="5">
        <f>IFERROR(__xludf.DUMMYFUNCTION("""COMPUTED_VALUE"""),1.0)</f>
        <v>1</v>
      </c>
    </row>
    <row r="91">
      <c r="A91" s="1" t="s">
        <v>163</v>
      </c>
      <c r="B91" s="4">
        <v>4.0</v>
      </c>
      <c r="C91" s="1" t="s">
        <v>27</v>
      </c>
      <c r="D91" s="4">
        <v>20.0</v>
      </c>
      <c r="E91" s="4">
        <v>10.0</v>
      </c>
      <c r="F91" s="4">
        <v>10.0</v>
      </c>
      <c r="G91" s="4">
        <v>0.0</v>
      </c>
      <c r="H91" s="4">
        <v>0.0</v>
      </c>
      <c r="I91" s="4">
        <v>72.0</v>
      </c>
      <c r="J91" s="4">
        <v>8.0</v>
      </c>
      <c r="K91" s="4">
        <v>64.0</v>
      </c>
      <c r="L91" s="2" t="s">
        <v>164</v>
      </c>
      <c r="M91" s="5">
        <f>IFERROR(__xludf.DUMMYFUNCTION("""COMPUTED_VALUE"""),19.0)</f>
        <v>19</v>
      </c>
      <c r="N91" s="5">
        <f>IFERROR(__xludf.DUMMYFUNCTION("""COMPUTED_VALUE"""),2.0)</f>
        <v>2</v>
      </c>
      <c r="O91" s="5">
        <f>IFERROR(__xludf.DUMMYFUNCTION("""COMPUTED_VALUE"""),2.0)</f>
        <v>2</v>
      </c>
    </row>
    <row r="92">
      <c r="A92" s="1" t="s">
        <v>163</v>
      </c>
      <c r="B92" s="4">
        <v>5.0</v>
      </c>
      <c r="C92" s="1" t="s">
        <v>39</v>
      </c>
      <c r="D92" s="4">
        <v>20.0</v>
      </c>
      <c r="E92" s="4">
        <v>10.0</v>
      </c>
      <c r="F92" s="4">
        <v>10.0</v>
      </c>
      <c r="G92" s="4">
        <v>0.0</v>
      </c>
      <c r="H92" s="4">
        <v>0.0</v>
      </c>
      <c r="I92" s="4">
        <v>62.0</v>
      </c>
      <c r="J92" s="4">
        <v>14.0</v>
      </c>
      <c r="K92" s="4">
        <v>48.0</v>
      </c>
      <c r="L92" s="2" t="s">
        <v>165</v>
      </c>
      <c r="M92" s="5">
        <f>IFERROR(__xludf.DUMMYFUNCTION("""COMPUTED_VALUE"""),22.0)</f>
        <v>22</v>
      </c>
      <c r="N92" s="5">
        <f>IFERROR(__xludf.DUMMYFUNCTION("""COMPUTED_VALUE"""),2.0)</f>
        <v>2</v>
      </c>
      <c r="O92" s="5">
        <f>IFERROR(__xludf.DUMMYFUNCTION("""COMPUTED_VALUE"""),0.0)</f>
        <v>0</v>
      </c>
    </row>
    <row r="93">
      <c r="A93" s="1" t="s">
        <v>163</v>
      </c>
      <c r="B93" s="4">
        <v>6.0</v>
      </c>
      <c r="C93" s="1" t="s">
        <v>31</v>
      </c>
      <c r="D93" s="4">
        <v>20.0</v>
      </c>
      <c r="E93" s="4">
        <v>10.0</v>
      </c>
      <c r="F93" s="4">
        <v>10.0</v>
      </c>
      <c r="G93" s="4">
        <v>0.0</v>
      </c>
      <c r="H93" s="4">
        <v>0.0</v>
      </c>
      <c r="I93" s="4">
        <v>64.0</v>
      </c>
      <c r="J93" s="4">
        <v>18.0</v>
      </c>
      <c r="K93" s="4">
        <v>46.0</v>
      </c>
      <c r="L93" s="2" t="s">
        <v>166</v>
      </c>
      <c r="M93" s="5">
        <f>IFERROR(__xludf.DUMMYFUNCTION("""COMPUTED_VALUE"""),18.0)</f>
        <v>18</v>
      </c>
      <c r="N93" s="5">
        <f>IFERROR(__xludf.DUMMYFUNCTION("""COMPUTED_VALUE"""),5.0)</f>
        <v>5</v>
      </c>
      <c r="O93" s="5">
        <f>IFERROR(__xludf.DUMMYFUNCTION("""COMPUTED_VALUE"""),1.0)</f>
        <v>1</v>
      </c>
    </row>
    <row r="94">
      <c r="A94" s="1" t="s">
        <v>163</v>
      </c>
      <c r="B94" s="4">
        <v>7.0</v>
      </c>
      <c r="C94" s="1" t="s">
        <v>22</v>
      </c>
      <c r="D94" s="4">
        <v>20.0</v>
      </c>
      <c r="E94" s="4">
        <v>12.0</v>
      </c>
      <c r="F94" s="4">
        <v>10.0</v>
      </c>
      <c r="G94" s="4">
        <v>2.0</v>
      </c>
      <c r="H94" s="4">
        <v>0.0</v>
      </c>
      <c r="I94" s="4">
        <v>49.0</v>
      </c>
      <c r="J94" s="4">
        <v>18.0</v>
      </c>
      <c r="K94" s="4">
        <v>31.0</v>
      </c>
      <c r="L94" s="2" t="s">
        <v>38</v>
      </c>
      <c r="M94" s="5">
        <f>IFERROR(__xludf.DUMMYFUNCTION("""COMPUTED_VALUE"""),16.0)</f>
        <v>16</v>
      </c>
      <c r="N94" s="5">
        <f>IFERROR(__xludf.DUMMYFUNCTION("""COMPUTED_VALUE"""),8.0)</f>
        <v>8</v>
      </c>
      <c r="O94" s="5">
        <f>IFERROR(__xludf.DUMMYFUNCTION("""COMPUTED_VALUE"""),0.0)</f>
        <v>0</v>
      </c>
    </row>
    <row r="95">
      <c r="A95" s="1" t="s">
        <v>163</v>
      </c>
      <c r="B95" s="4">
        <v>8.0</v>
      </c>
      <c r="C95" s="1" t="s">
        <v>24</v>
      </c>
      <c r="D95" s="4">
        <v>20.0</v>
      </c>
      <c r="E95" s="4">
        <v>12.0</v>
      </c>
      <c r="F95" s="4">
        <v>10.0</v>
      </c>
      <c r="G95" s="4">
        <v>2.0</v>
      </c>
      <c r="H95" s="4">
        <v>0.0</v>
      </c>
      <c r="I95" s="4">
        <v>55.0</v>
      </c>
      <c r="J95" s="4">
        <v>25.0</v>
      </c>
      <c r="K95" s="4">
        <v>30.0</v>
      </c>
      <c r="L95" s="2" t="s">
        <v>38</v>
      </c>
      <c r="M95" s="5">
        <f>IFERROR(__xludf.DUMMYFUNCTION("""COMPUTED_VALUE"""),16.0)</f>
        <v>16</v>
      </c>
      <c r="N95" s="5">
        <f>IFERROR(__xludf.DUMMYFUNCTION("""COMPUTED_VALUE"""),8.0)</f>
        <v>8</v>
      </c>
      <c r="O95" s="5">
        <f>IFERROR(__xludf.DUMMYFUNCTION("""COMPUTED_VALUE"""),0.0)</f>
        <v>0</v>
      </c>
    </row>
    <row r="96">
      <c r="A96" s="1" t="s">
        <v>163</v>
      </c>
      <c r="B96" s="4">
        <v>9.0</v>
      </c>
      <c r="C96" s="1" t="s">
        <v>25</v>
      </c>
      <c r="D96" s="4">
        <v>18.0</v>
      </c>
      <c r="E96" s="4">
        <v>14.0</v>
      </c>
      <c r="F96" s="4">
        <v>9.0</v>
      </c>
      <c r="G96" s="4">
        <v>5.0</v>
      </c>
      <c r="H96" s="4">
        <v>0.0</v>
      </c>
      <c r="I96" s="4">
        <v>71.0</v>
      </c>
      <c r="J96" s="4">
        <v>23.0</v>
      </c>
      <c r="K96" s="4">
        <v>48.0</v>
      </c>
      <c r="L96" s="2" t="s">
        <v>17</v>
      </c>
      <c r="M96" s="5">
        <f>IFERROR(__xludf.DUMMYFUNCTION("""COMPUTED_VALUE"""),18.0)</f>
        <v>18</v>
      </c>
      <c r="N96" s="5">
        <f>IFERROR(__xludf.DUMMYFUNCTION("""COMPUTED_VALUE"""),5.0)</f>
        <v>5</v>
      </c>
      <c r="O96" s="5">
        <f>IFERROR(__xludf.DUMMYFUNCTION("""COMPUTED_VALUE"""),0.0)</f>
        <v>0</v>
      </c>
    </row>
    <row r="97">
      <c r="A97" s="1" t="s">
        <v>163</v>
      </c>
      <c r="B97" s="4">
        <v>10.0</v>
      </c>
      <c r="C97" s="1" t="s">
        <v>29</v>
      </c>
      <c r="D97" s="4">
        <v>18.0</v>
      </c>
      <c r="E97" s="4">
        <v>10.0</v>
      </c>
      <c r="F97" s="4">
        <v>9.0</v>
      </c>
      <c r="G97" s="4">
        <v>1.0</v>
      </c>
      <c r="H97" s="4">
        <v>0.0</v>
      </c>
      <c r="I97" s="4">
        <v>66.0</v>
      </c>
      <c r="J97" s="4">
        <v>22.0</v>
      </c>
      <c r="K97" s="4">
        <v>44.0</v>
      </c>
      <c r="L97" s="2" t="s">
        <v>167</v>
      </c>
      <c r="M97" s="5">
        <f>IFERROR(__xludf.DUMMYFUNCTION("""COMPUTED_VALUE"""),15.0)</f>
        <v>15</v>
      </c>
      <c r="N97" s="5">
        <f>IFERROR(__xludf.DUMMYFUNCTION("""COMPUTED_VALUE"""),7.0)</f>
        <v>7</v>
      </c>
      <c r="O97" s="5">
        <f>IFERROR(__xludf.DUMMYFUNCTION("""COMPUTED_VALUE"""),0.0)</f>
        <v>0</v>
      </c>
    </row>
    <row r="98">
      <c r="A98" s="1" t="s">
        <v>163</v>
      </c>
      <c r="B98" s="4">
        <v>11.0</v>
      </c>
      <c r="C98" s="1" t="s">
        <v>75</v>
      </c>
      <c r="D98" s="4">
        <v>18.0</v>
      </c>
      <c r="E98" s="4">
        <v>10.0</v>
      </c>
      <c r="F98" s="4">
        <v>9.0</v>
      </c>
      <c r="G98" s="4">
        <v>1.0</v>
      </c>
      <c r="H98" s="4">
        <v>0.0</v>
      </c>
      <c r="I98" s="4">
        <v>49.0</v>
      </c>
      <c r="J98" s="4">
        <v>13.0</v>
      </c>
      <c r="K98" s="4">
        <v>36.0</v>
      </c>
      <c r="L98" s="2" t="s">
        <v>168</v>
      </c>
      <c r="M98" s="5">
        <f>IFERROR(__xludf.DUMMYFUNCTION("""COMPUTED_VALUE"""),19.0)</f>
        <v>19</v>
      </c>
      <c r="N98" s="5">
        <f>IFERROR(__xludf.DUMMYFUNCTION("""COMPUTED_VALUE"""),3.0)</f>
        <v>3</v>
      </c>
      <c r="O98" s="5">
        <f>IFERROR(__xludf.DUMMYFUNCTION("""COMPUTED_VALUE"""),1.0)</f>
        <v>1</v>
      </c>
    </row>
    <row r="99">
      <c r="A99" s="1" t="s">
        <v>163</v>
      </c>
      <c r="B99" s="4">
        <v>12.0</v>
      </c>
      <c r="C99" s="1" t="s">
        <v>50</v>
      </c>
      <c r="D99" s="4">
        <v>16.0</v>
      </c>
      <c r="E99" s="4">
        <v>10.0</v>
      </c>
      <c r="F99" s="4">
        <v>8.0</v>
      </c>
      <c r="G99" s="4">
        <v>2.0</v>
      </c>
      <c r="H99" s="4">
        <v>0.0</v>
      </c>
      <c r="I99" s="4">
        <v>58.0</v>
      </c>
      <c r="J99" s="4">
        <v>20.0</v>
      </c>
      <c r="K99" s="4">
        <v>38.0</v>
      </c>
      <c r="L99" s="2" t="s">
        <v>169</v>
      </c>
      <c r="M99" s="5">
        <f>IFERROR(__xludf.DUMMYFUNCTION("""COMPUTED_VALUE"""),20.0)</f>
        <v>20</v>
      </c>
      <c r="N99" s="5">
        <f>IFERROR(__xludf.DUMMYFUNCTION("""COMPUTED_VALUE"""),4.0)</f>
        <v>4</v>
      </c>
      <c r="O99" s="5">
        <f>IFERROR(__xludf.DUMMYFUNCTION("""COMPUTED_VALUE"""),0.0)</f>
        <v>0</v>
      </c>
    </row>
    <row r="100">
      <c r="A100" s="1" t="s">
        <v>163</v>
      </c>
      <c r="B100" s="4">
        <v>13.0</v>
      </c>
      <c r="C100" s="1" t="s">
        <v>99</v>
      </c>
      <c r="D100" s="4">
        <v>16.0</v>
      </c>
      <c r="E100" s="4">
        <v>10.0</v>
      </c>
      <c r="F100" s="4">
        <v>8.0</v>
      </c>
      <c r="G100" s="4">
        <v>2.0</v>
      </c>
      <c r="H100" s="4">
        <v>0.0</v>
      </c>
      <c r="I100" s="4">
        <v>54.0</v>
      </c>
      <c r="J100" s="4">
        <v>22.0</v>
      </c>
      <c r="K100" s="4">
        <v>32.0</v>
      </c>
      <c r="L100" s="2" t="s">
        <v>19</v>
      </c>
      <c r="M100" s="5">
        <f>IFERROR(__xludf.DUMMYFUNCTION("""COMPUTED_VALUE"""),18.0)</f>
        <v>18</v>
      </c>
      <c r="N100" s="5">
        <f>IFERROR(__xludf.DUMMYFUNCTION("""COMPUTED_VALUE"""),6.0)</f>
        <v>6</v>
      </c>
      <c r="O100" s="5">
        <f>IFERROR(__xludf.DUMMYFUNCTION("""COMPUTED_VALUE"""),0.0)</f>
        <v>0</v>
      </c>
    </row>
    <row r="101">
      <c r="A101" s="1" t="s">
        <v>163</v>
      </c>
      <c r="B101" s="4">
        <v>14.0</v>
      </c>
      <c r="C101" s="1" t="s">
        <v>45</v>
      </c>
      <c r="D101" s="4">
        <v>16.0</v>
      </c>
      <c r="E101" s="4">
        <v>10.0</v>
      </c>
      <c r="F101" s="4">
        <v>8.0</v>
      </c>
      <c r="G101" s="4">
        <v>2.0</v>
      </c>
      <c r="H101" s="4">
        <v>0.0</v>
      </c>
      <c r="I101" s="4">
        <v>47.0</v>
      </c>
      <c r="J101" s="4">
        <v>19.0</v>
      </c>
      <c r="K101" s="4">
        <v>28.0</v>
      </c>
      <c r="L101" s="2" t="s">
        <v>80</v>
      </c>
      <c r="M101" s="5">
        <f>IFERROR(__xludf.DUMMYFUNCTION("""COMPUTED_VALUE"""),12.0)</f>
        <v>12</v>
      </c>
      <c r="N101" s="5">
        <f>IFERROR(__xludf.DUMMYFUNCTION("""COMPUTED_VALUE"""),12.0)</f>
        <v>12</v>
      </c>
      <c r="O101" s="5">
        <f>IFERROR(__xludf.DUMMYFUNCTION("""COMPUTED_VALUE"""),2000.0)</f>
        <v>2000</v>
      </c>
    </row>
    <row r="102">
      <c r="A102" s="1" t="s">
        <v>163</v>
      </c>
      <c r="B102" s="4">
        <v>15.0</v>
      </c>
      <c r="C102" s="1" t="s">
        <v>86</v>
      </c>
      <c r="D102" s="4">
        <v>16.0</v>
      </c>
      <c r="E102" s="4">
        <v>12.0</v>
      </c>
      <c r="F102" s="4">
        <v>8.0</v>
      </c>
      <c r="G102" s="4">
        <v>4.0</v>
      </c>
      <c r="H102" s="4">
        <v>0.0</v>
      </c>
      <c r="I102" s="4">
        <v>53.0</v>
      </c>
      <c r="J102" s="4">
        <v>28.0</v>
      </c>
      <c r="K102" s="4">
        <v>25.0</v>
      </c>
      <c r="L102" s="2" t="s">
        <v>23</v>
      </c>
      <c r="M102" s="5">
        <f>IFERROR(__xludf.DUMMYFUNCTION("""COMPUTED_VALUE"""),14.0)</f>
        <v>14</v>
      </c>
      <c r="N102" s="5">
        <f>IFERROR(__xludf.DUMMYFUNCTION("""COMPUTED_VALUE"""),10.0)</f>
        <v>10</v>
      </c>
      <c r="O102" s="5">
        <f>IFERROR(__xludf.DUMMYFUNCTION("""COMPUTED_VALUE"""),0.0)</f>
        <v>0</v>
      </c>
    </row>
    <row r="103">
      <c r="A103" s="1" t="s">
        <v>163</v>
      </c>
      <c r="B103" s="4">
        <v>16.0</v>
      </c>
      <c r="C103" s="1" t="s">
        <v>34</v>
      </c>
      <c r="D103" s="4">
        <v>16.0</v>
      </c>
      <c r="E103" s="4">
        <v>12.0</v>
      </c>
      <c r="F103" s="4">
        <v>8.0</v>
      </c>
      <c r="G103" s="4">
        <v>4.0</v>
      </c>
      <c r="H103" s="4">
        <v>0.0</v>
      </c>
      <c r="I103" s="4">
        <v>42.0</v>
      </c>
      <c r="J103" s="4">
        <v>19.0</v>
      </c>
      <c r="K103" s="4">
        <v>23.0</v>
      </c>
      <c r="L103" s="2" t="s">
        <v>170</v>
      </c>
      <c r="M103" s="5">
        <f>IFERROR(__xludf.DUMMYFUNCTION("""COMPUTED_VALUE"""),11.0)</f>
        <v>11</v>
      </c>
      <c r="N103" s="5">
        <f>IFERROR(__xludf.DUMMYFUNCTION("""COMPUTED_VALUE"""),13.0)</f>
        <v>13</v>
      </c>
      <c r="O103" s="5">
        <f>IFERROR(__xludf.DUMMYFUNCTION("""COMPUTED_VALUE"""),2000.0)</f>
        <v>2000</v>
      </c>
    </row>
    <row r="104">
      <c r="A104" s="1" t="s">
        <v>163</v>
      </c>
      <c r="B104" s="4">
        <v>17.0</v>
      </c>
      <c r="C104" s="1" t="s">
        <v>96</v>
      </c>
      <c r="D104" s="4">
        <v>16.0</v>
      </c>
      <c r="E104" s="4">
        <v>10.0</v>
      </c>
      <c r="F104" s="4">
        <v>8.0</v>
      </c>
      <c r="G104" s="4">
        <v>2.0</v>
      </c>
      <c r="H104" s="4">
        <v>0.0</v>
      </c>
      <c r="I104" s="4">
        <v>45.0</v>
      </c>
      <c r="J104" s="4">
        <v>31.0</v>
      </c>
      <c r="K104" s="4">
        <v>14.0</v>
      </c>
      <c r="L104" s="2" t="s">
        <v>51</v>
      </c>
      <c r="M104" s="5">
        <f>IFERROR(__xludf.DUMMYFUNCTION("""COMPUTED_VALUE"""),15.0)</f>
        <v>15</v>
      </c>
      <c r="N104" s="5">
        <f>IFERROR(__xludf.DUMMYFUNCTION("""COMPUTED_VALUE"""),9.0)</f>
        <v>9</v>
      </c>
      <c r="O104" s="5">
        <f>IFERROR(__xludf.DUMMYFUNCTION("""COMPUTED_VALUE"""),0.0)</f>
        <v>0</v>
      </c>
    </row>
    <row r="105">
      <c r="A105" s="1" t="s">
        <v>163</v>
      </c>
      <c r="B105" s="4">
        <v>18.0</v>
      </c>
      <c r="C105" s="1" t="s">
        <v>73</v>
      </c>
      <c r="D105" s="4">
        <v>16.0</v>
      </c>
      <c r="E105" s="4">
        <v>12.0</v>
      </c>
      <c r="F105" s="4">
        <v>8.0</v>
      </c>
      <c r="G105" s="4">
        <v>4.0</v>
      </c>
      <c r="H105" s="4">
        <v>0.0</v>
      </c>
      <c r="I105" s="4">
        <v>43.0</v>
      </c>
      <c r="J105" s="4">
        <v>43.0</v>
      </c>
      <c r="K105" s="4">
        <v>0.0</v>
      </c>
      <c r="L105" s="2" t="s">
        <v>51</v>
      </c>
      <c r="M105" s="5">
        <f>IFERROR(__xludf.DUMMYFUNCTION("""COMPUTED_VALUE"""),15.0)</f>
        <v>15</v>
      </c>
      <c r="N105" s="5">
        <f>IFERROR(__xludf.DUMMYFUNCTION("""COMPUTED_VALUE"""),9.0)</f>
        <v>9</v>
      </c>
      <c r="O105" s="5">
        <f>IFERROR(__xludf.DUMMYFUNCTION("""COMPUTED_VALUE"""),0.0)</f>
        <v>0</v>
      </c>
    </row>
    <row r="106">
      <c r="A106" s="1" t="s">
        <v>163</v>
      </c>
      <c r="B106" s="4">
        <v>19.0</v>
      </c>
      <c r="C106" s="1" t="s">
        <v>48</v>
      </c>
      <c r="D106" s="4">
        <v>16.0</v>
      </c>
      <c r="E106" s="4">
        <v>12.0</v>
      </c>
      <c r="F106" s="4">
        <v>8.0</v>
      </c>
      <c r="G106" s="4">
        <v>4.0</v>
      </c>
      <c r="H106" s="4">
        <v>0.0</v>
      </c>
      <c r="I106" s="4">
        <v>45.0</v>
      </c>
      <c r="J106" s="4">
        <v>49.0</v>
      </c>
      <c r="K106" s="4">
        <v>-4.0</v>
      </c>
      <c r="L106" s="2" t="s">
        <v>171</v>
      </c>
      <c r="M106" s="5">
        <f>IFERROR(__xludf.DUMMYFUNCTION("""COMPUTED_VALUE"""),13.0)</f>
        <v>13</v>
      </c>
      <c r="N106" s="5">
        <f>IFERROR(__xludf.DUMMYFUNCTION("""COMPUTED_VALUE"""),8.0)</f>
        <v>8</v>
      </c>
      <c r="O106" s="5">
        <f>IFERROR(__xludf.DUMMYFUNCTION("""COMPUTED_VALUE"""),1.0)</f>
        <v>1</v>
      </c>
    </row>
    <row r="107">
      <c r="A107" s="1" t="s">
        <v>163</v>
      </c>
      <c r="B107" s="4">
        <v>20.0</v>
      </c>
      <c r="C107" s="1" t="s">
        <v>61</v>
      </c>
      <c r="D107" s="4">
        <v>14.0</v>
      </c>
      <c r="E107" s="4">
        <v>8.0</v>
      </c>
      <c r="F107" s="4">
        <v>7.0</v>
      </c>
      <c r="G107" s="4">
        <v>1.0</v>
      </c>
      <c r="H107" s="4">
        <v>0.0</v>
      </c>
      <c r="I107" s="4">
        <v>49.0</v>
      </c>
      <c r="J107" s="4">
        <v>7.0</v>
      </c>
      <c r="K107" s="4">
        <v>42.0</v>
      </c>
      <c r="L107" s="2" t="s">
        <v>51</v>
      </c>
      <c r="M107" s="5">
        <f>IFERROR(__xludf.DUMMYFUNCTION("""COMPUTED_VALUE"""),15.0)</f>
        <v>15</v>
      </c>
      <c r="N107" s="5">
        <f>IFERROR(__xludf.DUMMYFUNCTION("""COMPUTED_VALUE"""),9.0)</f>
        <v>9</v>
      </c>
      <c r="O107" s="5">
        <f>IFERROR(__xludf.DUMMYFUNCTION("""COMPUTED_VALUE"""),0.0)</f>
        <v>0</v>
      </c>
    </row>
    <row r="108">
      <c r="A108" s="1" t="s">
        <v>163</v>
      </c>
      <c r="B108" s="4">
        <v>21.0</v>
      </c>
      <c r="C108" s="1" t="s">
        <v>36</v>
      </c>
      <c r="D108" s="4">
        <v>14.0</v>
      </c>
      <c r="E108" s="4">
        <v>10.0</v>
      </c>
      <c r="F108" s="4">
        <v>7.0</v>
      </c>
      <c r="G108" s="4">
        <v>3.0</v>
      </c>
      <c r="H108" s="4">
        <v>0.0</v>
      </c>
      <c r="I108" s="4">
        <v>71.0</v>
      </c>
      <c r="J108" s="4">
        <v>36.0</v>
      </c>
      <c r="K108" s="4">
        <v>35.0</v>
      </c>
      <c r="L108" s="2" t="s">
        <v>57</v>
      </c>
      <c r="M108" s="5">
        <f>IFERROR(__xludf.DUMMYFUNCTION("""COMPUTED_VALUE"""),17.0)</f>
        <v>17</v>
      </c>
      <c r="N108" s="5">
        <f>IFERROR(__xludf.DUMMYFUNCTION("""COMPUTED_VALUE"""),7.0)</f>
        <v>7</v>
      </c>
      <c r="O108" s="5">
        <f>IFERROR(__xludf.DUMMYFUNCTION("""COMPUTED_VALUE"""),0.0)</f>
        <v>0</v>
      </c>
    </row>
    <row r="109">
      <c r="A109" s="1" t="s">
        <v>163</v>
      </c>
      <c r="B109" s="4">
        <v>22.0</v>
      </c>
      <c r="C109" s="1" t="s">
        <v>41</v>
      </c>
      <c r="D109" s="4">
        <v>13.0</v>
      </c>
      <c r="E109" s="4">
        <v>8.0</v>
      </c>
      <c r="F109" s="4">
        <v>6.0</v>
      </c>
      <c r="G109" s="4">
        <v>1.0</v>
      </c>
      <c r="H109" s="4">
        <v>1.0</v>
      </c>
      <c r="I109" s="4">
        <v>48.0</v>
      </c>
      <c r="J109" s="4">
        <v>6.0</v>
      </c>
      <c r="K109" s="4">
        <v>42.0</v>
      </c>
      <c r="L109" s="2" t="s">
        <v>72</v>
      </c>
      <c r="M109" s="5">
        <f>IFERROR(__xludf.DUMMYFUNCTION("""COMPUTED_VALUE"""),15.0)</f>
        <v>15</v>
      </c>
      <c r="N109" s="5">
        <f>IFERROR(__xludf.DUMMYFUNCTION("""COMPUTED_VALUE"""),8.0)</f>
        <v>8</v>
      </c>
      <c r="O109" s="5">
        <f>IFERROR(__xludf.DUMMYFUNCTION("""COMPUTED_VALUE"""),1.0)</f>
        <v>1</v>
      </c>
    </row>
    <row r="110">
      <c r="A110" s="1" t="s">
        <v>163</v>
      </c>
      <c r="B110" s="4">
        <v>23.0</v>
      </c>
      <c r="C110" s="1" t="s">
        <v>81</v>
      </c>
      <c r="D110" s="4">
        <v>13.0</v>
      </c>
      <c r="E110" s="4">
        <v>9.0</v>
      </c>
      <c r="F110" s="4">
        <v>6.0</v>
      </c>
      <c r="G110" s="4">
        <v>2.0</v>
      </c>
      <c r="H110" s="4">
        <v>1.0</v>
      </c>
      <c r="I110" s="4">
        <v>27.0</v>
      </c>
      <c r="J110" s="4">
        <v>17.0</v>
      </c>
      <c r="K110" s="4">
        <v>10.0</v>
      </c>
      <c r="L110" s="2" t="s">
        <v>172</v>
      </c>
      <c r="M110" s="5">
        <f>IFERROR(__xludf.DUMMYFUNCTION("""COMPUTED_VALUE"""),11.0)</f>
        <v>11</v>
      </c>
      <c r="N110" s="5">
        <f>IFERROR(__xludf.DUMMYFUNCTION("""COMPUTED_VALUE"""),10.0)</f>
        <v>10</v>
      </c>
      <c r="O110" s="5">
        <f>IFERROR(__xludf.DUMMYFUNCTION("""COMPUTED_VALUE"""),2002.0)</f>
        <v>2002</v>
      </c>
    </row>
    <row r="111">
      <c r="A111" s="1" t="s">
        <v>163</v>
      </c>
      <c r="B111" s="4">
        <v>24.0</v>
      </c>
      <c r="C111" s="1" t="s">
        <v>16</v>
      </c>
      <c r="D111" s="4">
        <v>13.0</v>
      </c>
      <c r="E111" s="4">
        <v>14.0</v>
      </c>
      <c r="F111" s="4">
        <v>6.0</v>
      </c>
      <c r="G111" s="4">
        <v>7.0</v>
      </c>
      <c r="H111" s="4">
        <v>1.0</v>
      </c>
      <c r="I111" s="4">
        <v>61.0</v>
      </c>
      <c r="J111" s="4">
        <v>58.0</v>
      </c>
      <c r="K111" s="4">
        <v>3.0</v>
      </c>
      <c r="L111" s="2" t="s">
        <v>26</v>
      </c>
      <c r="M111" s="5">
        <f>IFERROR(__xludf.DUMMYFUNCTION("""COMPUTED_VALUE"""),13.0)</f>
        <v>13</v>
      </c>
      <c r="N111" s="5">
        <f>IFERROR(__xludf.DUMMYFUNCTION("""COMPUTED_VALUE"""),9.0)</f>
        <v>9</v>
      </c>
      <c r="O111" s="5">
        <f>IFERROR(__xludf.DUMMYFUNCTION("""COMPUTED_VALUE"""),2.0)</f>
        <v>2</v>
      </c>
    </row>
    <row r="112">
      <c r="A112" s="1" t="s">
        <v>163</v>
      </c>
      <c r="B112" s="4">
        <v>25.0</v>
      </c>
      <c r="C112" s="1" t="s">
        <v>68</v>
      </c>
      <c r="D112" s="4">
        <v>13.0</v>
      </c>
      <c r="E112" s="4">
        <v>10.0</v>
      </c>
      <c r="F112" s="4">
        <v>6.0</v>
      </c>
      <c r="G112" s="4">
        <v>3.0</v>
      </c>
      <c r="H112" s="4">
        <v>1.0</v>
      </c>
      <c r="I112" s="4">
        <v>26.0</v>
      </c>
      <c r="J112" s="4">
        <v>23.0</v>
      </c>
      <c r="K112" s="4">
        <v>3.0</v>
      </c>
      <c r="L112" s="2" t="s">
        <v>173</v>
      </c>
      <c r="M112" s="5">
        <f>IFERROR(__xludf.DUMMYFUNCTION("""COMPUTED_VALUE"""),8.0)</f>
        <v>8</v>
      </c>
      <c r="N112" s="5">
        <f>IFERROR(__xludf.DUMMYFUNCTION("""COMPUTED_VALUE"""),15.0)</f>
        <v>15</v>
      </c>
      <c r="O112" s="5">
        <f>IFERROR(__xludf.DUMMYFUNCTION("""COMPUTED_VALUE"""),2001.0)</f>
        <v>2001</v>
      </c>
    </row>
    <row r="113">
      <c r="A113" s="1" t="s">
        <v>163</v>
      </c>
      <c r="B113" s="4">
        <v>26.0</v>
      </c>
      <c r="C113" s="1" t="s">
        <v>117</v>
      </c>
      <c r="D113" s="4">
        <v>12.0</v>
      </c>
      <c r="E113" s="4">
        <v>9.0</v>
      </c>
      <c r="F113" s="4">
        <v>6.0</v>
      </c>
      <c r="G113" s="4">
        <v>3.0</v>
      </c>
      <c r="H113" s="4">
        <v>0.0</v>
      </c>
      <c r="I113" s="4">
        <v>50.0</v>
      </c>
      <c r="J113" s="4">
        <v>21.0</v>
      </c>
      <c r="K113" s="4">
        <v>29.0</v>
      </c>
      <c r="L113" s="2" t="s">
        <v>93</v>
      </c>
      <c r="M113" s="5">
        <f>IFERROR(__xludf.DUMMYFUNCTION("""COMPUTED_VALUE"""),13.0)</f>
        <v>13</v>
      </c>
      <c r="N113" s="5">
        <f>IFERROR(__xludf.DUMMYFUNCTION("""COMPUTED_VALUE"""),10.0)</f>
        <v>10</v>
      </c>
      <c r="O113" s="5">
        <f>IFERROR(__xludf.DUMMYFUNCTION("""COMPUTED_VALUE"""),0.0)</f>
        <v>0</v>
      </c>
    </row>
    <row r="114">
      <c r="A114" s="1" t="s">
        <v>163</v>
      </c>
      <c r="B114" s="4">
        <v>27.0</v>
      </c>
      <c r="C114" s="1" t="s">
        <v>90</v>
      </c>
      <c r="D114" s="4">
        <v>12.0</v>
      </c>
      <c r="E114" s="4">
        <v>6.0</v>
      </c>
      <c r="F114" s="4">
        <v>6.0</v>
      </c>
      <c r="G114" s="4">
        <v>0.0</v>
      </c>
      <c r="H114" s="4">
        <v>0.0</v>
      </c>
      <c r="I114" s="4">
        <v>33.0</v>
      </c>
      <c r="J114" s="4">
        <v>5.0</v>
      </c>
      <c r="K114" s="4">
        <v>28.0</v>
      </c>
      <c r="L114" s="2" t="s">
        <v>166</v>
      </c>
      <c r="M114" s="5">
        <f>IFERROR(__xludf.DUMMYFUNCTION("""COMPUTED_VALUE"""),18.0)</f>
        <v>18</v>
      </c>
      <c r="N114" s="5">
        <f>IFERROR(__xludf.DUMMYFUNCTION("""COMPUTED_VALUE"""),5.0)</f>
        <v>5</v>
      </c>
      <c r="O114" s="5">
        <f>IFERROR(__xludf.DUMMYFUNCTION("""COMPUTED_VALUE"""),1.0)</f>
        <v>1</v>
      </c>
    </row>
    <row r="115">
      <c r="A115" s="1" t="s">
        <v>163</v>
      </c>
      <c r="B115" s="4">
        <v>28.0</v>
      </c>
      <c r="C115" s="1" t="s">
        <v>33</v>
      </c>
      <c r="D115" s="4">
        <v>12.0</v>
      </c>
      <c r="E115" s="4">
        <v>10.0</v>
      </c>
      <c r="F115" s="4">
        <v>6.0</v>
      </c>
      <c r="G115" s="4">
        <v>4.0</v>
      </c>
      <c r="H115" s="4">
        <v>0.0</v>
      </c>
      <c r="I115" s="4">
        <v>60.0</v>
      </c>
      <c r="J115" s="4">
        <v>34.0</v>
      </c>
      <c r="K115" s="4">
        <v>26.0</v>
      </c>
      <c r="L115" s="2" t="s">
        <v>102</v>
      </c>
      <c r="M115" s="5">
        <f>IFERROR(__xludf.DUMMYFUNCTION("""COMPUTED_VALUE"""),13.0)</f>
        <v>13</v>
      </c>
      <c r="N115" s="5">
        <f>IFERROR(__xludf.DUMMYFUNCTION("""COMPUTED_VALUE"""),11.0)</f>
        <v>11</v>
      </c>
      <c r="O115" s="5">
        <f>IFERROR(__xludf.DUMMYFUNCTION("""COMPUTED_VALUE"""),0.0)</f>
        <v>0</v>
      </c>
    </row>
    <row r="116">
      <c r="A116" s="1" t="s">
        <v>163</v>
      </c>
      <c r="B116" s="4">
        <v>29.0</v>
      </c>
      <c r="C116" s="1" t="s">
        <v>46</v>
      </c>
      <c r="D116" s="4">
        <v>12.0</v>
      </c>
      <c r="E116" s="4">
        <v>10.0</v>
      </c>
      <c r="F116" s="4">
        <v>6.0</v>
      </c>
      <c r="G116" s="4">
        <v>4.0</v>
      </c>
      <c r="H116" s="4">
        <v>0.0</v>
      </c>
      <c r="I116" s="4">
        <v>60.0</v>
      </c>
      <c r="J116" s="4">
        <v>36.0</v>
      </c>
      <c r="K116" s="4">
        <v>24.0</v>
      </c>
      <c r="L116" s="2" t="s">
        <v>174</v>
      </c>
      <c r="M116" s="5">
        <f>IFERROR(__xludf.DUMMYFUNCTION("""COMPUTED_VALUE"""),7.0)</f>
        <v>7</v>
      </c>
      <c r="N116" s="5">
        <f>IFERROR(__xludf.DUMMYFUNCTION("""COMPUTED_VALUE"""),8.0)</f>
        <v>8</v>
      </c>
      <c r="O116" s="5">
        <f>IFERROR(__xludf.DUMMYFUNCTION("""COMPUTED_VALUE"""),2000.0)</f>
        <v>2000</v>
      </c>
    </row>
    <row r="117">
      <c r="A117" s="1" t="s">
        <v>163</v>
      </c>
      <c r="B117" s="4">
        <v>30.0</v>
      </c>
      <c r="C117" s="1" t="s">
        <v>105</v>
      </c>
      <c r="D117" s="4">
        <v>12.0</v>
      </c>
      <c r="E117" s="4">
        <v>10.0</v>
      </c>
      <c r="F117" s="4">
        <v>6.0</v>
      </c>
      <c r="G117" s="4">
        <v>4.0</v>
      </c>
      <c r="H117" s="4">
        <v>0.0</v>
      </c>
      <c r="I117" s="4">
        <v>46.0</v>
      </c>
      <c r="J117" s="4">
        <v>26.0</v>
      </c>
      <c r="K117" s="4">
        <v>20.0</v>
      </c>
      <c r="L117" s="2" t="s">
        <v>175</v>
      </c>
      <c r="M117" s="5">
        <f>IFERROR(__xludf.DUMMYFUNCTION("""COMPUTED_VALUE"""),16.0)</f>
        <v>16</v>
      </c>
      <c r="N117" s="5">
        <f>IFERROR(__xludf.DUMMYFUNCTION("""COMPUTED_VALUE"""),5.0)</f>
        <v>5</v>
      </c>
      <c r="O117" s="5">
        <f>IFERROR(__xludf.DUMMYFUNCTION("""COMPUTED_VALUE"""),1.0)</f>
        <v>1</v>
      </c>
    </row>
    <row r="118">
      <c r="A118" s="1" t="s">
        <v>163</v>
      </c>
      <c r="B118" s="4">
        <v>31.0</v>
      </c>
      <c r="C118" s="1" t="s">
        <v>94</v>
      </c>
      <c r="D118" s="4">
        <v>12.0</v>
      </c>
      <c r="E118" s="4">
        <v>12.0</v>
      </c>
      <c r="F118" s="4">
        <v>6.0</v>
      </c>
      <c r="G118" s="4">
        <v>6.0</v>
      </c>
      <c r="H118" s="4">
        <v>0.0</v>
      </c>
      <c r="I118" s="4">
        <v>60.0</v>
      </c>
      <c r="J118" s="4">
        <v>44.0</v>
      </c>
      <c r="K118" s="4">
        <v>16.0</v>
      </c>
      <c r="L118" s="2" t="s">
        <v>109</v>
      </c>
      <c r="M118" s="5">
        <f>IFERROR(__xludf.DUMMYFUNCTION("""COMPUTED_VALUE"""),14.0)</f>
        <v>14</v>
      </c>
      <c r="N118" s="5">
        <f>IFERROR(__xludf.DUMMYFUNCTION("""COMPUTED_VALUE"""),9.0)</f>
        <v>9</v>
      </c>
      <c r="O118" s="5">
        <f>IFERROR(__xludf.DUMMYFUNCTION("""COMPUTED_VALUE"""),0.0)</f>
        <v>0</v>
      </c>
    </row>
    <row r="119">
      <c r="A119" s="1" t="s">
        <v>163</v>
      </c>
      <c r="B119" s="4">
        <v>32.0</v>
      </c>
      <c r="C119" s="1" t="s">
        <v>83</v>
      </c>
      <c r="D119" s="4">
        <v>12.0</v>
      </c>
      <c r="E119" s="4">
        <v>10.0</v>
      </c>
      <c r="F119" s="4">
        <v>6.0</v>
      </c>
      <c r="G119" s="4">
        <v>4.0</v>
      </c>
      <c r="H119" s="4">
        <v>0.0</v>
      </c>
      <c r="I119" s="4">
        <v>42.0</v>
      </c>
      <c r="J119" s="4">
        <v>29.0</v>
      </c>
      <c r="K119" s="4">
        <v>13.0</v>
      </c>
      <c r="L119" s="2" t="s">
        <v>176</v>
      </c>
      <c r="M119" s="5">
        <f>IFERROR(__xludf.DUMMYFUNCTION("""COMPUTED_VALUE"""),11.0)</f>
        <v>11</v>
      </c>
      <c r="N119" s="5">
        <f>IFERROR(__xludf.DUMMYFUNCTION("""COMPUTED_VALUE"""),11.0)</f>
        <v>11</v>
      </c>
      <c r="O119" s="5">
        <f>IFERROR(__xludf.DUMMYFUNCTION("""COMPUTED_VALUE"""),2001.0)</f>
        <v>2001</v>
      </c>
    </row>
    <row r="120">
      <c r="A120" s="1" t="s">
        <v>163</v>
      </c>
      <c r="B120" s="4">
        <v>33.0</v>
      </c>
      <c r="C120" s="1" t="s">
        <v>37</v>
      </c>
      <c r="D120" s="4">
        <v>12.0</v>
      </c>
      <c r="E120" s="4">
        <v>10.0</v>
      </c>
      <c r="F120" s="4">
        <v>6.0</v>
      </c>
      <c r="G120" s="4">
        <v>4.0</v>
      </c>
      <c r="H120" s="4">
        <v>0.0</v>
      </c>
      <c r="I120" s="4">
        <v>39.0</v>
      </c>
      <c r="J120" s="4">
        <v>30.0</v>
      </c>
      <c r="K120" s="4">
        <v>9.0</v>
      </c>
      <c r="L120" s="2" t="s">
        <v>177</v>
      </c>
      <c r="M120" s="5">
        <f>IFERROR(__xludf.DUMMYFUNCTION("""COMPUTED_VALUE"""),13.0)</f>
        <v>13</v>
      </c>
      <c r="N120" s="5">
        <f>IFERROR(__xludf.DUMMYFUNCTION("""COMPUTED_VALUE"""),10.0)</f>
        <v>10</v>
      </c>
      <c r="O120" s="5">
        <f>IFERROR(__xludf.DUMMYFUNCTION("""COMPUTED_VALUE"""),1.0)</f>
        <v>1</v>
      </c>
    </row>
    <row r="121">
      <c r="A121" s="1" t="s">
        <v>163</v>
      </c>
      <c r="B121" s="4">
        <v>34.0</v>
      </c>
      <c r="C121" s="1" t="s">
        <v>138</v>
      </c>
      <c r="D121" s="4">
        <v>12.0</v>
      </c>
      <c r="E121" s="4">
        <v>14.0</v>
      </c>
      <c r="F121" s="4">
        <v>6.0</v>
      </c>
      <c r="G121" s="4">
        <v>8.0</v>
      </c>
      <c r="H121" s="4">
        <v>0.0</v>
      </c>
      <c r="I121" s="4">
        <v>44.0</v>
      </c>
      <c r="J121" s="4">
        <v>65.0</v>
      </c>
      <c r="K121" s="4">
        <v>-21.0</v>
      </c>
      <c r="L121" s="2" t="s">
        <v>80</v>
      </c>
      <c r="M121" s="5">
        <f>IFERROR(__xludf.DUMMYFUNCTION("""COMPUTED_VALUE"""),12.0)</f>
        <v>12</v>
      </c>
      <c r="N121" s="5">
        <f>IFERROR(__xludf.DUMMYFUNCTION("""COMPUTED_VALUE"""),12.0)</f>
        <v>12</v>
      </c>
      <c r="O121" s="5">
        <f>IFERROR(__xludf.DUMMYFUNCTION("""COMPUTED_VALUE"""),2000.0)</f>
        <v>2000</v>
      </c>
    </row>
    <row r="122">
      <c r="A122" s="1" t="s">
        <v>163</v>
      </c>
      <c r="B122" s="4">
        <v>35.0</v>
      </c>
      <c r="C122" s="1" t="s">
        <v>62</v>
      </c>
      <c r="D122" s="4">
        <v>11.0</v>
      </c>
      <c r="E122" s="4">
        <v>10.0</v>
      </c>
      <c r="F122" s="4">
        <v>5.0</v>
      </c>
      <c r="G122" s="4">
        <v>4.0</v>
      </c>
      <c r="H122" s="4">
        <v>1.0</v>
      </c>
      <c r="I122" s="4">
        <v>39.0</v>
      </c>
      <c r="J122" s="4">
        <v>32.0</v>
      </c>
      <c r="K122" s="4">
        <v>7.0</v>
      </c>
      <c r="L122" s="2" t="s">
        <v>178</v>
      </c>
      <c r="M122" s="5">
        <f>IFERROR(__xludf.DUMMYFUNCTION("""COMPUTED_VALUE"""),11.0)</f>
        <v>11</v>
      </c>
      <c r="N122" s="5">
        <f>IFERROR(__xludf.DUMMYFUNCTION("""COMPUTED_VALUE"""),11.0)</f>
        <v>11</v>
      </c>
      <c r="O122" s="5">
        <f>IFERROR(__xludf.DUMMYFUNCTION("""COMPUTED_VALUE"""),2002.0)</f>
        <v>2002</v>
      </c>
    </row>
    <row r="123">
      <c r="A123" s="1" t="s">
        <v>163</v>
      </c>
      <c r="B123" s="4">
        <v>36.0</v>
      </c>
      <c r="C123" s="1" t="s">
        <v>58</v>
      </c>
      <c r="D123" s="4">
        <v>11.0</v>
      </c>
      <c r="E123" s="4">
        <v>12.0</v>
      </c>
      <c r="F123" s="4">
        <v>5.0</v>
      </c>
      <c r="G123" s="4">
        <v>6.0</v>
      </c>
      <c r="H123" s="4">
        <v>1.0</v>
      </c>
      <c r="I123" s="4">
        <v>31.0</v>
      </c>
      <c r="J123" s="4">
        <v>44.0</v>
      </c>
      <c r="K123" s="4">
        <v>-13.0</v>
      </c>
      <c r="L123" s="2" t="s">
        <v>179</v>
      </c>
      <c r="M123" s="5">
        <f>IFERROR(__xludf.DUMMYFUNCTION("""COMPUTED_VALUE"""),10.0)</f>
        <v>10</v>
      </c>
      <c r="N123" s="5">
        <f>IFERROR(__xludf.DUMMYFUNCTION("""COMPUTED_VALUE"""),13.0)</f>
        <v>13</v>
      </c>
      <c r="O123" s="5">
        <f>IFERROR(__xludf.DUMMYFUNCTION("""COMPUTED_VALUE"""),2001.0)</f>
        <v>2001</v>
      </c>
    </row>
    <row r="124">
      <c r="A124" s="1" t="s">
        <v>163</v>
      </c>
      <c r="B124" s="4">
        <v>37.0</v>
      </c>
      <c r="C124" s="1" t="s">
        <v>116</v>
      </c>
      <c r="D124" s="4">
        <v>10.0</v>
      </c>
      <c r="E124" s="4">
        <v>8.0</v>
      </c>
      <c r="F124" s="4">
        <v>5.0</v>
      </c>
      <c r="G124" s="4">
        <v>3.0</v>
      </c>
      <c r="H124" s="4">
        <v>0.0</v>
      </c>
      <c r="I124" s="4">
        <v>24.0</v>
      </c>
      <c r="J124" s="4">
        <v>19.0</v>
      </c>
      <c r="K124" s="4">
        <v>5.0</v>
      </c>
      <c r="L124" s="2" t="s">
        <v>180</v>
      </c>
      <c r="M124" s="5">
        <f>IFERROR(__xludf.DUMMYFUNCTION("""COMPUTED_VALUE"""),12.0)</f>
        <v>12</v>
      </c>
      <c r="N124" s="5">
        <f>IFERROR(__xludf.DUMMYFUNCTION("""COMPUTED_VALUE"""),10.0)</f>
        <v>10</v>
      </c>
      <c r="O124" s="5">
        <f>IFERROR(__xludf.DUMMYFUNCTION("""COMPUTED_VALUE"""),2002.0)</f>
        <v>2002</v>
      </c>
    </row>
    <row r="125">
      <c r="A125" s="1" t="s">
        <v>163</v>
      </c>
      <c r="B125" s="4">
        <v>38.0</v>
      </c>
      <c r="C125" s="1" t="s">
        <v>98</v>
      </c>
      <c r="D125" s="4">
        <v>10.0</v>
      </c>
      <c r="E125" s="4">
        <v>10.0</v>
      </c>
      <c r="F125" s="4">
        <v>5.0</v>
      </c>
      <c r="G125" s="4">
        <v>5.0</v>
      </c>
      <c r="H125" s="4">
        <v>0.0</v>
      </c>
      <c r="I125" s="4">
        <v>43.0</v>
      </c>
      <c r="J125" s="4">
        <v>44.0</v>
      </c>
      <c r="K125" s="4">
        <v>-1.0</v>
      </c>
      <c r="L125" s="2" t="s">
        <v>181</v>
      </c>
      <c r="M125" s="5">
        <f>IFERROR(__xludf.DUMMYFUNCTION("""COMPUTED_VALUE"""),13.0)</f>
        <v>13</v>
      </c>
      <c r="N125" s="5">
        <f>IFERROR(__xludf.DUMMYFUNCTION("""COMPUTED_VALUE"""),8.0)</f>
        <v>8</v>
      </c>
      <c r="O125" s="5">
        <f>IFERROR(__xludf.DUMMYFUNCTION("""COMPUTED_VALUE"""),0.0)</f>
        <v>0</v>
      </c>
    </row>
    <row r="126">
      <c r="A126" s="1" t="s">
        <v>163</v>
      </c>
      <c r="B126" s="4">
        <v>39.0</v>
      </c>
      <c r="C126" s="1" t="s">
        <v>64</v>
      </c>
      <c r="D126" s="4">
        <v>10.0</v>
      </c>
      <c r="E126" s="4">
        <v>10.0</v>
      </c>
      <c r="F126" s="4">
        <v>5.0</v>
      </c>
      <c r="G126" s="4">
        <v>5.0</v>
      </c>
      <c r="H126" s="4">
        <v>0.0</v>
      </c>
      <c r="I126" s="4">
        <v>52.0</v>
      </c>
      <c r="J126" s="4">
        <v>57.0</v>
      </c>
      <c r="K126" s="4">
        <v>-5.0</v>
      </c>
      <c r="L126" s="2" t="s">
        <v>23</v>
      </c>
      <c r="M126" s="5">
        <f>IFERROR(__xludf.DUMMYFUNCTION("""COMPUTED_VALUE"""),14.0)</f>
        <v>14</v>
      </c>
      <c r="N126" s="5">
        <f>IFERROR(__xludf.DUMMYFUNCTION("""COMPUTED_VALUE"""),10.0)</f>
        <v>10</v>
      </c>
      <c r="O126" s="5">
        <f>IFERROR(__xludf.DUMMYFUNCTION("""COMPUTED_VALUE"""),0.0)</f>
        <v>0</v>
      </c>
    </row>
    <row r="127">
      <c r="A127" s="1" t="s">
        <v>163</v>
      </c>
      <c r="B127" s="4">
        <v>40.0</v>
      </c>
      <c r="C127" s="1" t="s">
        <v>69</v>
      </c>
      <c r="D127" s="4">
        <v>9.0</v>
      </c>
      <c r="E127" s="4">
        <v>10.0</v>
      </c>
      <c r="F127" s="4">
        <v>4.0</v>
      </c>
      <c r="G127" s="4">
        <v>5.0</v>
      </c>
      <c r="H127" s="4">
        <v>1.0</v>
      </c>
      <c r="I127" s="4">
        <v>35.0</v>
      </c>
      <c r="J127" s="4">
        <v>39.0</v>
      </c>
      <c r="K127" s="4">
        <v>-4.0</v>
      </c>
      <c r="L127" s="2" t="s">
        <v>182</v>
      </c>
      <c r="M127" s="5">
        <f>IFERROR(__xludf.DUMMYFUNCTION("""COMPUTED_VALUE"""),12.0)</f>
        <v>12</v>
      </c>
      <c r="N127" s="5">
        <f>IFERROR(__xludf.DUMMYFUNCTION("""COMPUTED_VALUE"""),11.0)</f>
        <v>11</v>
      </c>
      <c r="O127" s="5">
        <f>IFERROR(__xludf.DUMMYFUNCTION("""COMPUTED_VALUE"""),2001.0)</f>
        <v>2001</v>
      </c>
    </row>
    <row r="128">
      <c r="A128" s="1" t="s">
        <v>163</v>
      </c>
      <c r="B128" s="4">
        <v>41.0</v>
      </c>
      <c r="C128" s="1" t="s">
        <v>108</v>
      </c>
      <c r="D128" s="4">
        <v>8.0</v>
      </c>
      <c r="E128" s="4">
        <v>4.0</v>
      </c>
      <c r="F128" s="4">
        <v>4.0</v>
      </c>
      <c r="G128" s="4">
        <v>0.0</v>
      </c>
      <c r="H128" s="4">
        <v>0.0</v>
      </c>
      <c r="I128" s="4">
        <v>22.0</v>
      </c>
      <c r="J128" s="4">
        <v>4.0</v>
      </c>
      <c r="K128" s="4">
        <v>18.0</v>
      </c>
      <c r="L128" s="2" t="s">
        <v>84</v>
      </c>
      <c r="M128" s="5">
        <f>IFERROR(__xludf.DUMMYFUNCTION("""COMPUTED_VALUE"""),13.0)</f>
        <v>13</v>
      </c>
      <c r="N128" s="5">
        <f>IFERROR(__xludf.DUMMYFUNCTION("""COMPUTED_VALUE"""),9.0)</f>
        <v>9</v>
      </c>
      <c r="O128" s="5">
        <f>IFERROR(__xludf.DUMMYFUNCTION("""COMPUTED_VALUE"""),1.0)</f>
        <v>1</v>
      </c>
    </row>
    <row r="129">
      <c r="A129" s="1" t="s">
        <v>163</v>
      </c>
      <c r="B129" s="4">
        <v>42.0</v>
      </c>
      <c r="C129" s="1" t="s">
        <v>43</v>
      </c>
      <c r="D129" s="4">
        <v>8.0</v>
      </c>
      <c r="E129" s="4">
        <v>6.0</v>
      </c>
      <c r="F129" s="4">
        <v>4.0</v>
      </c>
      <c r="G129" s="4">
        <v>2.0</v>
      </c>
      <c r="H129" s="4">
        <v>0.0</v>
      </c>
      <c r="I129" s="4">
        <v>25.0</v>
      </c>
      <c r="J129" s="4">
        <v>7.0</v>
      </c>
      <c r="K129" s="4">
        <v>18.0</v>
      </c>
      <c r="L129" s="2" t="s">
        <v>183</v>
      </c>
      <c r="M129" s="5">
        <f>IFERROR(__xludf.DUMMYFUNCTION("""COMPUTED_VALUE"""),14.0)</f>
        <v>14</v>
      </c>
      <c r="N129" s="5">
        <f>IFERROR(__xludf.DUMMYFUNCTION("""COMPUTED_VALUE"""),8.0)</f>
        <v>8</v>
      </c>
      <c r="O129" s="5">
        <f>IFERROR(__xludf.DUMMYFUNCTION("""COMPUTED_VALUE"""),1.0)</f>
        <v>1</v>
      </c>
    </row>
    <row r="130">
      <c r="A130" s="1" t="s">
        <v>163</v>
      </c>
      <c r="B130" s="4">
        <v>43.0</v>
      </c>
      <c r="C130" s="1" t="s">
        <v>130</v>
      </c>
      <c r="D130" s="4">
        <v>8.0</v>
      </c>
      <c r="E130" s="4">
        <v>4.0</v>
      </c>
      <c r="F130" s="4">
        <v>4.0</v>
      </c>
      <c r="G130" s="4">
        <v>0.0</v>
      </c>
      <c r="H130" s="4">
        <v>0.0</v>
      </c>
      <c r="I130" s="4">
        <v>21.0</v>
      </c>
      <c r="J130" s="4">
        <v>8.0</v>
      </c>
      <c r="K130" s="4">
        <v>13.0</v>
      </c>
      <c r="L130" s="2" t="s">
        <v>17</v>
      </c>
      <c r="M130" s="5">
        <f>IFERROR(__xludf.DUMMYFUNCTION("""COMPUTED_VALUE"""),18.0)</f>
        <v>18</v>
      </c>
      <c r="N130" s="5">
        <f>IFERROR(__xludf.DUMMYFUNCTION("""COMPUTED_VALUE"""),5.0)</f>
        <v>5</v>
      </c>
      <c r="O130" s="5">
        <f>IFERROR(__xludf.DUMMYFUNCTION("""COMPUTED_VALUE"""),0.0)</f>
        <v>0</v>
      </c>
    </row>
    <row r="131">
      <c r="A131" s="1" t="s">
        <v>163</v>
      </c>
      <c r="B131" s="4">
        <v>44.0</v>
      </c>
      <c r="C131" s="1" t="s">
        <v>56</v>
      </c>
      <c r="D131" s="4">
        <v>8.0</v>
      </c>
      <c r="E131" s="4">
        <v>10.0</v>
      </c>
      <c r="F131" s="4">
        <v>4.0</v>
      </c>
      <c r="G131" s="4">
        <v>6.0</v>
      </c>
      <c r="H131" s="4">
        <v>0.0</v>
      </c>
      <c r="I131" s="4">
        <v>44.0</v>
      </c>
      <c r="J131" s="4">
        <v>40.0</v>
      </c>
      <c r="K131" s="4">
        <v>4.0</v>
      </c>
      <c r="L131" s="2" t="s">
        <v>184</v>
      </c>
      <c r="M131" s="5">
        <f>IFERROR(__xludf.DUMMYFUNCTION("""COMPUTED_VALUE"""),13.0)</f>
        <v>13</v>
      </c>
      <c r="N131" s="5">
        <f>IFERROR(__xludf.DUMMYFUNCTION("""COMPUTED_VALUE"""),12.0)</f>
        <v>12</v>
      </c>
      <c r="O131" s="5">
        <f>IFERROR(__xludf.DUMMYFUNCTION("""COMPUTED_VALUE"""),0.0)</f>
        <v>0</v>
      </c>
    </row>
    <row r="132">
      <c r="A132" s="1" t="s">
        <v>163</v>
      </c>
      <c r="B132" s="4">
        <v>45.0</v>
      </c>
      <c r="C132" s="1" t="s">
        <v>101</v>
      </c>
      <c r="D132" s="4">
        <v>8.0</v>
      </c>
      <c r="E132" s="4">
        <v>10.0</v>
      </c>
      <c r="F132" s="4">
        <v>4.0</v>
      </c>
      <c r="G132" s="4">
        <v>6.0</v>
      </c>
      <c r="H132" s="4">
        <v>0.0</v>
      </c>
      <c r="I132" s="4">
        <v>34.0</v>
      </c>
      <c r="J132" s="4">
        <v>40.0</v>
      </c>
      <c r="K132" s="4">
        <v>-6.0</v>
      </c>
      <c r="L132" s="2" t="s">
        <v>102</v>
      </c>
      <c r="M132" s="5">
        <f>IFERROR(__xludf.DUMMYFUNCTION("""COMPUTED_VALUE"""),13.0)</f>
        <v>13</v>
      </c>
      <c r="N132" s="5">
        <f>IFERROR(__xludf.DUMMYFUNCTION("""COMPUTED_VALUE"""),11.0)</f>
        <v>11</v>
      </c>
      <c r="O132" s="5">
        <f>IFERROR(__xludf.DUMMYFUNCTION("""COMPUTED_VALUE"""),0.0)</f>
        <v>0</v>
      </c>
    </row>
    <row r="133">
      <c r="A133" s="1" t="s">
        <v>163</v>
      </c>
      <c r="B133" s="4">
        <v>46.0</v>
      </c>
      <c r="C133" s="1" t="s">
        <v>60</v>
      </c>
      <c r="D133" s="4">
        <v>8.0</v>
      </c>
      <c r="E133" s="4">
        <v>12.0</v>
      </c>
      <c r="F133" s="4">
        <v>4.0</v>
      </c>
      <c r="G133" s="4">
        <v>8.0</v>
      </c>
      <c r="H133" s="4">
        <v>0.0</v>
      </c>
      <c r="I133" s="4">
        <v>20.0</v>
      </c>
      <c r="J133" s="4">
        <v>37.0</v>
      </c>
      <c r="K133" s="4">
        <v>-17.0</v>
      </c>
      <c r="L133" s="2" t="s">
        <v>120</v>
      </c>
      <c r="M133" s="5">
        <f>IFERROR(__xludf.DUMMYFUNCTION("""COMPUTED_VALUE"""),7.0)</f>
        <v>7</v>
      </c>
      <c r="N133" s="5">
        <f>IFERROR(__xludf.DUMMYFUNCTION("""COMPUTED_VALUE"""),16.0)</f>
        <v>16</v>
      </c>
      <c r="O133" s="5">
        <f>IFERROR(__xludf.DUMMYFUNCTION("""COMPUTED_VALUE"""),2000.0)</f>
        <v>2000</v>
      </c>
    </row>
    <row r="134">
      <c r="A134" s="1" t="s">
        <v>163</v>
      </c>
      <c r="B134" s="4">
        <v>47.0</v>
      </c>
      <c r="C134" s="1" t="s">
        <v>52</v>
      </c>
      <c r="D134" s="4">
        <v>8.0</v>
      </c>
      <c r="E134" s="4">
        <v>14.0</v>
      </c>
      <c r="F134" s="4">
        <v>4.0</v>
      </c>
      <c r="G134" s="4">
        <v>10.0</v>
      </c>
      <c r="H134" s="4">
        <v>0.0</v>
      </c>
      <c r="I134" s="4">
        <v>37.0</v>
      </c>
      <c r="J134" s="4">
        <v>64.0</v>
      </c>
      <c r="K134" s="4">
        <v>-27.0</v>
      </c>
      <c r="L134" s="2" t="s">
        <v>170</v>
      </c>
      <c r="M134" s="5">
        <f>IFERROR(__xludf.DUMMYFUNCTION("""COMPUTED_VALUE"""),11.0)</f>
        <v>11</v>
      </c>
      <c r="N134" s="5">
        <f>IFERROR(__xludf.DUMMYFUNCTION("""COMPUTED_VALUE"""),13.0)</f>
        <v>13</v>
      </c>
      <c r="O134" s="5">
        <f>IFERROR(__xludf.DUMMYFUNCTION("""COMPUTED_VALUE"""),2000.0)</f>
        <v>2000</v>
      </c>
    </row>
    <row r="135">
      <c r="A135" s="1" t="s">
        <v>163</v>
      </c>
      <c r="B135" s="4">
        <v>48.0</v>
      </c>
      <c r="C135" s="1" t="s">
        <v>103</v>
      </c>
      <c r="D135" s="4">
        <v>7.0</v>
      </c>
      <c r="E135" s="4">
        <v>10.0</v>
      </c>
      <c r="F135" s="4">
        <v>3.0</v>
      </c>
      <c r="G135" s="4">
        <v>6.0</v>
      </c>
      <c r="H135" s="4">
        <v>1.0</v>
      </c>
      <c r="I135" s="4">
        <v>31.0</v>
      </c>
      <c r="J135" s="4">
        <v>36.0</v>
      </c>
      <c r="K135" s="4">
        <v>-5.0</v>
      </c>
      <c r="L135" s="2" t="s">
        <v>185</v>
      </c>
      <c r="M135" s="5">
        <f>IFERROR(__xludf.DUMMYFUNCTION("""COMPUTED_VALUE"""),13.0)</f>
        <v>13</v>
      </c>
      <c r="N135" s="5">
        <f>IFERROR(__xludf.DUMMYFUNCTION("""COMPUTED_VALUE"""),10.0)</f>
        <v>10</v>
      </c>
      <c r="O135" s="5">
        <f>IFERROR(__xludf.DUMMYFUNCTION("""COMPUTED_VALUE"""),2.0)</f>
        <v>2</v>
      </c>
    </row>
    <row r="136">
      <c r="A136" s="1" t="s">
        <v>163</v>
      </c>
      <c r="B136" s="4">
        <v>49.0</v>
      </c>
      <c r="C136" s="1" t="s">
        <v>88</v>
      </c>
      <c r="D136" s="4">
        <v>6.0</v>
      </c>
      <c r="E136" s="4">
        <v>6.0</v>
      </c>
      <c r="F136" s="4">
        <v>3.0</v>
      </c>
      <c r="G136" s="4">
        <v>3.0</v>
      </c>
      <c r="H136" s="4">
        <v>0.0</v>
      </c>
      <c r="I136" s="4">
        <v>11.0</v>
      </c>
      <c r="J136" s="4">
        <v>18.0</v>
      </c>
      <c r="K136" s="4">
        <v>-7.0</v>
      </c>
      <c r="L136" s="2" t="s">
        <v>111</v>
      </c>
      <c r="M136" s="5">
        <f>IFERROR(__xludf.DUMMYFUNCTION("""COMPUTED_VALUE"""),9.0)</f>
        <v>9</v>
      </c>
      <c r="N136" s="5">
        <f>IFERROR(__xludf.DUMMYFUNCTION("""COMPUTED_VALUE"""),16.0)</f>
        <v>16</v>
      </c>
      <c r="O136" s="5">
        <f>IFERROR(__xludf.DUMMYFUNCTION("""COMPUTED_VALUE"""),2000.0)</f>
        <v>2000</v>
      </c>
    </row>
    <row r="137">
      <c r="A137" s="1" t="s">
        <v>163</v>
      </c>
      <c r="B137" s="4">
        <v>50.0</v>
      </c>
      <c r="C137" s="1" t="s">
        <v>71</v>
      </c>
      <c r="D137" s="4">
        <v>6.0</v>
      </c>
      <c r="E137" s="4">
        <v>10.0</v>
      </c>
      <c r="F137" s="4">
        <v>3.0</v>
      </c>
      <c r="G137" s="4">
        <v>7.0</v>
      </c>
      <c r="H137" s="4">
        <v>0.0</v>
      </c>
      <c r="I137" s="4">
        <v>20.0</v>
      </c>
      <c r="J137" s="4">
        <v>30.0</v>
      </c>
      <c r="K137" s="4">
        <v>-10.0</v>
      </c>
      <c r="L137" s="2" t="s">
        <v>170</v>
      </c>
      <c r="M137" s="5">
        <f>IFERROR(__xludf.DUMMYFUNCTION("""COMPUTED_VALUE"""),11.0)</f>
        <v>11</v>
      </c>
      <c r="N137" s="5">
        <f>IFERROR(__xludf.DUMMYFUNCTION("""COMPUTED_VALUE"""),13.0)</f>
        <v>13</v>
      </c>
      <c r="O137" s="5">
        <f>IFERROR(__xludf.DUMMYFUNCTION("""COMPUTED_VALUE"""),2000.0)</f>
        <v>2000</v>
      </c>
    </row>
    <row r="138">
      <c r="A138" s="1" t="s">
        <v>163</v>
      </c>
      <c r="B138" s="4">
        <v>51.0</v>
      </c>
      <c r="C138" s="1" t="s">
        <v>79</v>
      </c>
      <c r="D138" s="4">
        <v>6.0</v>
      </c>
      <c r="E138" s="4">
        <v>11.0</v>
      </c>
      <c r="F138" s="4">
        <v>3.0</v>
      </c>
      <c r="G138" s="4">
        <v>8.0</v>
      </c>
      <c r="H138" s="4">
        <v>0.0</v>
      </c>
      <c r="I138" s="4">
        <v>31.0</v>
      </c>
      <c r="J138" s="4">
        <v>49.0</v>
      </c>
      <c r="K138" s="4">
        <v>-18.0</v>
      </c>
      <c r="L138" s="2" t="s">
        <v>186</v>
      </c>
      <c r="M138" s="5">
        <f>IFERROR(__xludf.DUMMYFUNCTION("""COMPUTED_VALUE"""),10.0)</f>
        <v>10</v>
      </c>
      <c r="N138" s="5">
        <f>IFERROR(__xludf.DUMMYFUNCTION("""COMPUTED_VALUE"""),14.0)</f>
        <v>14</v>
      </c>
      <c r="O138" s="5">
        <f>IFERROR(__xludf.DUMMYFUNCTION("""COMPUTED_VALUE"""),2000.0)</f>
        <v>2000</v>
      </c>
    </row>
    <row r="139">
      <c r="A139" s="1" t="s">
        <v>163</v>
      </c>
      <c r="B139" s="4">
        <v>52.0</v>
      </c>
      <c r="C139" s="1" t="s">
        <v>159</v>
      </c>
      <c r="D139" s="4">
        <v>6.0</v>
      </c>
      <c r="E139" s="4">
        <v>9.0</v>
      </c>
      <c r="F139" s="4">
        <v>3.0</v>
      </c>
      <c r="G139" s="4">
        <v>6.0</v>
      </c>
      <c r="H139" s="4">
        <v>0.0</v>
      </c>
      <c r="I139" s="4">
        <v>20.0</v>
      </c>
      <c r="J139" s="4">
        <v>45.0</v>
      </c>
      <c r="K139" s="4">
        <v>-25.0</v>
      </c>
      <c r="L139" s="2" t="s">
        <v>111</v>
      </c>
      <c r="M139" s="5">
        <f>IFERROR(__xludf.DUMMYFUNCTION("""COMPUTED_VALUE"""),9.0)</f>
        <v>9</v>
      </c>
      <c r="N139" s="5">
        <f>IFERROR(__xludf.DUMMYFUNCTION("""COMPUTED_VALUE"""),16.0)</f>
        <v>16</v>
      </c>
      <c r="O139" s="5">
        <f>IFERROR(__xludf.DUMMYFUNCTION("""COMPUTED_VALUE"""),2000.0)</f>
        <v>2000</v>
      </c>
    </row>
    <row r="140">
      <c r="A140" s="1" t="s">
        <v>163</v>
      </c>
      <c r="B140" s="4">
        <v>53.0</v>
      </c>
      <c r="C140" s="1" t="s">
        <v>123</v>
      </c>
      <c r="D140" s="4">
        <v>6.0</v>
      </c>
      <c r="E140" s="4">
        <v>14.0</v>
      </c>
      <c r="F140" s="4">
        <v>3.0</v>
      </c>
      <c r="G140" s="4">
        <v>11.0</v>
      </c>
      <c r="H140" s="4">
        <v>0.0</v>
      </c>
      <c r="I140" s="4">
        <v>20.0</v>
      </c>
      <c r="J140" s="4">
        <v>74.0</v>
      </c>
      <c r="K140" s="4">
        <v>-54.0</v>
      </c>
      <c r="L140" s="2" t="s">
        <v>187</v>
      </c>
      <c r="M140" s="5">
        <f>IFERROR(__xludf.DUMMYFUNCTION("""COMPUTED_VALUE"""),6.0)</f>
        <v>6</v>
      </c>
      <c r="N140" s="5">
        <f>IFERROR(__xludf.DUMMYFUNCTION("""COMPUTED_VALUE"""),16.0)</f>
        <v>16</v>
      </c>
      <c r="O140" s="5">
        <f>IFERROR(__xludf.DUMMYFUNCTION("""COMPUTED_VALUE"""),2000.0)</f>
        <v>2000</v>
      </c>
    </row>
    <row r="141">
      <c r="A141" s="1" t="s">
        <v>163</v>
      </c>
      <c r="B141" s="4">
        <v>54.0</v>
      </c>
      <c r="C141" s="1" t="s">
        <v>125</v>
      </c>
      <c r="D141" s="4">
        <v>4.0</v>
      </c>
      <c r="E141" s="4">
        <v>4.0</v>
      </c>
      <c r="F141" s="4">
        <v>2.0</v>
      </c>
      <c r="G141" s="4">
        <v>2.0</v>
      </c>
      <c r="H141" s="4">
        <v>0.0</v>
      </c>
      <c r="I141" s="4">
        <v>12.0</v>
      </c>
      <c r="J141" s="4">
        <v>11.0</v>
      </c>
      <c r="K141" s="4">
        <v>1.0</v>
      </c>
      <c r="L141" s="2" t="s">
        <v>176</v>
      </c>
      <c r="M141" s="5">
        <f>IFERROR(__xludf.DUMMYFUNCTION("""COMPUTED_VALUE"""),11.0)</f>
        <v>11</v>
      </c>
      <c r="N141" s="5">
        <f>IFERROR(__xludf.DUMMYFUNCTION("""COMPUTED_VALUE"""),11.0)</f>
        <v>11</v>
      </c>
      <c r="O141" s="5">
        <f>IFERROR(__xludf.DUMMYFUNCTION("""COMPUTED_VALUE"""),2001.0)</f>
        <v>2001</v>
      </c>
    </row>
    <row r="142">
      <c r="A142" s="1" t="s">
        <v>163</v>
      </c>
      <c r="B142" s="4">
        <v>55.0</v>
      </c>
      <c r="C142" s="1" t="s">
        <v>126</v>
      </c>
      <c r="D142" s="4">
        <v>4.0</v>
      </c>
      <c r="E142" s="4">
        <v>4.0</v>
      </c>
      <c r="F142" s="4">
        <v>2.0</v>
      </c>
      <c r="G142" s="4">
        <v>2.0</v>
      </c>
      <c r="H142" s="4">
        <v>0.0</v>
      </c>
      <c r="I142" s="4">
        <v>9.0</v>
      </c>
      <c r="J142" s="4">
        <v>11.0</v>
      </c>
      <c r="K142" s="4">
        <v>-2.0</v>
      </c>
      <c r="L142" s="2" t="s">
        <v>82</v>
      </c>
      <c r="M142" s="5">
        <f>IFERROR(__xludf.DUMMYFUNCTION("""COMPUTED_VALUE"""),11.0)</f>
        <v>11</v>
      </c>
      <c r="N142" s="5">
        <f>IFERROR(__xludf.DUMMYFUNCTION("""COMPUTED_VALUE"""),12.0)</f>
        <v>12</v>
      </c>
      <c r="O142" s="5">
        <f>IFERROR(__xludf.DUMMYFUNCTION("""COMPUTED_VALUE"""),2001.0)</f>
        <v>2001</v>
      </c>
    </row>
    <row r="143">
      <c r="A143" s="1" t="s">
        <v>163</v>
      </c>
      <c r="B143" s="4">
        <v>56.0</v>
      </c>
      <c r="C143" s="1" t="s">
        <v>85</v>
      </c>
      <c r="D143" s="4">
        <v>4.0</v>
      </c>
      <c r="E143" s="4">
        <v>10.0</v>
      </c>
      <c r="F143" s="4">
        <v>2.0</v>
      </c>
      <c r="G143" s="4">
        <v>8.0</v>
      </c>
      <c r="H143" s="4">
        <v>0.0</v>
      </c>
      <c r="I143" s="4">
        <v>23.0</v>
      </c>
      <c r="J143" s="4">
        <v>47.0</v>
      </c>
      <c r="K143" s="4">
        <v>-24.0</v>
      </c>
      <c r="L143" s="2" t="s">
        <v>120</v>
      </c>
      <c r="M143" s="5">
        <f>IFERROR(__xludf.DUMMYFUNCTION("""COMPUTED_VALUE"""),7.0)</f>
        <v>7</v>
      </c>
      <c r="N143" s="5">
        <f>IFERROR(__xludf.DUMMYFUNCTION("""COMPUTED_VALUE"""),16.0)</f>
        <v>16</v>
      </c>
      <c r="O143" s="5">
        <f>IFERROR(__xludf.DUMMYFUNCTION("""COMPUTED_VALUE"""),2000.0)</f>
        <v>2000</v>
      </c>
    </row>
    <row r="144">
      <c r="A144" s="1" t="s">
        <v>163</v>
      </c>
      <c r="B144" s="4">
        <v>57.0</v>
      </c>
      <c r="C144" s="1" t="s">
        <v>156</v>
      </c>
      <c r="D144" s="4">
        <v>4.0</v>
      </c>
      <c r="E144" s="4">
        <v>10.0</v>
      </c>
      <c r="F144" s="4">
        <v>2.0</v>
      </c>
      <c r="G144" s="4">
        <v>8.0</v>
      </c>
      <c r="H144" s="4">
        <v>0.0</v>
      </c>
      <c r="I144" s="4">
        <v>31.0</v>
      </c>
      <c r="J144" s="4">
        <v>61.0</v>
      </c>
      <c r="K144" s="4">
        <v>-30.0</v>
      </c>
      <c r="L144" s="2" t="s">
        <v>188</v>
      </c>
      <c r="M144" s="5">
        <f>IFERROR(__xludf.DUMMYFUNCTION("""COMPUTED_VALUE"""),7.0)</f>
        <v>7</v>
      </c>
      <c r="N144" s="5">
        <f>IFERROR(__xludf.DUMMYFUNCTION("""COMPUTED_VALUE"""),14.0)</f>
        <v>14</v>
      </c>
      <c r="O144" s="5">
        <f>IFERROR(__xludf.DUMMYFUNCTION("""COMPUTED_VALUE"""),2000.0)</f>
        <v>2000</v>
      </c>
    </row>
    <row r="145">
      <c r="A145" s="1" t="s">
        <v>163</v>
      </c>
      <c r="B145" s="4">
        <v>58.0</v>
      </c>
      <c r="C145" s="1" t="s">
        <v>92</v>
      </c>
      <c r="D145" s="4">
        <v>4.0</v>
      </c>
      <c r="E145" s="4">
        <v>9.0</v>
      </c>
      <c r="F145" s="4">
        <v>2.0</v>
      </c>
      <c r="G145" s="4">
        <v>7.0</v>
      </c>
      <c r="H145" s="4">
        <v>0.0</v>
      </c>
      <c r="I145" s="4">
        <v>12.0</v>
      </c>
      <c r="J145" s="4">
        <v>47.0</v>
      </c>
      <c r="K145" s="4">
        <v>-35.0</v>
      </c>
      <c r="L145" s="2" t="s">
        <v>189</v>
      </c>
      <c r="M145" s="5">
        <f>IFERROR(__xludf.DUMMYFUNCTION("""COMPUTED_VALUE"""),7.0)</f>
        <v>7</v>
      </c>
      <c r="N145" s="5">
        <f>IFERROR(__xludf.DUMMYFUNCTION("""COMPUTED_VALUE"""),17.0)</f>
        <v>17</v>
      </c>
      <c r="O145" s="5">
        <f>IFERROR(__xludf.DUMMYFUNCTION("""COMPUTED_VALUE"""),2000.0)</f>
        <v>2000</v>
      </c>
    </row>
    <row r="146">
      <c r="A146" s="1" t="s">
        <v>163</v>
      </c>
      <c r="B146" s="4">
        <v>59.0</v>
      </c>
      <c r="C146" s="1" t="s">
        <v>158</v>
      </c>
      <c r="D146" s="4">
        <v>4.0</v>
      </c>
      <c r="E146" s="4">
        <v>10.0</v>
      </c>
      <c r="F146" s="4">
        <v>2.0</v>
      </c>
      <c r="G146" s="4">
        <v>8.0</v>
      </c>
      <c r="H146" s="4">
        <v>0.0</v>
      </c>
      <c r="I146" s="4">
        <v>13.0</v>
      </c>
      <c r="J146" s="4">
        <v>51.0</v>
      </c>
      <c r="K146" s="4">
        <v>-38.0</v>
      </c>
      <c r="L146" s="2" t="s">
        <v>97</v>
      </c>
      <c r="M146" s="5">
        <f>IFERROR(__xludf.DUMMYFUNCTION("""COMPUTED_VALUE"""),10.0)</f>
        <v>10</v>
      </c>
      <c r="N146" s="5">
        <f>IFERROR(__xludf.DUMMYFUNCTION("""COMPUTED_VALUE"""),13.0)</f>
        <v>13</v>
      </c>
      <c r="O146" s="5">
        <f>IFERROR(__xludf.DUMMYFUNCTION("""COMPUTED_VALUE"""),2000.0)</f>
        <v>2000</v>
      </c>
    </row>
    <row r="147">
      <c r="A147" s="1" t="s">
        <v>163</v>
      </c>
      <c r="B147" s="4">
        <v>60.0</v>
      </c>
      <c r="C147" s="1" t="s">
        <v>147</v>
      </c>
      <c r="D147" s="4">
        <v>4.0</v>
      </c>
      <c r="E147" s="4">
        <v>10.0</v>
      </c>
      <c r="F147" s="4">
        <v>2.0</v>
      </c>
      <c r="G147" s="4">
        <v>8.0</v>
      </c>
      <c r="H147" s="4">
        <v>0.0</v>
      </c>
      <c r="I147" s="4">
        <v>16.0</v>
      </c>
      <c r="J147" s="4">
        <v>68.0</v>
      </c>
      <c r="K147" s="4">
        <v>-52.0</v>
      </c>
      <c r="L147" s="2" t="s">
        <v>190</v>
      </c>
      <c r="M147" s="5">
        <f>IFERROR(__xludf.DUMMYFUNCTION("""COMPUTED_VALUE"""),6.0)</f>
        <v>6</v>
      </c>
      <c r="N147" s="5">
        <f>IFERROR(__xludf.DUMMYFUNCTION("""COMPUTED_VALUE"""),14.0)</f>
        <v>14</v>
      </c>
      <c r="O147" s="5">
        <f>IFERROR(__xludf.DUMMYFUNCTION("""COMPUTED_VALUE"""),2000.0)</f>
        <v>2000</v>
      </c>
    </row>
    <row r="148">
      <c r="A148" s="1" t="s">
        <v>163</v>
      </c>
      <c r="B148" s="4">
        <v>61.0</v>
      </c>
      <c r="C148" s="1" t="s">
        <v>134</v>
      </c>
      <c r="D148" s="4">
        <v>4.0</v>
      </c>
      <c r="E148" s="4">
        <v>14.0</v>
      </c>
      <c r="F148" s="4">
        <v>2.0</v>
      </c>
      <c r="G148" s="4">
        <v>12.0</v>
      </c>
      <c r="H148" s="4">
        <v>0.0</v>
      </c>
      <c r="I148" s="4">
        <v>25.0</v>
      </c>
      <c r="J148" s="4">
        <v>89.0</v>
      </c>
      <c r="K148" s="4">
        <v>-64.0</v>
      </c>
      <c r="L148" s="2" t="s">
        <v>107</v>
      </c>
      <c r="M148" s="5">
        <f>IFERROR(__xludf.DUMMYFUNCTION("""COMPUTED_VALUE"""),5.0)</f>
        <v>5</v>
      </c>
      <c r="N148" s="5">
        <f>IFERROR(__xludf.DUMMYFUNCTION("""COMPUTED_VALUE"""),19.0)</f>
        <v>19</v>
      </c>
      <c r="O148" s="5">
        <f>IFERROR(__xludf.DUMMYFUNCTION("""COMPUTED_VALUE"""),2000.0)</f>
        <v>2000</v>
      </c>
    </row>
    <row r="149">
      <c r="A149" s="1" t="s">
        <v>163</v>
      </c>
      <c r="B149" s="4">
        <v>62.0</v>
      </c>
      <c r="C149" s="1" t="s">
        <v>122</v>
      </c>
      <c r="D149" s="4">
        <v>3.0</v>
      </c>
      <c r="E149" s="4">
        <v>12.0</v>
      </c>
      <c r="F149" s="4">
        <v>1.0</v>
      </c>
      <c r="G149" s="4">
        <v>10.0</v>
      </c>
      <c r="H149" s="4">
        <v>1.0</v>
      </c>
      <c r="I149" s="4">
        <v>16.0</v>
      </c>
      <c r="J149" s="4">
        <v>49.0</v>
      </c>
      <c r="K149" s="4">
        <v>-33.0</v>
      </c>
      <c r="L149" s="2" t="s">
        <v>191</v>
      </c>
      <c r="M149" s="5">
        <f>IFERROR(__xludf.DUMMYFUNCTION("""COMPUTED_VALUE"""),3.0)</f>
        <v>3</v>
      </c>
      <c r="N149" s="5">
        <f>IFERROR(__xludf.DUMMYFUNCTION("""COMPUTED_VALUE"""),19.0)</f>
        <v>19</v>
      </c>
      <c r="O149" s="5">
        <f>IFERROR(__xludf.DUMMYFUNCTION("""COMPUTED_VALUE"""),2002.0)</f>
        <v>2002</v>
      </c>
    </row>
    <row r="150">
      <c r="A150" s="1" t="s">
        <v>163</v>
      </c>
      <c r="B150" s="4">
        <v>63.0</v>
      </c>
      <c r="C150" s="1" t="s">
        <v>106</v>
      </c>
      <c r="D150" s="4">
        <v>3.0</v>
      </c>
      <c r="E150" s="4">
        <v>12.0</v>
      </c>
      <c r="F150" s="4">
        <v>1.0</v>
      </c>
      <c r="G150" s="4">
        <v>10.0</v>
      </c>
      <c r="H150" s="4">
        <v>1.0</v>
      </c>
      <c r="I150" s="4">
        <v>30.0</v>
      </c>
      <c r="J150" s="4">
        <v>67.0</v>
      </c>
      <c r="K150" s="4">
        <v>-37.0</v>
      </c>
      <c r="L150" s="2" t="s">
        <v>192</v>
      </c>
      <c r="M150" s="5">
        <f>IFERROR(__xludf.DUMMYFUNCTION("""COMPUTED_VALUE"""),4.0)</f>
        <v>4</v>
      </c>
      <c r="N150" s="5">
        <f>IFERROR(__xludf.DUMMYFUNCTION("""COMPUTED_VALUE"""),18.0)</f>
        <v>18</v>
      </c>
      <c r="O150" s="5">
        <f>IFERROR(__xludf.DUMMYFUNCTION("""COMPUTED_VALUE"""),2001.0)</f>
        <v>2001</v>
      </c>
    </row>
    <row r="151">
      <c r="A151" s="1" t="s">
        <v>163</v>
      </c>
      <c r="B151" s="4">
        <v>64.0</v>
      </c>
      <c r="C151" s="1" t="s">
        <v>113</v>
      </c>
      <c r="D151" s="4">
        <v>2.0</v>
      </c>
      <c r="E151" s="4">
        <v>6.0</v>
      </c>
      <c r="F151" s="4">
        <v>1.0</v>
      </c>
      <c r="G151" s="4">
        <v>5.0</v>
      </c>
      <c r="H151" s="4">
        <v>0.0</v>
      </c>
      <c r="I151" s="4">
        <v>9.0</v>
      </c>
      <c r="J151" s="4">
        <v>20.0</v>
      </c>
      <c r="K151" s="4">
        <v>-11.0</v>
      </c>
      <c r="L151" s="2" t="s">
        <v>193</v>
      </c>
      <c r="M151" s="5">
        <f>IFERROR(__xludf.DUMMYFUNCTION("""COMPUTED_VALUE"""),7.0)</f>
        <v>7</v>
      </c>
      <c r="N151" s="5">
        <f>IFERROR(__xludf.DUMMYFUNCTION("""COMPUTED_VALUE"""),13.0)</f>
        <v>13</v>
      </c>
      <c r="O151" s="5">
        <f>IFERROR(__xludf.DUMMYFUNCTION("""COMPUTED_VALUE"""),2001.0)</f>
        <v>2001</v>
      </c>
    </row>
    <row r="152">
      <c r="A152" s="1" t="s">
        <v>163</v>
      </c>
      <c r="B152" s="4">
        <v>65.0</v>
      </c>
      <c r="C152" s="1" t="s">
        <v>128</v>
      </c>
      <c r="D152" s="4">
        <v>2.0</v>
      </c>
      <c r="E152" s="4">
        <v>6.0</v>
      </c>
      <c r="F152" s="4">
        <v>1.0</v>
      </c>
      <c r="G152" s="4">
        <v>5.0</v>
      </c>
      <c r="H152" s="4">
        <v>0.0</v>
      </c>
      <c r="I152" s="4">
        <v>7.0</v>
      </c>
      <c r="J152" s="4">
        <v>35.0</v>
      </c>
      <c r="K152" s="4">
        <v>-28.0</v>
      </c>
      <c r="L152" s="2" t="s">
        <v>82</v>
      </c>
      <c r="M152" s="5">
        <f>IFERROR(__xludf.DUMMYFUNCTION("""COMPUTED_VALUE"""),11.0)</f>
        <v>11</v>
      </c>
      <c r="N152" s="5">
        <f>IFERROR(__xludf.DUMMYFUNCTION("""COMPUTED_VALUE"""),12.0)</f>
        <v>12</v>
      </c>
      <c r="O152" s="5">
        <f>IFERROR(__xludf.DUMMYFUNCTION("""COMPUTED_VALUE"""),2001.0)</f>
        <v>2001</v>
      </c>
    </row>
    <row r="153">
      <c r="A153" s="1" t="s">
        <v>163</v>
      </c>
      <c r="B153" s="4">
        <v>66.0</v>
      </c>
      <c r="C153" s="1" t="s">
        <v>137</v>
      </c>
      <c r="D153" s="4">
        <v>2.0</v>
      </c>
      <c r="E153" s="4">
        <v>10.0</v>
      </c>
      <c r="F153" s="4">
        <v>1.0</v>
      </c>
      <c r="G153" s="4">
        <v>9.0</v>
      </c>
      <c r="H153" s="4">
        <v>0.0</v>
      </c>
      <c r="I153" s="4">
        <v>13.0</v>
      </c>
      <c r="J153" s="4">
        <v>64.0</v>
      </c>
      <c r="K153" s="4">
        <v>-51.0</v>
      </c>
      <c r="L153" s="2" t="s">
        <v>194</v>
      </c>
      <c r="M153" s="5">
        <f>IFERROR(__xludf.DUMMYFUNCTION("""COMPUTED_VALUE"""),5.0)</f>
        <v>5</v>
      </c>
      <c r="N153" s="5">
        <f>IFERROR(__xludf.DUMMYFUNCTION("""COMPUTED_VALUE"""),18.0)</f>
        <v>18</v>
      </c>
      <c r="O153" s="5">
        <f>IFERROR(__xludf.DUMMYFUNCTION("""COMPUTED_VALUE"""),2001.0)</f>
        <v>2001</v>
      </c>
    </row>
    <row r="154">
      <c r="A154" s="1" t="s">
        <v>163</v>
      </c>
      <c r="B154" s="4">
        <v>67.0</v>
      </c>
      <c r="C154" s="1" t="s">
        <v>146</v>
      </c>
      <c r="D154" s="4">
        <v>2.0</v>
      </c>
      <c r="E154" s="4">
        <v>12.0</v>
      </c>
      <c r="F154" s="4">
        <v>1.0</v>
      </c>
      <c r="G154" s="4">
        <v>11.0</v>
      </c>
      <c r="H154" s="4">
        <v>0.0</v>
      </c>
      <c r="I154" s="4">
        <v>24.0</v>
      </c>
      <c r="J154" s="4">
        <v>76.0</v>
      </c>
      <c r="K154" s="4">
        <v>-52.0</v>
      </c>
      <c r="L154" s="2" t="s">
        <v>195</v>
      </c>
      <c r="M154" s="5">
        <f>IFERROR(__xludf.DUMMYFUNCTION("""COMPUTED_VALUE"""),8.0)</f>
        <v>8</v>
      </c>
      <c r="N154" s="5">
        <f>IFERROR(__xludf.DUMMYFUNCTION("""COMPUTED_VALUE"""),15.0)</f>
        <v>15</v>
      </c>
      <c r="O154" s="5">
        <f>IFERROR(__xludf.DUMMYFUNCTION("""COMPUTED_VALUE"""),2000.0)</f>
        <v>2000</v>
      </c>
    </row>
    <row r="155">
      <c r="A155" s="1" t="s">
        <v>163</v>
      </c>
      <c r="B155" s="4">
        <v>68.0</v>
      </c>
      <c r="C155" s="1" t="s">
        <v>119</v>
      </c>
      <c r="D155" s="4">
        <v>2.0</v>
      </c>
      <c r="E155" s="4">
        <v>10.0</v>
      </c>
      <c r="F155" s="4">
        <v>1.0</v>
      </c>
      <c r="G155" s="4">
        <v>9.0</v>
      </c>
      <c r="H155" s="4">
        <v>0.0</v>
      </c>
      <c r="I155" s="4">
        <v>20.0</v>
      </c>
      <c r="J155" s="4">
        <v>74.0</v>
      </c>
      <c r="K155" s="4">
        <v>-54.0</v>
      </c>
      <c r="L155" s="2" t="s">
        <v>136</v>
      </c>
      <c r="M155" s="5">
        <f>IFERROR(__xludf.DUMMYFUNCTION("""COMPUTED_VALUE"""),4.0)</f>
        <v>4</v>
      </c>
      <c r="N155" s="5">
        <f>IFERROR(__xludf.DUMMYFUNCTION("""COMPUTED_VALUE"""),20.0)</f>
        <v>20</v>
      </c>
      <c r="O155" s="5">
        <f>IFERROR(__xludf.DUMMYFUNCTION("""COMPUTED_VALUE"""),2000.0)</f>
        <v>2000</v>
      </c>
    </row>
    <row r="156">
      <c r="A156" s="1" t="s">
        <v>163</v>
      </c>
      <c r="B156" s="4">
        <v>69.0</v>
      </c>
      <c r="C156" s="1" t="s">
        <v>140</v>
      </c>
      <c r="D156" s="4">
        <v>2.0</v>
      </c>
      <c r="E156" s="4">
        <v>10.0</v>
      </c>
      <c r="F156" s="4">
        <v>1.0</v>
      </c>
      <c r="G156" s="4">
        <v>9.0</v>
      </c>
      <c r="H156" s="4">
        <v>0.0</v>
      </c>
      <c r="I156" s="4">
        <v>6.0</v>
      </c>
      <c r="J156" s="4">
        <v>70.0</v>
      </c>
      <c r="K156" s="4">
        <v>-64.0</v>
      </c>
      <c r="L156" s="2" t="s">
        <v>196</v>
      </c>
      <c r="M156" s="5">
        <f>IFERROR(__xludf.DUMMYFUNCTION("""COMPUTED_VALUE"""),3.0)</f>
        <v>3</v>
      </c>
      <c r="N156" s="5">
        <f>IFERROR(__xludf.DUMMYFUNCTION("""COMPUTED_VALUE"""),19.0)</f>
        <v>19</v>
      </c>
      <c r="O156" s="5">
        <f>IFERROR(__xludf.DUMMYFUNCTION("""COMPUTED_VALUE"""),2000.0)</f>
        <v>2000</v>
      </c>
    </row>
    <row r="157">
      <c r="A157" s="1" t="s">
        <v>163</v>
      </c>
      <c r="B157" s="4">
        <v>70.0</v>
      </c>
      <c r="C157" s="1" t="s">
        <v>161</v>
      </c>
      <c r="D157" s="4">
        <v>1.0</v>
      </c>
      <c r="E157" s="4">
        <v>12.0</v>
      </c>
      <c r="F157" s="4">
        <v>0.0</v>
      </c>
      <c r="G157" s="4">
        <v>11.0</v>
      </c>
      <c r="H157" s="4">
        <v>1.0</v>
      </c>
      <c r="I157" s="4">
        <v>21.0</v>
      </c>
      <c r="J157" s="4">
        <v>76.0</v>
      </c>
      <c r="K157" s="4">
        <v>-55.0</v>
      </c>
      <c r="L157" s="2" t="s">
        <v>191</v>
      </c>
      <c r="M157" s="5">
        <f>IFERROR(__xludf.DUMMYFUNCTION("""COMPUTED_VALUE"""),3.0)</f>
        <v>3</v>
      </c>
      <c r="N157" s="5">
        <f>IFERROR(__xludf.DUMMYFUNCTION("""COMPUTED_VALUE"""),19.0)</f>
        <v>19</v>
      </c>
      <c r="O157" s="5">
        <f>IFERROR(__xludf.DUMMYFUNCTION("""COMPUTED_VALUE"""),2002.0)</f>
        <v>2002</v>
      </c>
    </row>
    <row r="158">
      <c r="A158" s="1" t="s">
        <v>163</v>
      </c>
      <c r="B158" s="4">
        <v>71.0</v>
      </c>
      <c r="C158" s="1" t="s">
        <v>149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2" t="s">
        <v>176</v>
      </c>
      <c r="M158" s="5">
        <f>IFERROR(__xludf.DUMMYFUNCTION("""COMPUTED_VALUE"""),11.0)</f>
        <v>11</v>
      </c>
      <c r="N158" s="5">
        <f>IFERROR(__xludf.DUMMYFUNCTION("""COMPUTED_VALUE"""),11.0)</f>
        <v>11</v>
      </c>
      <c r="O158" s="5">
        <f>IFERROR(__xludf.DUMMYFUNCTION("""COMPUTED_VALUE"""),2001.0)</f>
        <v>2001</v>
      </c>
    </row>
    <row r="159">
      <c r="A159" s="1" t="s">
        <v>163</v>
      </c>
      <c r="B159" s="4">
        <v>72.0</v>
      </c>
      <c r="C159" s="1" t="s">
        <v>114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2" t="s">
        <v>91</v>
      </c>
      <c r="M159" s="5">
        <f>IFERROR(__xludf.DUMMYFUNCTION("""COMPUTED_VALUE"""),6.0)</f>
        <v>6</v>
      </c>
      <c r="N159" s="5">
        <f>IFERROR(__xludf.DUMMYFUNCTION("""COMPUTED_VALUE"""),17.0)</f>
        <v>17</v>
      </c>
      <c r="O159" s="5">
        <f>IFERROR(__xludf.DUMMYFUNCTION("""COMPUTED_VALUE"""),2001.0)</f>
        <v>2001</v>
      </c>
    </row>
    <row r="160">
      <c r="A160" s="1" t="s">
        <v>163</v>
      </c>
      <c r="B160" s="4">
        <v>73.0</v>
      </c>
      <c r="C160" s="1" t="s">
        <v>150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2" t="s">
        <v>197</v>
      </c>
      <c r="M160" s="5">
        <f>IFERROR(__xludf.DUMMYFUNCTION("""COMPUTED_VALUE"""),0.0)</f>
        <v>0</v>
      </c>
      <c r="N160" s="5">
        <f>IFERROR(__xludf.DUMMYFUNCTION("""COMPUTED_VALUE"""),12.0)</f>
        <v>12</v>
      </c>
      <c r="O160" s="5">
        <f>IFERROR(__xludf.DUMMYFUNCTION("""COMPUTED_VALUE"""),0.0)</f>
        <v>0</v>
      </c>
    </row>
    <row r="161">
      <c r="A161" s="1" t="s">
        <v>163</v>
      </c>
      <c r="B161" s="4">
        <v>74.0</v>
      </c>
      <c r="C161" s="1" t="s">
        <v>132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2" t="s">
        <v>198</v>
      </c>
      <c r="M161" s="5">
        <f>IFERROR(__xludf.DUMMYFUNCTION("""COMPUTED_VALUE"""),5.0)</f>
        <v>5</v>
      </c>
      <c r="N161" s="5">
        <f>IFERROR(__xludf.DUMMYFUNCTION("""COMPUTED_VALUE"""),15.0)</f>
        <v>15</v>
      </c>
      <c r="O161" s="5">
        <f>IFERROR(__xludf.DUMMYFUNCTION("""COMPUTED_VALUE"""),2001.0)</f>
        <v>2001</v>
      </c>
    </row>
    <row r="162">
      <c r="A162" s="1" t="s">
        <v>163</v>
      </c>
      <c r="B162" s="4">
        <v>75.0</v>
      </c>
      <c r="C162" s="1" t="s">
        <v>142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2" t="s">
        <v>199</v>
      </c>
      <c r="M162" s="5">
        <f>IFERROR(__xludf.DUMMYFUNCTION("""COMPUTED_VALUE"""),8.0)</f>
        <v>8</v>
      </c>
      <c r="N162" s="5">
        <f>IFERROR(__xludf.DUMMYFUNCTION("""COMPUTED_VALUE"""),12.0)</f>
        <v>12</v>
      </c>
      <c r="O162" s="5">
        <f>IFERROR(__xludf.DUMMYFUNCTION("""COMPUTED_VALUE"""),2003.0)</f>
        <v>2003</v>
      </c>
    </row>
    <row r="163">
      <c r="A163" s="1" t="s">
        <v>163</v>
      </c>
      <c r="B163" s="4">
        <v>76.0</v>
      </c>
      <c r="C163" s="1" t="s">
        <v>77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2" t="s">
        <v>82</v>
      </c>
      <c r="M163" s="5">
        <f>IFERROR(__xludf.DUMMYFUNCTION("""COMPUTED_VALUE"""),11.0)</f>
        <v>11</v>
      </c>
      <c r="N163" s="5">
        <f>IFERROR(__xludf.DUMMYFUNCTION("""COMPUTED_VALUE"""),12.0)</f>
        <v>12</v>
      </c>
      <c r="O163" s="5">
        <f>IFERROR(__xludf.DUMMYFUNCTION("""COMPUTED_VALUE"""),2001.0)</f>
        <v>2001</v>
      </c>
    </row>
    <row r="164">
      <c r="A164" s="1" t="s">
        <v>163</v>
      </c>
      <c r="B164" s="4">
        <v>77.0</v>
      </c>
      <c r="C164" s="1" t="s">
        <v>110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2" t="s">
        <v>173</v>
      </c>
      <c r="M164" s="5">
        <f>IFERROR(__xludf.DUMMYFUNCTION("""COMPUTED_VALUE"""),8.0)</f>
        <v>8</v>
      </c>
      <c r="N164" s="5">
        <f>IFERROR(__xludf.DUMMYFUNCTION("""COMPUTED_VALUE"""),15.0)</f>
        <v>15</v>
      </c>
      <c r="O164" s="5">
        <f>IFERROR(__xludf.DUMMYFUNCTION("""COMPUTED_VALUE"""),2001.0)</f>
        <v>2001</v>
      </c>
    </row>
    <row r="165">
      <c r="A165" s="1" t="s">
        <v>163</v>
      </c>
      <c r="B165" s="4">
        <v>78.0</v>
      </c>
      <c r="C165" s="1" t="s">
        <v>112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2" t="s">
        <v>118</v>
      </c>
      <c r="M165" s="5">
        <f>IFERROR(__xludf.DUMMYFUNCTION("""COMPUTED_VALUE"""),9.0)</f>
        <v>9</v>
      </c>
      <c r="N165" s="5">
        <f>IFERROR(__xludf.DUMMYFUNCTION("""COMPUTED_VALUE"""),15.0)</f>
        <v>15</v>
      </c>
      <c r="O165" s="5">
        <f>IFERROR(__xludf.DUMMYFUNCTION("""COMPUTED_VALUE"""),2000.0)</f>
        <v>2000</v>
      </c>
    </row>
    <row r="166">
      <c r="A166" s="1" t="s">
        <v>163</v>
      </c>
      <c r="B166" s="4">
        <v>79.0</v>
      </c>
      <c r="C166" s="1" t="s">
        <v>131</v>
      </c>
      <c r="D166" s="4">
        <v>0.0</v>
      </c>
      <c r="E166" s="4">
        <v>4.0</v>
      </c>
      <c r="F166" s="4">
        <v>0.0</v>
      </c>
      <c r="G166" s="4">
        <v>4.0</v>
      </c>
      <c r="H166" s="4">
        <v>0.0</v>
      </c>
      <c r="I166" s="4">
        <v>10.0</v>
      </c>
      <c r="J166" s="4">
        <v>24.0</v>
      </c>
      <c r="K166" s="4">
        <v>-14.0</v>
      </c>
      <c r="L166" s="2" t="s">
        <v>200</v>
      </c>
      <c r="M166" s="5">
        <f>IFERROR(__xludf.DUMMYFUNCTION("""COMPUTED_VALUE"""),6.0)</f>
        <v>6</v>
      </c>
      <c r="N166" s="5">
        <f>IFERROR(__xludf.DUMMYFUNCTION("""COMPUTED_VALUE"""),16.0)</f>
        <v>16</v>
      </c>
      <c r="O166" s="5">
        <f>IFERROR(__xludf.DUMMYFUNCTION("""COMPUTED_VALUE"""),2001.0)</f>
        <v>2001</v>
      </c>
    </row>
    <row r="167">
      <c r="A167" s="1" t="s">
        <v>163</v>
      </c>
      <c r="B167" s="4">
        <v>80.0</v>
      </c>
      <c r="C167" s="1" t="s">
        <v>144</v>
      </c>
      <c r="D167" s="4">
        <v>0.0</v>
      </c>
      <c r="E167" s="4">
        <v>4.0</v>
      </c>
      <c r="F167" s="4">
        <v>0.0</v>
      </c>
      <c r="G167" s="4">
        <v>4.0</v>
      </c>
      <c r="H167" s="4">
        <v>0.0</v>
      </c>
      <c r="I167" s="4">
        <v>2.0</v>
      </c>
      <c r="J167" s="4">
        <v>18.0</v>
      </c>
      <c r="K167" s="4">
        <v>-16.0</v>
      </c>
      <c r="L167" s="2" t="s">
        <v>201</v>
      </c>
      <c r="M167" s="5">
        <f>IFERROR(__xludf.DUMMYFUNCTION("""COMPUTED_VALUE"""),2.0)</f>
        <v>2</v>
      </c>
      <c r="N167" s="5">
        <f>IFERROR(__xludf.DUMMYFUNCTION("""COMPUTED_VALUE"""),18.0)</f>
        <v>18</v>
      </c>
      <c r="O167" s="5">
        <f>IFERROR(__xludf.DUMMYFUNCTION("""COMPUTED_VALUE"""),2000.0)</f>
        <v>2000</v>
      </c>
    </row>
    <row r="168">
      <c r="A168" s="1" t="s">
        <v>163</v>
      </c>
      <c r="B168" s="4">
        <v>81.0</v>
      </c>
      <c r="C168" s="1" t="s">
        <v>121</v>
      </c>
      <c r="D168" s="4">
        <v>0.0</v>
      </c>
      <c r="E168" s="4">
        <v>9.0</v>
      </c>
      <c r="F168" s="4">
        <v>0.0</v>
      </c>
      <c r="G168" s="4">
        <v>9.0</v>
      </c>
      <c r="H168" s="4">
        <v>0.0</v>
      </c>
      <c r="I168" s="4">
        <v>9.0</v>
      </c>
      <c r="J168" s="4">
        <v>48.0</v>
      </c>
      <c r="K168" s="4">
        <v>-39.0</v>
      </c>
      <c r="L168" s="2" t="s">
        <v>202</v>
      </c>
      <c r="M168" s="5">
        <f>IFERROR(__xludf.DUMMYFUNCTION("""COMPUTED_VALUE"""),1.0)</f>
        <v>1</v>
      </c>
      <c r="N168" s="5">
        <f>IFERROR(__xludf.DUMMYFUNCTION("""COMPUTED_VALUE"""),17.0)</f>
        <v>17</v>
      </c>
      <c r="O168" s="5">
        <f>IFERROR(__xludf.DUMMYFUNCTION("""COMPUTED_VALUE"""),2000.0)</f>
        <v>2000</v>
      </c>
    </row>
    <row r="169">
      <c r="A169" s="1" t="s">
        <v>163</v>
      </c>
      <c r="B169" s="4">
        <v>82.0</v>
      </c>
      <c r="C169" s="1" t="s">
        <v>141</v>
      </c>
      <c r="D169" s="4">
        <v>0.0</v>
      </c>
      <c r="E169" s="4">
        <v>10.0</v>
      </c>
      <c r="F169" s="4">
        <v>0.0</v>
      </c>
      <c r="G169" s="4">
        <v>10.0</v>
      </c>
      <c r="H169" s="4">
        <v>0.0</v>
      </c>
      <c r="I169" s="4">
        <v>15.0</v>
      </c>
      <c r="J169" s="4">
        <v>62.0</v>
      </c>
      <c r="K169" s="4">
        <v>-47.0</v>
      </c>
      <c r="L169" s="2" t="s">
        <v>118</v>
      </c>
      <c r="M169" s="5">
        <f>IFERROR(__xludf.DUMMYFUNCTION("""COMPUTED_VALUE"""),9.0)</f>
        <v>9</v>
      </c>
      <c r="N169" s="5">
        <f>IFERROR(__xludf.DUMMYFUNCTION("""COMPUTED_VALUE"""),15.0)</f>
        <v>15</v>
      </c>
      <c r="O169" s="5">
        <f>IFERROR(__xludf.DUMMYFUNCTION("""COMPUTED_VALUE"""),2000.0)</f>
        <v>2000</v>
      </c>
    </row>
    <row r="170">
      <c r="A170" s="1" t="s">
        <v>163</v>
      </c>
      <c r="B170" s="4">
        <v>83.0</v>
      </c>
      <c r="C170" s="1" t="s">
        <v>152</v>
      </c>
      <c r="D170" s="4">
        <v>0.0</v>
      </c>
      <c r="E170" s="4">
        <v>10.0</v>
      </c>
      <c r="F170" s="4">
        <v>0.0</v>
      </c>
      <c r="G170" s="4">
        <v>10.0</v>
      </c>
      <c r="H170" s="4">
        <v>0.0</v>
      </c>
      <c r="I170" s="4">
        <v>18.0</v>
      </c>
      <c r="J170" s="4">
        <v>65.0</v>
      </c>
      <c r="K170" s="4">
        <v>-47.0</v>
      </c>
      <c r="L170" s="2" t="s">
        <v>196</v>
      </c>
      <c r="M170" s="5">
        <f>IFERROR(__xludf.DUMMYFUNCTION("""COMPUTED_VALUE"""),3.0)</f>
        <v>3</v>
      </c>
      <c r="N170" s="5">
        <f>IFERROR(__xludf.DUMMYFUNCTION("""COMPUTED_VALUE"""),19.0)</f>
        <v>19</v>
      </c>
      <c r="O170" s="5">
        <f>IFERROR(__xludf.DUMMYFUNCTION("""COMPUTED_VALUE"""),2000.0)</f>
        <v>2000</v>
      </c>
    </row>
    <row r="171">
      <c r="A171" s="1" t="s">
        <v>163</v>
      </c>
      <c r="B171" s="4">
        <v>84.0</v>
      </c>
      <c r="C171" s="1" t="s">
        <v>135</v>
      </c>
      <c r="D171" s="4">
        <v>0.0</v>
      </c>
      <c r="E171" s="4">
        <v>10.0</v>
      </c>
      <c r="F171" s="4">
        <v>0.0</v>
      </c>
      <c r="G171" s="4">
        <v>10.0</v>
      </c>
      <c r="H171" s="4">
        <v>0.0</v>
      </c>
      <c r="I171" s="4">
        <v>14.0</v>
      </c>
      <c r="J171" s="4">
        <v>94.0</v>
      </c>
      <c r="K171" s="4">
        <v>-80.0</v>
      </c>
      <c r="L171" s="2" t="s">
        <v>203</v>
      </c>
      <c r="M171" s="5">
        <f>IFERROR(__xludf.DUMMYFUNCTION("""COMPUTED_VALUE"""),2.0)</f>
        <v>2</v>
      </c>
      <c r="N171" s="5">
        <f>IFERROR(__xludf.DUMMYFUNCTION("""COMPUTED_VALUE"""),19.0)</f>
        <v>19</v>
      </c>
      <c r="O171" s="5">
        <f>IFERROR(__xludf.DUMMYFUNCTION("""COMPUTED_VALUE"""),2000.0)</f>
        <v>2000</v>
      </c>
    </row>
    <row r="172">
      <c r="A172" s="1" t="s">
        <v>204</v>
      </c>
      <c r="B172" s="4">
        <v>1.0</v>
      </c>
      <c r="C172" s="1" t="s">
        <v>16</v>
      </c>
      <c r="D172" s="4">
        <v>26.0</v>
      </c>
      <c r="E172" s="4">
        <v>14.0</v>
      </c>
      <c r="F172" s="4">
        <v>13.0</v>
      </c>
      <c r="G172" s="4">
        <v>1.0</v>
      </c>
      <c r="H172" s="4">
        <v>0.0</v>
      </c>
      <c r="I172" s="4">
        <v>78.0</v>
      </c>
      <c r="J172" s="4">
        <v>22.0</v>
      </c>
      <c r="K172" s="4">
        <v>56.0</v>
      </c>
      <c r="L172" s="2" t="s">
        <v>205</v>
      </c>
      <c r="M172" s="5">
        <f>IFERROR(__xludf.DUMMYFUNCTION("""COMPUTED_VALUE"""),19.0)</f>
        <v>19</v>
      </c>
      <c r="N172" s="5">
        <f>IFERROR(__xludf.DUMMYFUNCTION("""COMPUTED_VALUE"""),4.0)</f>
        <v>4</v>
      </c>
      <c r="O172" s="5">
        <f>IFERROR(__xludf.DUMMYFUNCTION("""COMPUTED_VALUE"""),0.0)</f>
        <v>0</v>
      </c>
    </row>
    <row r="173">
      <c r="A173" s="1" t="s">
        <v>204</v>
      </c>
      <c r="B173" s="4">
        <v>2.0</v>
      </c>
      <c r="C173" s="1" t="s">
        <v>25</v>
      </c>
      <c r="D173" s="4">
        <v>24.0</v>
      </c>
      <c r="E173" s="4">
        <v>14.0</v>
      </c>
      <c r="F173" s="4">
        <v>12.0</v>
      </c>
      <c r="G173" s="4">
        <v>2.0</v>
      </c>
      <c r="H173" s="4">
        <v>0.0</v>
      </c>
      <c r="I173" s="4">
        <v>56.0</v>
      </c>
      <c r="J173" s="4">
        <v>26.0</v>
      </c>
      <c r="K173" s="4">
        <v>30.0</v>
      </c>
      <c r="L173" s="2" t="s">
        <v>40</v>
      </c>
      <c r="M173" s="5">
        <f>IFERROR(__xludf.DUMMYFUNCTION("""COMPUTED_VALUE"""),17.0)</f>
        <v>17</v>
      </c>
      <c r="N173" s="5">
        <f>IFERROR(__xludf.DUMMYFUNCTION("""COMPUTED_VALUE"""),6.0)</f>
        <v>6</v>
      </c>
      <c r="O173" s="5">
        <f>IFERROR(__xludf.DUMMYFUNCTION("""COMPUTED_VALUE"""),1.0)</f>
        <v>1</v>
      </c>
    </row>
    <row r="174">
      <c r="A174" s="1" t="s">
        <v>204</v>
      </c>
      <c r="B174" s="4">
        <v>3.0</v>
      </c>
      <c r="C174" s="1" t="s">
        <v>33</v>
      </c>
      <c r="D174" s="4">
        <v>22.0</v>
      </c>
      <c r="E174" s="4">
        <v>12.0</v>
      </c>
      <c r="F174" s="4">
        <v>11.0</v>
      </c>
      <c r="G174" s="4">
        <v>1.0</v>
      </c>
      <c r="H174" s="4">
        <v>0.0</v>
      </c>
      <c r="I174" s="4">
        <v>94.0</v>
      </c>
      <c r="J174" s="4">
        <v>19.0</v>
      </c>
      <c r="K174" s="4">
        <v>75.0</v>
      </c>
      <c r="L174" s="2" t="s">
        <v>57</v>
      </c>
      <c r="M174" s="5">
        <f>IFERROR(__xludf.DUMMYFUNCTION("""COMPUTED_VALUE"""),17.0)</f>
        <v>17</v>
      </c>
      <c r="N174" s="5">
        <f>IFERROR(__xludf.DUMMYFUNCTION("""COMPUTED_VALUE"""),7.0)</f>
        <v>7</v>
      </c>
      <c r="O174" s="5">
        <f>IFERROR(__xludf.DUMMYFUNCTION("""COMPUTED_VALUE"""),0.0)</f>
        <v>0</v>
      </c>
    </row>
    <row r="175">
      <c r="A175" s="1" t="s">
        <v>204</v>
      </c>
      <c r="B175" s="4">
        <v>4.0</v>
      </c>
      <c r="C175" s="1" t="s">
        <v>99</v>
      </c>
      <c r="D175" s="4">
        <v>22.0</v>
      </c>
      <c r="E175" s="4">
        <v>12.0</v>
      </c>
      <c r="F175" s="4">
        <v>11.0</v>
      </c>
      <c r="G175" s="4">
        <v>1.0</v>
      </c>
      <c r="H175" s="4">
        <v>0.0</v>
      </c>
      <c r="I175" s="4">
        <v>75.0</v>
      </c>
      <c r="J175" s="4">
        <v>23.0</v>
      </c>
      <c r="K175" s="4">
        <v>52.0</v>
      </c>
      <c r="L175" s="2" t="s">
        <v>206</v>
      </c>
      <c r="M175" s="5">
        <f>IFERROR(__xludf.DUMMYFUNCTION("""COMPUTED_VALUE"""),16.0)</f>
        <v>16</v>
      </c>
      <c r="N175" s="5">
        <f>IFERROR(__xludf.DUMMYFUNCTION("""COMPUTED_VALUE"""),6.0)</f>
        <v>6</v>
      </c>
      <c r="O175" s="5">
        <f>IFERROR(__xludf.DUMMYFUNCTION("""COMPUTED_VALUE"""),1.0)</f>
        <v>1</v>
      </c>
    </row>
    <row r="176">
      <c r="A176" s="1" t="s">
        <v>204</v>
      </c>
      <c r="B176" s="4">
        <v>5.0</v>
      </c>
      <c r="C176" s="1" t="s">
        <v>24</v>
      </c>
      <c r="D176" s="4">
        <v>22.0</v>
      </c>
      <c r="E176" s="4">
        <v>12.0</v>
      </c>
      <c r="F176" s="4">
        <v>11.0</v>
      </c>
      <c r="G176" s="4">
        <v>1.0</v>
      </c>
      <c r="H176" s="4">
        <v>0.0</v>
      </c>
      <c r="I176" s="4">
        <v>71.0</v>
      </c>
      <c r="J176" s="4">
        <v>25.0</v>
      </c>
      <c r="K176" s="4">
        <v>46.0</v>
      </c>
      <c r="L176" s="2" t="s">
        <v>207</v>
      </c>
      <c r="M176" s="5">
        <f>IFERROR(__xludf.DUMMYFUNCTION("""COMPUTED_VALUE"""),19.0)</f>
        <v>19</v>
      </c>
      <c r="N176" s="5">
        <f>IFERROR(__xludf.DUMMYFUNCTION("""COMPUTED_VALUE"""),5.0)</f>
        <v>5</v>
      </c>
      <c r="O176" s="5">
        <f>IFERROR(__xludf.DUMMYFUNCTION("""COMPUTED_VALUE"""),0.0)</f>
        <v>0</v>
      </c>
    </row>
    <row r="177">
      <c r="A177" s="1" t="s">
        <v>204</v>
      </c>
      <c r="B177" s="4">
        <v>6.0</v>
      </c>
      <c r="C177" s="1" t="s">
        <v>27</v>
      </c>
      <c r="D177" s="4">
        <v>20.0</v>
      </c>
      <c r="E177" s="4">
        <v>10.0</v>
      </c>
      <c r="F177" s="4">
        <v>10.0</v>
      </c>
      <c r="G177" s="4">
        <v>0.0</v>
      </c>
      <c r="H177" s="4">
        <v>0.0</v>
      </c>
      <c r="I177" s="4">
        <v>72.0</v>
      </c>
      <c r="J177" s="4">
        <v>14.0</v>
      </c>
      <c r="K177" s="4">
        <v>58.0</v>
      </c>
      <c r="L177" s="2" t="s">
        <v>32</v>
      </c>
      <c r="M177" s="5">
        <f>IFERROR(__xludf.DUMMYFUNCTION("""COMPUTED_VALUE"""),21.0)</f>
        <v>21</v>
      </c>
      <c r="N177" s="5">
        <f>IFERROR(__xludf.DUMMYFUNCTION("""COMPUTED_VALUE"""),3.0)</f>
        <v>3</v>
      </c>
      <c r="O177" s="5">
        <f>IFERROR(__xludf.DUMMYFUNCTION("""COMPUTED_VALUE"""),0.0)</f>
        <v>0</v>
      </c>
    </row>
    <row r="178">
      <c r="A178" s="1" t="s">
        <v>204</v>
      </c>
      <c r="B178" s="4">
        <v>7.0</v>
      </c>
      <c r="C178" s="1" t="s">
        <v>20</v>
      </c>
      <c r="D178" s="4">
        <v>20.0</v>
      </c>
      <c r="E178" s="4">
        <v>14.0</v>
      </c>
      <c r="F178" s="4">
        <v>10.0</v>
      </c>
      <c r="G178" s="4">
        <v>4.0</v>
      </c>
      <c r="H178" s="4">
        <v>0.0</v>
      </c>
      <c r="I178" s="4">
        <v>68.0</v>
      </c>
      <c r="J178" s="4">
        <v>26.0</v>
      </c>
      <c r="K178" s="4">
        <v>42.0</v>
      </c>
      <c r="L178" s="2" t="s">
        <v>51</v>
      </c>
      <c r="M178" s="5">
        <f>IFERROR(__xludf.DUMMYFUNCTION("""COMPUTED_VALUE"""),15.0)</f>
        <v>15</v>
      </c>
      <c r="N178" s="5">
        <f>IFERROR(__xludf.DUMMYFUNCTION("""COMPUTED_VALUE"""),9.0)</f>
        <v>9</v>
      </c>
      <c r="O178" s="5">
        <f>IFERROR(__xludf.DUMMYFUNCTION("""COMPUTED_VALUE"""),0.0)</f>
        <v>0</v>
      </c>
    </row>
    <row r="179">
      <c r="A179" s="1" t="s">
        <v>204</v>
      </c>
      <c r="B179" s="4">
        <v>8.0</v>
      </c>
      <c r="C179" s="1" t="s">
        <v>46</v>
      </c>
      <c r="D179" s="4">
        <v>18.0</v>
      </c>
      <c r="E179" s="4">
        <v>10.0</v>
      </c>
      <c r="F179" s="4">
        <v>9.0</v>
      </c>
      <c r="G179" s="4">
        <v>1.0</v>
      </c>
      <c r="H179" s="4">
        <v>0.0</v>
      </c>
      <c r="I179" s="4">
        <v>77.0</v>
      </c>
      <c r="J179" s="4">
        <v>18.0</v>
      </c>
      <c r="K179" s="4">
        <v>59.0</v>
      </c>
      <c r="L179" s="2" t="s">
        <v>55</v>
      </c>
      <c r="M179" s="5">
        <f>IFERROR(__xludf.DUMMYFUNCTION("""COMPUTED_VALUE"""),17.0)</f>
        <v>17</v>
      </c>
      <c r="N179" s="5">
        <f>IFERROR(__xludf.DUMMYFUNCTION("""COMPUTED_VALUE"""),6.0)</f>
        <v>6</v>
      </c>
      <c r="O179" s="5">
        <f>IFERROR(__xludf.DUMMYFUNCTION("""COMPUTED_VALUE"""),0.0)</f>
        <v>0</v>
      </c>
    </row>
    <row r="180">
      <c r="A180" s="1" t="s">
        <v>204</v>
      </c>
      <c r="B180" s="4">
        <v>9.0</v>
      </c>
      <c r="C180" s="1" t="s">
        <v>18</v>
      </c>
      <c r="D180" s="4">
        <v>18.0</v>
      </c>
      <c r="E180" s="4">
        <v>10.0</v>
      </c>
      <c r="F180" s="4">
        <v>9.0</v>
      </c>
      <c r="G180" s="4">
        <v>1.0</v>
      </c>
      <c r="H180" s="4">
        <v>0.0</v>
      </c>
      <c r="I180" s="4">
        <v>47.0</v>
      </c>
      <c r="J180" s="4">
        <v>12.0</v>
      </c>
      <c r="K180" s="4">
        <v>35.0</v>
      </c>
      <c r="L180" s="2" t="s">
        <v>208</v>
      </c>
      <c r="M180" s="5">
        <f>IFERROR(__xludf.DUMMYFUNCTION("""COMPUTED_VALUE"""),14.0)</f>
        <v>14</v>
      </c>
      <c r="N180" s="5">
        <f>IFERROR(__xludf.DUMMYFUNCTION("""COMPUTED_VALUE"""),8.0)</f>
        <v>8</v>
      </c>
      <c r="O180" s="5">
        <f>IFERROR(__xludf.DUMMYFUNCTION("""COMPUTED_VALUE"""),2.0)</f>
        <v>2</v>
      </c>
    </row>
    <row r="181">
      <c r="A181" s="1" t="s">
        <v>204</v>
      </c>
      <c r="B181" s="4">
        <v>10.0</v>
      </c>
      <c r="C181" s="1" t="s">
        <v>22</v>
      </c>
      <c r="D181" s="4">
        <v>18.0</v>
      </c>
      <c r="E181" s="4">
        <v>12.0</v>
      </c>
      <c r="F181" s="4">
        <v>9.0</v>
      </c>
      <c r="G181" s="4">
        <v>3.0</v>
      </c>
      <c r="H181" s="4">
        <v>0.0</v>
      </c>
      <c r="I181" s="4">
        <v>60.0</v>
      </c>
      <c r="J181" s="4">
        <v>31.0</v>
      </c>
      <c r="K181" s="4">
        <v>29.0</v>
      </c>
      <c r="L181" s="2" t="s">
        <v>38</v>
      </c>
      <c r="M181" s="5">
        <f>IFERROR(__xludf.DUMMYFUNCTION("""COMPUTED_VALUE"""),16.0)</f>
        <v>16</v>
      </c>
      <c r="N181" s="5">
        <f>IFERROR(__xludf.DUMMYFUNCTION("""COMPUTED_VALUE"""),8.0)</f>
        <v>8</v>
      </c>
      <c r="O181" s="5">
        <f>IFERROR(__xludf.DUMMYFUNCTION("""COMPUTED_VALUE"""),0.0)</f>
        <v>0</v>
      </c>
    </row>
    <row r="182">
      <c r="A182" s="1" t="s">
        <v>204</v>
      </c>
      <c r="B182" s="4">
        <v>11.0</v>
      </c>
      <c r="C182" s="1" t="s">
        <v>75</v>
      </c>
      <c r="D182" s="4">
        <v>18.0</v>
      </c>
      <c r="E182" s="4">
        <v>11.0</v>
      </c>
      <c r="F182" s="4">
        <v>9.0</v>
      </c>
      <c r="G182" s="4">
        <v>2.0</v>
      </c>
      <c r="H182" s="4">
        <v>0.0</v>
      </c>
      <c r="I182" s="4">
        <v>52.0</v>
      </c>
      <c r="J182" s="4">
        <v>26.0</v>
      </c>
      <c r="K182" s="4">
        <v>26.0</v>
      </c>
      <c r="L182" s="2" t="s">
        <v>209</v>
      </c>
      <c r="M182" s="5">
        <f>IFERROR(__xludf.DUMMYFUNCTION("""COMPUTED_VALUE"""),16.0)</f>
        <v>16</v>
      </c>
      <c r="N182" s="5">
        <f>IFERROR(__xludf.DUMMYFUNCTION("""COMPUTED_VALUE"""),4.0)</f>
        <v>4</v>
      </c>
      <c r="O182" s="5">
        <f>IFERROR(__xludf.DUMMYFUNCTION("""COMPUTED_VALUE"""),0.0)</f>
        <v>0</v>
      </c>
    </row>
    <row r="183">
      <c r="A183" s="1" t="s">
        <v>204</v>
      </c>
      <c r="B183" s="4">
        <v>12.0</v>
      </c>
      <c r="C183" s="1" t="s">
        <v>61</v>
      </c>
      <c r="D183" s="4">
        <v>16.0</v>
      </c>
      <c r="E183" s="4">
        <v>9.0</v>
      </c>
      <c r="F183" s="4">
        <v>8.0</v>
      </c>
      <c r="G183" s="4">
        <v>1.0</v>
      </c>
      <c r="H183" s="4">
        <v>0.0</v>
      </c>
      <c r="I183" s="4">
        <v>62.0</v>
      </c>
      <c r="J183" s="4">
        <v>17.0</v>
      </c>
      <c r="K183" s="4">
        <v>45.0</v>
      </c>
      <c r="L183" s="2" t="s">
        <v>51</v>
      </c>
      <c r="M183" s="5">
        <f>IFERROR(__xludf.DUMMYFUNCTION("""COMPUTED_VALUE"""),15.0)</f>
        <v>15</v>
      </c>
      <c r="N183" s="5">
        <f>IFERROR(__xludf.DUMMYFUNCTION("""COMPUTED_VALUE"""),9.0)</f>
        <v>9</v>
      </c>
      <c r="O183" s="5">
        <f>IFERROR(__xludf.DUMMYFUNCTION("""COMPUTED_VALUE"""),0.0)</f>
        <v>0</v>
      </c>
    </row>
    <row r="184">
      <c r="A184" s="1" t="s">
        <v>204</v>
      </c>
      <c r="B184" s="4">
        <v>13.0</v>
      </c>
      <c r="C184" s="1" t="s">
        <v>39</v>
      </c>
      <c r="D184" s="4">
        <v>16.0</v>
      </c>
      <c r="E184" s="4">
        <v>10.0</v>
      </c>
      <c r="F184" s="4">
        <v>8.0</v>
      </c>
      <c r="G184" s="4">
        <v>2.0</v>
      </c>
      <c r="H184" s="4">
        <v>0.0</v>
      </c>
      <c r="I184" s="4">
        <v>57.0</v>
      </c>
      <c r="J184" s="4">
        <v>15.0</v>
      </c>
      <c r="K184" s="4">
        <v>42.0</v>
      </c>
      <c r="L184" s="2" t="s">
        <v>205</v>
      </c>
      <c r="M184" s="5">
        <f>IFERROR(__xludf.DUMMYFUNCTION("""COMPUTED_VALUE"""),19.0)</f>
        <v>19</v>
      </c>
      <c r="N184" s="5">
        <f>IFERROR(__xludf.DUMMYFUNCTION("""COMPUTED_VALUE"""),4.0)</f>
        <v>4</v>
      </c>
      <c r="O184" s="5">
        <f>IFERROR(__xludf.DUMMYFUNCTION("""COMPUTED_VALUE"""),0.0)</f>
        <v>0</v>
      </c>
    </row>
    <row r="185">
      <c r="A185" s="1" t="s">
        <v>204</v>
      </c>
      <c r="B185" s="4">
        <v>14.0</v>
      </c>
      <c r="C185" s="1" t="s">
        <v>45</v>
      </c>
      <c r="D185" s="4">
        <v>16.0</v>
      </c>
      <c r="E185" s="4">
        <v>10.0</v>
      </c>
      <c r="F185" s="4">
        <v>8.0</v>
      </c>
      <c r="G185" s="4">
        <v>2.0</v>
      </c>
      <c r="H185" s="4">
        <v>0.0</v>
      </c>
      <c r="I185" s="4">
        <v>59.0</v>
      </c>
      <c r="J185" s="4">
        <v>24.0</v>
      </c>
      <c r="K185" s="4">
        <v>35.0</v>
      </c>
      <c r="L185" s="2" t="s">
        <v>102</v>
      </c>
      <c r="M185" s="5">
        <f>IFERROR(__xludf.DUMMYFUNCTION("""COMPUTED_VALUE"""),13.0)</f>
        <v>13</v>
      </c>
      <c r="N185" s="5">
        <f>IFERROR(__xludf.DUMMYFUNCTION("""COMPUTED_VALUE"""),11.0)</f>
        <v>11</v>
      </c>
      <c r="O185" s="5">
        <f>IFERROR(__xludf.DUMMYFUNCTION("""COMPUTED_VALUE"""),0.0)</f>
        <v>0</v>
      </c>
    </row>
    <row r="186">
      <c r="A186" s="1" t="s">
        <v>204</v>
      </c>
      <c r="B186" s="4">
        <v>15.0</v>
      </c>
      <c r="C186" s="1" t="s">
        <v>66</v>
      </c>
      <c r="D186" s="4">
        <v>16.0</v>
      </c>
      <c r="E186" s="4">
        <v>14.0</v>
      </c>
      <c r="F186" s="4">
        <v>8.0</v>
      </c>
      <c r="G186" s="4">
        <v>6.0</v>
      </c>
      <c r="H186" s="4">
        <v>0.0</v>
      </c>
      <c r="I186" s="4">
        <v>64.0</v>
      </c>
      <c r="J186" s="4">
        <v>33.0</v>
      </c>
      <c r="K186" s="4">
        <v>31.0</v>
      </c>
      <c r="L186" s="2" t="s">
        <v>51</v>
      </c>
      <c r="M186" s="5">
        <f>IFERROR(__xludf.DUMMYFUNCTION("""COMPUTED_VALUE"""),15.0)</f>
        <v>15</v>
      </c>
      <c r="N186" s="5">
        <f>IFERROR(__xludf.DUMMYFUNCTION("""COMPUTED_VALUE"""),9.0)</f>
        <v>9</v>
      </c>
      <c r="O186" s="5">
        <f>IFERROR(__xludf.DUMMYFUNCTION("""COMPUTED_VALUE"""),0.0)</f>
        <v>0</v>
      </c>
    </row>
    <row r="187">
      <c r="A187" s="1" t="s">
        <v>204</v>
      </c>
      <c r="B187" s="4">
        <v>16.0</v>
      </c>
      <c r="C187" s="1" t="s">
        <v>37</v>
      </c>
      <c r="D187" s="4">
        <v>16.0</v>
      </c>
      <c r="E187" s="4">
        <v>12.0</v>
      </c>
      <c r="F187" s="4">
        <v>8.0</v>
      </c>
      <c r="G187" s="4">
        <v>4.0</v>
      </c>
      <c r="H187" s="4">
        <v>0.0</v>
      </c>
      <c r="I187" s="4">
        <v>68.0</v>
      </c>
      <c r="J187" s="4">
        <v>38.0</v>
      </c>
      <c r="K187" s="4">
        <v>30.0</v>
      </c>
      <c r="L187" s="2" t="s">
        <v>93</v>
      </c>
      <c r="M187" s="5">
        <f>IFERROR(__xludf.DUMMYFUNCTION("""COMPUTED_VALUE"""),13.0)</f>
        <v>13</v>
      </c>
      <c r="N187" s="5">
        <f>IFERROR(__xludf.DUMMYFUNCTION("""COMPUTED_VALUE"""),10.0)</f>
        <v>10</v>
      </c>
      <c r="O187" s="5">
        <f>IFERROR(__xludf.DUMMYFUNCTION("""COMPUTED_VALUE"""),0.0)</f>
        <v>0</v>
      </c>
    </row>
    <row r="188">
      <c r="A188" s="1" t="s">
        <v>204</v>
      </c>
      <c r="B188" s="4">
        <v>17.0</v>
      </c>
      <c r="C188" s="1" t="s">
        <v>73</v>
      </c>
      <c r="D188" s="4">
        <v>16.0</v>
      </c>
      <c r="E188" s="4">
        <v>10.0</v>
      </c>
      <c r="F188" s="4">
        <v>8.0</v>
      </c>
      <c r="G188" s="4">
        <v>2.0</v>
      </c>
      <c r="H188" s="4">
        <v>0.0</v>
      </c>
      <c r="I188" s="4">
        <v>40.0</v>
      </c>
      <c r="J188" s="4">
        <v>16.0</v>
      </c>
      <c r="K188" s="4">
        <v>24.0</v>
      </c>
      <c r="L188" s="2" t="s">
        <v>210</v>
      </c>
      <c r="M188" s="5">
        <f>IFERROR(__xludf.DUMMYFUNCTION("""COMPUTED_VALUE"""),14.0)</f>
        <v>14</v>
      </c>
      <c r="N188" s="5">
        <f>IFERROR(__xludf.DUMMYFUNCTION("""COMPUTED_VALUE"""),4.0)</f>
        <v>4</v>
      </c>
      <c r="O188" s="5">
        <f>IFERROR(__xludf.DUMMYFUNCTION("""COMPUTED_VALUE"""),2.0)</f>
        <v>2</v>
      </c>
    </row>
    <row r="189">
      <c r="A189" s="1" t="s">
        <v>204</v>
      </c>
      <c r="B189" s="4">
        <v>18.0</v>
      </c>
      <c r="C189" s="1" t="s">
        <v>68</v>
      </c>
      <c r="D189" s="4">
        <v>16.0</v>
      </c>
      <c r="E189" s="4">
        <v>10.0</v>
      </c>
      <c r="F189" s="4">
        <v>8.0</v>
      </c>
      <c r="G189" s="4">
        <v>2.0</v>
      </c>
      <c r="H189" s="4">
        <v>0.0</v>
      </c>
      <c r="I189" s="4">
        <v>39.0</v>
      </c>
      <c r="J189" s="4">
        <v>23.0</v>
      </c>
      <c r="K189" s="4">
        <v>16.0</v>
      </c>
      <c r="L189" s="2" t="s">
        <v>23</v>
      </c>
      <c r="M189" s="5">
        <f>IFERROR(__xludf.DUMMYFUNCTION("""COMPUTED_VALUE"""),14.0)</f>
        <v>14</v>
      </c>
      <c r="N189" s="5">
        <f>IFERROR(__xludf.DUMMYFUNCTION("""COMPUTED_VALUE"""),10.0)</f>
        <v>10</v>
      </c>
      <c r="O189" s="5">
        <f>IFERROR(__xludf.DUMMYFUNCTION("""COMPUTED_VALUE"""),0.0)</f>
        <v>0</v>
      </c>
    </row>
    <row r="190">
      <c r="A190" s="1" t="s">
        <v>204</v>
      </c>
      <c r="B190" s="4">
        <v>19.0</v>
      </c>
      <c r="C190" s="1" t="s">
        <v>94</v>
      </c>
      <c r="D190" s="4">
        <v>16.0</v>
      </c>
      <c r="E190" s="4">
        <v>12.0</v>
      </c>
      <c r="F190" s="4">
        <v>8.0</v>
      </c>
      <c r="G190" s="4">
        <v>4.0</v>
      </c>
      <c r="H190" s="4">
        <v>0.0</v>
      </c>
      <c r="I190" s="4">
        <v>52.0</v>
      </c>
      <c r="J190" s="4">
        <v>55.0</v>
      </c>
      <c r="K190" s="4">
        <v>-3.0</v>
      </c>
      <c r="L190" s="2" t="s">
        <v>183</v>
      </c>
      <c r="M190" s="5">
        <f>IFERROR(__xludf.DUMMYFUNCTION("""COMPUTED_VALUE"""),14.0)</f>
        <v>14</v>
      </c>
      <c r="N190" s="5">
        <f>IFERROR(__xludf.DUMMYFUNCTION("""COMPUTED_VALUE"""),8.0)</f>
        <v>8</v>
      </c>
      <c r="O190" s="5">
        <f>IFERROR(__xludf.DUMMYFUNCTION("""COMPUTED_VALUE"""),1.0)</f>
        <v>1</v>
      </c>
    </row>
    <row r="191">
      <c r="A191" s="1" t="s">
        <v>204</v>
      </c>
      <c r="B191" s="4">
        <v>20.0</v>
      </c>
      <c r="C191" s="1" t="s">
        <v>43</v>
      </c>
      <c r="D191" s="4">
        <v>14.0</v>
      </c>
      <c r="E191" s="4">
        <v>7.0</v>
      </c>
      <c r="F191" s="4">
        <v>7.0</v>
      </c>
      <c r="G191" s="4">
        <v>0.0</v>
      </c>
      <c r="H191" s="4">
        <v>0.0</v>
      </c>
      <c r="I191" s="4">
        <v>54.0</v>
      </c>
      <c r="J191" s="4">
        <v>2.0</v>
      </c>
      <c r="K191" s="4">
        <v>52.0</v>
      </c>
      <c r="L191" s="2" t="s">
        <v>211</v>
      </c>
      <c r="M191" s="5">
        <f>IFERROR(__xludf.DUMMYFUNCTION("""COMPUTED_VALUE"""),23.0)</f>
        <v>23</v>
      </c>
      <c r="N191" s="5">
        <f>IFERROR(__xludf.DUMMYFUNCTION("""COMPUTED_VALUE"""),0.0)</f>
        <v>0</v>
      </c>
      <c r="O191" s="5">
        <f>IFERROR(__xludf.DUMMYFUNCTION("""COMPUTED_VALUE"""),0.0)</f>
        <v>0</v>
      </c>
    </row>
    <row r="192">
      <c r="A192" s="1" t="s">
        <v>204</v>
      </c>
      <c r="B192" s="4">
        <v>21.0</v>
      </c>
      <c r="C192" s="1" t="s">
        <v>81</v>
      </c>
      <c r="D192" s="4">
        <v>14.0</v>
      </c>
      <c r="E192" s="4">
        <v>9.0</v>
      </c>
      <c r="F192" s="4">
        <v>7.0</v>
      </c>
      <c r="G192" s="4">
        <v>2.0</v>
      </c>
      <c r="H192" s="4">
        <v>0.0</v>
      </c>
      <c r="I192" s="4">
        <v>30.0</v>
      </c>
      <c r="J192" s="4">
        <v>13.0</v>
      </c>
      <c r="K192" s="4">
        <v>17.0</v>
      </c>
      <c r="L192" s="2" t="s">
        <v>102</v>
      </c>
      <c r="M192" s="5">
        <f>IFERROR(__xludf.DUMMYFUNCTION("""COMPUTED_VALUE"""),13.0)</f>
        <v>13</v>
      </c>
      <c r="N192" s="5">
        <f>IFERROR(__xludf.DUMMYFUNCTION("""COMPUTED_VALUE"""),11.0)</f>
        <v>11</v>
      </c>
      <c r="O192" s="5">
        <f>IFERROR(__xludf.DUMMYFUNCTION("""COMPUTED_VALUE"""),0.0)</f>
        <v>0</v>
      </c>
    </row>
    <row r="193">
      <c r="A193" s="1" t="s">
        <v>204</v>
      </c>
      <c r="B193" s="4">
        <v>22.0</v>
      </c>
      <c r="C193" s="1" t="s">
        <v>29</v>
      </c>
      <c r="D193" s="4">
        <v>14.0</v>
      </c>
      <c r="E193" s="4">
        <v>10.0</v>
      </c>
      <c r="F193" s="4">
        <v>7.0</v>
      </c>
      <c r="G193" s="4">
        <v>3.0</v>
      </c>
      <c r="H193" s="4">
        <v>0.0</v>
      </c>
      <c r="I193" s="4">
        <v>56.0</v>
      </c>
      <c r="J193" s="4">
        <v>40.0</v>
      </c>
      <c r="K193" s="4">
        <v>16.0</v>
      </c>
      <c r="L193" s="2" t="s">
        <v>17</v>
      </c>
      <c r="M193" s="5">
        <f>IFERROR(__xludf.DUMMYFUNCTION("""COMPUTED_VALUE"""),18.0)</f>
        <v>18</v>
      </c>
      <c r="N193" s="5">
        <f>IFERROR(__xludf.DUMMYFUNCTION("""COMPUTED_VALUE"""),5.0)</f>
        <v>5</v>
      </c>
      <c r="O193" s="5">
        <f>IFERROR(__xludf.DUMMYFUNCTION("""COMPUTED_VALUE"""),0.0)</f>
        <v>0</v>
      </c>
    </row>
    <row r="194">
      <c r="A194" s="1" t="s">
        <v>204</v>
      </c>
      <c r="B194" s="4">
        <v>23.0</v>
      </c>
      <c r="C194" s="1" t="s">
        <v>156</v>
      </c>
      <c r="D194" s="4">
        <v>14.0</v>
      </c>
      <c r="E194" s="4">
        <v>10.0</v>
      </c>
      <c r="F194" s="4">
        <v>7.0</v>
      </c>
      <c r="G194" s="4">
        <v>3.0</v>
      </c>
      <c r="H194" s="4">
        <v>0.0</v>
      </c>
      <c r="I194" s="4">
        <v>51.0</v>
      </c>
      <c r="J194" s="4">
        <v>38.0</v>
      </c>
      <c r="K194" s="4">
        <v>13.0</v>
      </c>
      <c r="L194" s="2" t="s">
        <v>212</v>
      </c>
      <c r="M194" s="5">
        <f>IFERROR(__xludf.DUMMYFUNCTION("""COMPUTED_VALUE"""),17.0)</f>
        <v>17</v>
      </c>
      <c r="N194" s="5">
        <f>IFERROR(__xludf.DUMMYFUNCTION("""COMPUTED_VALUE"""),5.0)</f>
        <v>5</v>
      </c>
      <c r="O194" s="5">
        <f>IFERROR(__xludf.DUMMYFUNCTION("""COMPUTED_VALUE"""),0.0)</f>
        <v>0</v>
      </c>
    </row>
    <row r="195">
      <c r="A195" s="1" t="s">
        <v>204</v>
      </c>
      <c r="B195" s="4">
        <v>24.0</v>
      </c>
      <c r="C195" s="1" t="s">
        <v>106</v>
      </c>
      <c r="D195" s="4">
        <v>14.0</v>
      </c>
      <c r="E195" s="4">
        <v>12.0</v>
      </c>
      <c r="F195" s="4">
        <v>7.0</v>
      </c>
      <c r="G195" s="4">
        <v>5.0</v>
      </c>
      <c r="H195" s="4">
        <v>0.0</v>
      </c>
      <c r="I195" s="4">
        <v>66.0</v>
      </c>
      <c r="J195" s="4">
        <v>59.0</v>
      </c>
      <c r="K195" s="4">
        <v>7.0</v>
      </c>
      <c r="L195" s="2" t="s">
        <v>38</v>
      </c>
      <c r="M195" s="5">
        <f>IFERROR(__xludf.DUMMYFUNCTION("""COMPUTED_VALUE"""),16.0)</f>
        <v>16</v>
      </c>
      <c r="N195" s="5">
        <f>IFERROR(__xludf.DUMMYFUNCTION("""COMPUTED_VALUE"""),8.0)</f>
        <v>8</v>
      </c>
      <c r="O195" s="5">
        <f>IFERROR(__xludf.DUMMYFUNCTION("""COMPUTED_VALUE"""),0.0)</f>
        <v>0</v>
      </c>
    </row>
    <row r="196">
      <c r="A196" s="1" t="s">
        <v>204</v>
      </c>
      <c r="B196" s="4">
        <v>25.0</v>
      </c>
      <c r="C196" s="1" t="s">
        <v>134</v>
      </c>
      <c r="D196" s="4">
        <v>14.0</v>
      </c>
      <c r="E196" s="4">
        <v>14.0</v>
      </c>
      <c r="F196" s="4">
        <v>7.0</v>
      </c>
      <c r="G196" s="4">
        <v>7.0</v>
      </c>
      <c r="H196" s="4">
        <v>0.0</v>
      </c>
      <c r="I196" s="4">
        <v>51.0</v>
      </c>
      <c r="J196" s="4">
        <v>52.0</v>
      </c>
      <c r="K196" s="4">
        <v>-1.0</v>
      </c>
      <c r="L196" s="2" t="s">
        <v>80</v>
      </c>
      <c r="M196" s="5">
        <f>IFERROR(__xludf.DUMMYFUNCTION("""COMPUTED_VALUE"""),12.0)</f>
        <v>12</v>
      </c>
      <c r="N196" s="5">
        <f>IFERROR(__xludf.DUMMYFUNCTION("""COMPUTED_VALUE"""),12.0)</f>
        <v>12</v>
      </c>
      <c r="O196" s="5">
        <f>IFERROR(__xludf.DUMMYFUNCTION("""COMPUTED_VALUE"""),2000.0)</f>
        <v>2000</v>
      </c>
    </row>
    <row r="197">
      <c r="A197" s="1" t="s">
        <v>204</v>
      </c>
      <c r="B197" s="4">
        <v>26.0</v>
      </c>
      <c r="C197" s="1" t="s">
        <v>110</v>
      </c>
      <c r="D197" s="4">
        <v>12.0</v>
      </c>
      <c r="E197" s="4">
        <v>6.0</v>
      </c>
      <c r="F197" s="4">
        <v>6.0</v>
      </c>
      <c r="G197" s="4">
        <v>0.0</v>
      </c>
      <c r="H197" s="4">
        <v>0.0</v>
      </c>
      <c r="I197" s="4">
        <v>48.0</v>
      </c>
      <c r="J197" s="4">
        <v>12.0</v>
      </c>
      <c r="K197" s="4">
        <v>36.0</v>
      </c>
      <c r="L197" s="2" t="s">
        <v>93</v>
      </c>
      <c r="M197" s="5">
        <f>IFERROR(__xludf.DUMMYFUNCTION("""COMPUTED_VALUE"""),13.0)</f>
        <v>13</v>
      </c>
      <c r="N197" s="5">
        <f>IFERROR(__xludf.DUMMYFUNCTION("""COMPUTED_VALUE"""),10.0)</f>
        <v>10</v>
      </c>
      <c r="O197" s="5">
        <f>IFERROR(__xludf.DUMMYFUNCTION("""COMPUTED_VALUE"""),0.0)</f>
        <v>0</v>
      </c>
    </row>
    <row r="198">
      <c r="A198" s="1" t="s">
        <v>204</v>
      </c>
      <c r="B198" s="4">
        <v>27.0</v>
      </c>
      <c r="C198" s="1" t="s">
        <v>56</v>
      </c>
      <c r="D198" s="4">
        <v>12.0</v>
      </c>
      <c r="E198" s="4">
        <v>6.0</v>
      </c>
      <c r="F198" s="4">
        <v>6.0</v>
      </c>
      <c r="G198" s="4">
        <v>0.0</v>
      </c>
      <c r="H198" s="4">
        <v>0.0</v>
      </c>
      <c r="I198" s="4">
        <v>37.0</v>
      </c>
      <c r="J198" s="4">
        <v>7.0</v>
      </c>
      <c r="K198" s="4">
        <v>30.0</v>
      </c>
      <c r="L198" s="2" t="s">
        <v>21</v>
      </c>
      <c r="M198" s="5">
        <f>IFERROR(__xludf.DUMMYFUNCTION("""COMPUTED_VALUE"""),15.0)</f>
        <v>15</v>
      </c>
      <c r="N198" s="5">
        <f>IFERROR(__xludf.DUMMYFUNCTION("""COMPUTED_VALUE"""),8.0)</f>
        <v>8</v>
      </c>
      <c r="O198" s="5">
        <f>IFERROR(__xludf.DUMMYFUNCTION("""COMPUTED_VALUE"""),0.0)</f>
        <v>0</v>
      </c>
    </row>
    <row r="199">
      <c r="A199" s="1" t="s">
        <v>204</v>
      </c>
      <c r="B199" s="4">
        <v>28.0</v>
      </c>
      <c r="C199" s="1" t="s">
        <v>85</v>
      </c>
      <c r="D199" s="4">
        <v>12.0</v>
      </c>
      <c r="E199" s="4">
        <v>10.0</v>
      </c>
      <c r="F199" s="4">
        <v>6.0</v>
      </c>
      <c r="G199" s="4">
        <v>4.0</v>
      </c>
      <c r="H199" s="4">
        <v>0.0</v>
      </c>
      <c r="I199" s="4">
        <v>49.0</v>
      </c>
      <c r="J199" s="4">
        <v>29.0</v>
      </c>
      <c r="K199" s="4">
        <v>20.0</v>
      </c>
      <c r="L199" s="2" t="s">
        <v>213</v>
      </c>
      <c r="M199" s="5">
        <f>IFERROR(__xludf.DUMMYFUNCTION("""COMPUTED_VALUE"""),12.0)</f>
        <v>12</v>
      </c>
      <c r="N199" s="5">
        <f>IFERROR(__xludf.DUMMYFUNCTION("""COMPUTED_VALUE"""),9.0)</f>
        <v>9</v>
      </c>
      <c r="O199" s="5">
        <f>IFERROR(__xludf.DUMMYFUNCTION("""COMPUTED_VALUE"""),2000.0)</f>
        <v>2000</v>
      </c>
    </row>
    <row r="200">
      <c r="A200" s="1" t="s">
        <v>204</v>
      </c>
      <c r="B200" s="4">
        <v>29.0</v>
      </c>
      <c r="C200" s="1" t="s">
        <v>34</v>
      </c>
      <c r="D200" s="4">
        <v>12.0</v>
      </c>
      <c r="E200" s="4">
        <v>12.0</v>
      </c>
      <c r="F200" s="4">
        <v>6.0</v>
      </c>
      <c r="G200" s="4">
        <v>6.0</v>
      </c>
      <c r="H200" s="4">
        <v>0.0</v>
      </c>
      <c r="I200" s="4">
        <v>57.0</v>
      </c>
      <c r="J200" s="4">
        <v>38.0</v>
      </c>
      <c r="K200" s="4">
        <v>19.0</v>
      </c>
      <c r="L200" s="2" t="s">
        <v>186</v>
      </c>
      <c r="M200" s="5">
        <f>IFERROR(__xludf.DUMMYFUNCTION("""COMPUTED_VALUE"""),10.0)</f>
        <v>10</v>
      </c>
      <c r="N200" s="5">
        <f>IFERROR(__xludf.DUMMYFUNCTION("""COMPUTED_VALUE"""),14.0)</f>
        <v>14</v>
      </c>
      <c r="O200" s="5">
        <f>IFERROR(__xludf.DUMMYFUNCTION("""COMPUTED_VALUE"""),2000.0)</f>
        <v>2000</v>
      </c>
    </row>
    <row r="201">
      <c r="A201" s="1" t="s">
        <v>204</v>
      </c>
      <c r="B201" s="4">
        <v>30.0</v>
      </c>
      <c r="C201" s="1" t="s">
        <v>31</v>
      </c>
      <c r="D201" s="4">
        <v>12.0</v>
      </c>
      <c r="E201" s="4">
        <v>7.0</v>
      </c>
      <c r="F201" s="4">
        <v>6.0</v>
      </c>
      <c r="G201" s="4">
        <v>1.0</v>
      </c>
      <c r="H201" s="4">
        <v>0.0</v>
      </c>
      <c r="I201" s="4">
        <v>28.0</v>
      </c>
      <c r="J201" s="4">
        <v>13.0</v>
      </c>
      <c r="K201" s="4">
        <v>15.0</v>
      </c>
      <c r="L201" s="2" t="s">
        <v>214</v>
      </c>
      <c r="M201" s="5">
        <f>IFERROR(__xludf.DUMMYFUNCTION("""COMPUTED_VALUE"""),19.0)</f>
        <v>19</v>
      </c>
      <c r="N201" s="5">
        <f>IFERROR(__xludf.DUMMYFUNCTION("""COMPUTED_VALUE"""),6.0)</f>
        <v>6</v>
      </c>
      <c r="O201" s="5">
        <f>IFERROR(__xludf.DUMMYFUNCTION("""COMPUTED_VALUE"""),0.0)</f>
        <v>0</v>
      </c>
    </row>
    <row r="202">
      <c r="A202" s="1" t="s">
        <v>204</v>
      </c>
      <c r="B202" s="4">
        <v>31.0</v>
      </c>
      <c r="C202" s="1" t="s">
        <v>41</v>
      </c>
      <c r="D202" s="4">
        <v>12.0</v>
      </c>
      <c r="E202" s="4">
        <v>8.0</v>
      </c>
      <c r="F202" s="4">
        <v>6.0</v>
      </c>
      <c r="G202" s="4">
        <v>2.0</v>
      </c>
      <c r="H202" s="4">
        <v>0.0</v>
      </c>
      <c r="I202" s="4">
        <v>33.0</v>
      </c>
      <c r="J202" s="4">
        <v>25.0</v>
      </c>
      <c r="K202" s="4">
        <v>8.0</v>
      </c>
      <c r="L202" s="2" t="s">
        <v>82</v>
      </c>
      <c r="M202" s="5">
        <f>IFERROR(__xludf.DUMMYFUNCTION("""COMPUTED_VALUE"""),11.0)</f>
        <v>11</v>
      </c>
      <c r="N202" s="5">
        <f>IFERROR(__xludf.DUMMYFUNCTION("""COMPUTED_VALUE"""),12.0)</f>
        <v>12</v>
      </c>
      <c r="O202" s="5">
        <f>IFERROR(__xludf.DUMMYFUNCTION("""COMPUTED_VALUE"""),2001.0)</f>
        <v>2001</v>
      </c>
    </row>
    <row r="203">
      <c r="A203" s="1" t="s">
        <v>204</v>
      </c>
      <c r="B203" s="4">
        <v>32.0</v>
      </c>
      <c r="C203" s="1" t="s">
        <v>105</v>
      </c>
      <c r="D203" s="4">
        <v>10.0</v>
      </c>
      <c r="E203" s="4">
        <v>10.0</v>
      </c>
      <c r="F203" s="4">
        <v>5.0</v>
      </c>
      <c r="G203" s="4">
        <v>5.0</v>
      </c>
      <c r="H203" s="4">
        <v>0.0</v>
      </c>
      <c r="I203" s="4">
        <v>52.0</v>
      </c>
      <c r="J203" s="4">
        <v>39.0</v>
      </c>
      <c r="K203" s="4">
        <v>13.0</v>
      </c>
      <c r="L203" s="2" t="s">
        <v>51</v>
      </c>
      <c r="M203" s="5">
        <f>IFERROR(__xludf.DUMMYFUNCTION("""COMPUTED_VALUE"""),15.0)</f>
        <v>15</v>
      </c>
      <c r="N203" s="5">
        <f>IFERROR(__xludf.DUMMYFUNCTION("""COMPUTED_VALUE"""),9.0)</f>
        <v>9</v>
      </c>
      <c r="O203" s="5">
        <f>IFERROR(__xludf.DUMMYFUNCTION("""COMPUTED_VALUE"""),0.0)</f>
        <v>0</v>
      </c>
    </row>
    <row r="204">
      <c r="A204" s="1" t="s">
        <v>204</v>
      </c>
      <c r="B204" s="4">
        <v>33.0</v>
      </c>
      <c r="C204" s="1" t="s">
        <v>149</v>
      </c>
      <c r="D204" s="4">
        <v>10.0</v>
      </c>
      <c r="E204" s="4">
        <v>7.0</v>
      </c>
      <c r="F204" s="4">
        <v>5.0</v>
      </c>
      <c r="G204" s="4">
        <v>2.0</v>
      </c>
      <c r="H204" s="4">
        <v>0.0</v>
      </c>
      <c r="I204" s="4">
        <v>29.0</v>
      </c>
      <c r="J204" s="4">
        <v>17.0</v>
      </c>
      <c r="K204" s="4">
        <v>12.0</v>
      </c>
      <c r="L204" s="2" t="s">
        <v>215</v>
      </c>
      <c r="M204" s="5">
        <f>IFERROR(__xludf.DUMMYFUNCTION("""COMPUTED_VALUE"""),18.0)</f>
        <v>18</v>
      </c>
      <c r="N204" s="5">
        <f>IFERROR(__xludf.DUMMYFUNCTION("""COMPUTED_VALUE"""),8.0)</f>
        <v>8</v>
      </c>
      <c r="O204" s="5">
        <f>IFERROR(__xludf.DUMMYFUNCTION("""COMPUTED_VALUE"""),0.0)</f>
        <v>0</v>
      </c>
    </row>
    <row r="205">
      <c r="A205" s="1" t="s">
        <v>204</v>
      </c>
      <c r="B205" s="4">
        <v>34.0</v>
      </c>
      <c r="C205" s="1" t="s">
        <v>62</v>
      </c>
      <c r="D205" s="4">
        <v>10.0</v>
      </c>
      <c r="E205" s="4">
        <v>10.0</v>
      </c>
      <c r="F205" s="4">
        <v>5.0</v>
      </c>
      <c r="G205" s="4">
        <v>5.0</v>
      </c>
      <c r="H205" s="4">
        <v>0.0</v>
      </c>
      <c r="I205" s="4">
        <v>40.0</v>
      </c>
      <c r="J205" s="4">
        <v>28.0</v>
      </c>
      <c r="K205" s="4">
        <v>12.0</v>
      </c>
      <c r="L205" s="2" t="s">
        <v>118</v>
      </c>
      <c r="M205" s="5">
        <f>IFERROR(__xludf.DUMMYFUNCTION("""COMPUTED_VALUE"""),9.0)</f>
        <v>9</v>
      </c>
      <c r="N205" s="5">
        <f>IFERROR(__xludf.DUMMYFUNCTION("""COMPUTED_VALUE"""),15.0)</f>
        <v>15</v>
      </c>
      <c r="O205" s="5">
        <f>IFERROR(__xludf.DUMMYFUNCTION("""COMPUTED_VALUE"""),2000.0)</f>
        <v>2000</v>
      </c>
    </row>
    <row r="206">
      <c r="A206" s="1" t="s">
        <v>204</v>
      </c>
      <c r="B206" s="4">
        <v>35.0</v>
      </c>
      <c r="C206" s="1" t="s">
        <v>50</v>
      </c>
      <c r="D206" s="4">
        <v>10.0</v>
      </c>
      <c r="E206" s="4">
        <v>10.0</v>
      </c>
      <c r="F206" s="4">
        <v>5.0</v>
      </c>
      <c r="G206" s="4">
        <v>5.0</v>
      </c>
      <c r="H206" s="4">
        <v>0.0</v>
      </c>
      <c r="I206" s="4">
        <v>37.0</v>
      </c>
      <c r="J206" s="4">
        <v>26.0</v>
      </c>
      <c r="K206" s="4">
        <v>11.0</v>
      </c>
      <c r="L206" s="2" t="s">
        <v>102</v>
      </c>
      <c r="M206" s="5">
        <f>IFERROR(__xludf.DUMMYFUNCTION("""COMPUTED_VALUE"""),13.0)</f>
        <v>13</v>
      </c>
      <c r="N206" s="5">
        <f>IFERROR(__xludf.DUMMYFUNCTION("""COMPUTED_VALUE"""),11.0)</f>
        <v>11</v>
      </c>
      <c r="O206" s="5">
        <f>IFERROR(__xludf.DUMMYFUNCTION("""COMPUTED_VALUE"""),0.0)</f>
        <v>0</v>
      </c>
    </row>
    <row r="207">
      <c r="A207" s="1" t="s">
        <v>204</v>
      </c>
      <c r="B207" s="4">
        <v>36.0</v>
      </c>
      <c r="C207" s="1" t="s">
        <v>60</v>
      </c>
      <c r="D207" s="4">
        <v>10.0</v>
      </c>
      <c r="E207" s="4">
        <v>10.0</v>
      </c>
      <c r="F207" s="4">
        <v>5.0</v>
      </c>
      <c r="G207" s="4">
        <v>5.0</v>
      </c>
      <c r="H207" s="4">
        <v>0.0</v>
      </c>
      <c r="I207" s="4">
        <v>32.0</v>
      </c>
      <c r="J207" s="4">
        <v>26.0</v>
      </c>
      <c r="K207" s="4">
        <v>6.0</v>
      </c>
      <c r="L207" s="2" t="s">
        <v>23</v>
      </c>
      <c r="M207" s="5">
        <f>IFERROR(__xludf.DUMMYFUNCTION("""COMPUTED_VALUE"""),14.0)</f>
        <v>14</v>
      </c>
      <c r="N207" s="5">
        <f>IFERROR(__xludf.DUMMYFUNCTION("""COMPUTED_VALUE"""),10.0)</f>
        <v>10</v>
      </c>
      <c r="O207" s="5">
        <f>IFERROR(__xludf.DUMMYFUNCTION("""COMPUTED_VALUE"""),0.0)</f>
        <v>0</v>
      </c>
    </row>
    <row r="208">
      <c r="A208" s="1" t="s">
        <v>204</v>
      </c>
      <c r="B208" s="4">
        <v>37.0</v>
      </c>
      <c r="C208" s="1" t="s">
        <v>103</v>
      </c>
      <c r="D208" s="4">
        <v>10.0</v>
      </c>
      <c r="E208" s="4">
        <v>8.0</v>
      </c>
      <c r="F208" s="4">
        <v>5.0</v>
      </c>
      <c r="G208" s="4">
        <v>3.0</v>
      </c>
      <c r="H208" s="4">
        <v>0.0</v>
      </c>
      <c r="I208" s="4">
        <v>26.0</v>
      </c>
      <c r="J208" s="4">
        <v>23.0</v>
      </c>
      <c r="K208" s="4">
        <v>3.0</v>
      </c>
      <c r="L208" s="2" t="s">
        <v>55</v>
      </c>
      <c r="M208" s="5">
        <f>IFERROR(__xludf.DUMMYFUNCTION("""COMPUTED_VALUE"""),17.0)</f>
        <v>17</v>
      </c>
      <c r="N208" s="5">
        <f>IFERROR(__xludf.DUMMYFUNCTION("""COMPUTED_VALUE"""),6.0)</f>
        <v>6</v>
      </c>
      <c r="O208" s="5">
        <f>IFERROR(__xludf.DUMMYFUNCTION("""COMPUTED_VALUE"""),0.0)</f>
        <v>0</v>
      </c>
    </row>
    <row r="209">
      <c r="A209" s="1" t="s">
        <v>204</v>
      </c>
      <c r="B209" s="4">
        <v>38.0</v>
      </c>
      <c r="C209" s="1" t="s">
        <v>108</v>
      </c>
      <c r="D209" s="4">
        <v>8.0</v>
      </c>
      <c r="E209" s="4">
        <v>4.0</v>
      </c>
      <c r="F209" s="4">
        <v>4.0</v>
      </c>
      <c r="G209" s="4">
        <v>0.0</v>
      </c>
      <c r="H209" s="4">
        <v>0.0</v>
      </c>
      <c r="I209" s="4">
        <v>28.0</v>
      </c>
      <c r="J209" s="4">
        <v>4.0</v>
      </c>
      <c r="K209" s="4">
        <v>24.0</v>
      </c>
      <c r="L209" s="2" t="s">
        <v>216</v>
      </c>
      <c r="M209" s="5">
        <f>IFERROR(__xludf.DUMMYFUNCTION("""COMPUTED_VALUE"""),14.0)</f>
        <v>14</v>
      </c>
      <c r="N209" s="5">
        <f>IFERROR(__xludf.DUMMYFUNCTION("""COMPUTED_VALUE"""),7.0)</f>
        <v>7</v>
      </c>
      <c r="O209" s="5">
        <f>IFERROR(__xludf.DUMMYFUNCTION("""COMPUTED_VALUE"""),0.0)</f>
        <v>0</v>
      </c>
    </row>
    <row r="210">
      <c r="A210" s="1" t="s">
        <v>204</v>
      </c>
      <c r="B210" s="4">
        <v>39.0</v>
      </c>
      <c r="C210" s="1" t="s">
        <v>114</v>
      </c>
      <c r="D210" s="4">
        <v>8.0</v>
      </c>
      <c r="E210" s="4">
        <v>4.0</v>
      </c>
      <c r="F210" s="4">
        <v>4.0</v>
      </c>
      <c r="G210" s="4">
        <v>0.0</v>
      </c>
      <c r="H210" s="4">
        <v>0.0</v>
      </c>
      <c r="I210" s="4">
        <v>32.0</v>
      </c>
      <c r="J210" s="4">
        <v>9.0</v>
      </c>
      <c r="K210" s="4">
        <v>23.0</v>
      </c>
      <c r="L210" s="2" t="s">
        <v>47</v>
      </c>
      <c r="M210" s="5">
        <f>IFERROR(__xludf.DUMMYFUNCTION("""COMPUTED_VALUE"""),14.0)</f>
        <v>14</v>
      </c>
      <c r="N210" s="5">
        <f>IFERROR(__xludf.DUMMYFUNCTION("""COMPUTED_VALUE"""),9.0)</f>
        <v>9</v>
      </c>
      <c r="O210" s="5">
        <f>IFERROR(__xludf.DUMMYFUNCTION("""COMPUTED_VALUE"""),1.0)</f>
        <v>1</v>
      </c>
    </row>
    <row r="211">
      <c r="A211" s="1" t="s">
        <v>204</v>
      </c>
      <c r="B211" s="4">
        <v>40.0</v>
      </c>
      <c r="C211" s="1" t="s">
        <v>90</v>
      </c>
      <c r="D211" s="4">
        <v>8.0</v>
      </c>
      <c r="E211" s="4">
        <v>6.0</v>
      </c>
      <c r="F211" s="4">
        <v>4.0</v>
      </c>
      <c r="G211" s="4">
        <v>2.0</v>
      </c>
      <c r="H211" s="4">
        <v>0.0</v>
      </c>
      <c r="I211" s="4">
        <v>26.0</v>
      </c>
      <c r="J211" s="4">
        <v>10.0</v>
      </c>
      <c r="K211" s="4">
        <v>16.0</v>
      </c>
      <c r="L211" s="2" t="s">
        <v>217</v>
      </c>
      <c r="M211" s="5">
        <f>IFERROR(__xludf.DUMMYFUNCTION("""COMPUTED_VALUE"""),18.0)</f>
        <v>18</v>
      </c>
      <c r="N211" s="5">
        <f>IFERROR(__xludf.DUMMYFUNCTION("""COMPUTED_VALUE"""),4.0)</f>
        <v>4</v>
      </c>
      <c r="O211" s="5">
        <f>IFERROR(__xludf.DUMMYFUNCTION("""COMPUTED_VALUE"""),0.0)</f>
        <v>0</v>
      </c>
    </row>
    <row r="212">
      <c r="A212" s="1" t="s">
        <v>204</v>
      </c>
      <c r="B212" s="4">
        <v>41.0</v>
      </c>
      <c r="C212" s="1" t="s">
        <v>121</v>
      </c>
      <c r="D212" s="4">
        <v>8.0</v>
      </c>
      <c r="E212" s="4">
        <v>9.0</v>
      </c>
      <c r="F212" s="4">
        <v>4.0</v>
      </c>
      <c r="G212" s="4">
        <v>5.0</v>
      </c>
      <c r="H212" s="4">
        <v>0.0</v>
      </c>
      <c r="I212" s="4">
        <v>32.0</v>
      </c>
      <c r="J212" s="4">
        <v>29.0</v>
      </c>
      <c r="K212" s="4">
        <v>3.0</v>
      </c>
      <c r="L212" s="2" t="s">
        <v>218</v>
      </c>
      <c r="M212" s="5">
        <f>IFERROR(__xludf.DUMMYFUNCTION("""COMPUTED_VALUE"""),12.0)</f>
        <v>12</v>
      </c>
      <c r="N212" s="5">
        <f>IFERROR(__xludf.DUMMYFUNCTION("""COMPUTED_VALUE"""),11.0)</f>
        <v>11</v>
      </c>
      <c r="O212" s="5">
        <f>IFERROR(__xludf.DUMMYFUNCTION("""COMPUTED_VALUE"""),2000.0)</f>
        <v>2000</v>
      </c>
    </row>
    <row r="213">
      <c r="A213" s="1" t="s">
        <v>204</v>
      </c>
      <c r="B213" s="4">
        <v>42.0</v>
      </c>
      <c r="C213" s="1" t="s">
        <v>69</v>
      </c>
      <c r="D213" s="4">
        <v>8.0</v>
      </c>
      <c r="E213" s="4">
        <v>7.0</v>
      </c>
      <c r="F213" s="4">
        <v>4.0</v>
      </c>
      <c r="G213" s="4">
        <v>3.0</v>
      </c>
      <c r="H213" s="4">
        <v>0.0</v>
      </c>
      <c r="I213" s="4">
        <v>18.0</v>
      </c>
      <c r="J213" s="4">
        <v>21.0</v>
      </c>
      <c r="K213" s="4">
        <v>-3.0</v>
      </c>
      <c r="L213" s="2" t="s">
        <v>219</v>
      </c>
      <c r="M213" s="5">
        <f>IFERROR(__xludf.DUMMYFUNCTION("""COMPUTED_VALUE"""),11.0)</f>
        <v>11</v>
      </c>
      <c r="N213" s="5">
        <f>IFERROR(__xludf.DUMMYFUNCTION("""COMPUTED_VALUE"""),12.0)</f>
        <v>12</v>
      </c>
      <c r="O213" s="5">
        <f>IFERROR(__xludf.DUMMYFUNCTION("""COMPUTED_VALUE"""),2000.0)</f>
        <v>2000</v>
      </c>
    </row>
    <row r="214">
      <c r="A214" s="1" t="s">
        <v>204</v>
      </c>
      <c r="B214" s="4">
        <v>43.0</v>
      </c>
      <c r="C214" s="1" t="s">
        <v>71</v>
      </c>
      <c r="D214" s="4">
        <v>8.0</v>
      </c>
      <c r="E214" s="4">
        <v>10.0</v>
      </c>
      <c r="F214" s="4">
        <v>4.0</v>
      </c>
      <c r="G214" s="4">
        <v>6.0</v>
      </c>
      <c r="H214" s="4">
        <v>0.0</v>
      </c>
      <c r="I214" s="4">
        <v>21.0</v>
      </c>
      <c r="J214" s="4">
        <v>42.0</v>
      </c>
      <c r="K214" s="4">
        <v>-21.0</v>
      </c>
      <c r="L214" s="2" t="s">
        <v>95</v>
      </c>
      <c r="M214" s="5">
        <f>IFERROR(__xludf.DUMMYFUNCTION("""COMPUTED_VALUE"""),9.0)</f>
        <v>9</v>
      </c>
      <c r="N214" s="5">
        <f>IFERROR(__xludf.DUMMYFUNCTION("""COMPUTED_VALUE"""),14.0)</f>
        <v>14</v>
      </c>
      <c r="O214" s="5">
        <f>IFERROR(__xludf.DUMMYFUNCTION("""COMPUTED_VALUE"""),2000.0)</f>
        <v>2000</v>
      </c>
    </row>
    <row r="215">
      <c r="A215" s="1" t="s">
        <v>204</v>
      </c>
      <c r="B215" s="4">
        <v>44.0</v>
      </c>
      <c r="C215" s="1" t="s">
        <v>159</v>
      </c>
      <c r="D215" s="4">
        <v>8.0</v>
      </c>
      <c r="E215" s="4">
        <v>10.0</v>
      </c>
      <c r="F215" s="4">
        <v>4.0</v>
      </c>
      <c r="G215" s="4">
        <v>6.0</v>
      </c>
      <c r="H215" s="4">
        <v>0.0</v>
      </c>
      <c r="I215" s="4">
        <v>30.0</v>
      </c>
      <c r="J215" s="4">
        <v>57.0</v>
      </c>
      <c r="K215" s="4">
        <v>-27.0</v>
      </c>
      <c r="L215" s="2" t="s">
        <v>153</v>
      </c>
      <c r="M215" s="5">
        <f>IFERROR(__xludf.DUMMYFUNCTION("""COMPUTED_VALUE"""),5.0)</f>
        <v>5</v>
      </c>
      <c r="N215" s="5">
        <f>IFERROR(__xludf.DUMMYFUNCTION("""COMPUTED_VALUE"""),18.0)</f>
        <v>18</v>
      </c>
      <c r="O215" s="5">
        <f>IFERROR(__xludf.DUMMYFUNCTION("""COMPUTED_VALUE"""),2000.0)</f>
        <v>2000</v>
      </c>
    </row>
    <row r="216">
      <c r="A216" s="1" t="s">
        <v>204</v>
      </c>
      <c r="B216" s="4">
        <v>45.0</v>
      </c>
      <c r="C216" s="1" t="s">
        <v>58</v>
      </c>
      <c r="D216" s="4">
        <v>7.0</v>
      </c>
      <c r="E216" s="4">
        <v>12.0</v>
      </c>
      <c r="F216" s="4">
        <v>3.0</v>
      </c>
      <c r="G216" s="4">
        <v>8.0</v>
      </c>
      <c r="H216" s="4">
        <v>1.0</v>
      </c>
      <c r="I216" s="4">
        <v>46.0</v>
      </c>
      <c r="J216" s="4">
        <v>52.0</v>
      </c>
      <c r="K216" s="4">
        <v>-6.0</v>
      </c>
      <c r="L216" s="2" t="s">
        <v>220</v>
      </c>
      <c r="M216" s="5">
        <f>IFERROR(__xludf.DUMMYFUNCTION("""COMPUTED_VALUE"""),10.0)</f>
        <v>10</v>
      </c>
      <c r="N216" s="5">
        <f>IFERROR(__xludf.DUMMYFUNCTION("""COMPUTED_VALUE"""),12.0)</f>
        <v>12</v>
      </c>
      <c r="O216" s="5">
        <f>IFERROR(__xludf.DUMMYFUNCTION("""COMPUTED_VALUE"""),2002.0)</f>
        <v>2002</v>
      </c>
    </row>
    <row r="217">
      <c r="A217" s="1" t="s">
        <v>204</v>
      </c>
      <c r="B217" s="4">
        <v>46.0</v>
      </c>
      <c r="C217" s="1" t="s">
        <v>130</v>
      </c>
      <c r="D217" s="4">
        <v>6.0</v>
      </c>
      <c r="E217" s="4">
        <v>4.0</v>
      </c>
      <c r="F217" s="4">
        <v>3.0</v>
      </c>
      <c r="G217" s="4">
        <v>1.0</v>
      </c>
      <c r="H217" s="4">
        <v>0.0</v>
      </c>
      <c r="I217" s="4">
        <v>16.0</v>
      </c>
      <c r="J217" s="4">
        <v>11.0</v>
      </c>
      <c r="K217" s="4">
        <v>5.0</v>
      </c>
      <c r="L217" s="2" t="s">
        <v>221</v>
      </c>
      <c r="M217" s="5">
        <f>IFERROR(__xludf.DUMMYFUNCTION("""COMPUTED_VALUE"""),14.0)</f>
        <v>14</v>
      </c>
      <c r="N217" s="5">
        <f>IFERROR(__xludf.DUMMYFUNCTION("""COMPUTED_VALUE"""),8.0)</f>
        <v>8</v>
      </c>
      <c r="O217" s="5">
        <f>IFERROR(__xludf.DUMMYFUNCTION("""COMPUTED_VALUE"""),0.0)</f>
        <v>0</v>
      </c>
    </row>
    <row r="218">
      <c r="A218" s="1" t="s">
        <v>204</v>
      </c>
      <c r="B218" s="4">
        <v>47.0</v>
      </c>
      <c r="C218" s="1" t="s">
        <v>98</v>
      </c>
      <c r="D218" s="4">
        <v>6.0</v>
      </c>
      <c r="E218" s="4">
        <v>7.0</v>
      </c>
      <c r="F218" s="4">
        <v>3.0</v>
      </c>
      <c r="G218" s="4">
        <v>4.0</v>
      </c>
      <c r="H218" s="4">
        <v>0.0</v>
      </c>
      <c r="I218" s="4">
        <v>23.0</v>
      </c>
      <c r="J218" s="4">
        <v>22.0</v>
      </c>
      <c r="K218" s="4">
        <v>1.0</v>
      </c>
      <c r="L218" s="2" t="s">
        <v>170</v>
      </c>
      <c r="M218" s="5">
        <f>IFERROR(__xludf.DUMMYFUNCTION("""COMPUTED_VALUE"""),11.0)</f>
        <v>11</v>
      </c>
      <c r="N218" s="5">
        <f>IFERROR(__xludf.DUMMYFUNCTION("""COMPUTED_VALUE"""),13.0)</f>
        <v>13</v>
      </c>
      <c r="O218" s="5">
        <f>IFERROR(__xludf.DUMMYFUNCTION("""COMPUTED_VALUE"""),2000.0)</f>
        <v>2000</v>
      </c>
    </row>
    <row r="219">
      <c r="A219" s="1" t="s">
        <v>204</v>
      </c>
      <c r="B219" s="4">
        <v>48.0</v>
      </c>
      <c r="C219" s="1" t="s">
        <v>113</v>
      </c>
      <c r="D219" s="4">
        <v>6.0</v>
      </c>
      <c r="E219" s="4">
        <v>7.0</v>
      </c>
      <c r="F219" s="4">
        <v>3.0</v>
      </c>
      <c r="G219" s="4">
        <v>4.0</v>
      </c>
      <c r="H219" s="4">
        <v>0.0</v>
      </c>
      <c r="I219" s="4">
        <v>15.0</v>
      </c>
      <c r="J219" s="4">
        <v>20.0</v>
      </c>
      <c r="K219" s="4">
        <v>-5.0</v>
      </c>
      <c r="L219" s="2" t="s">
        <v>183</v>
      </c>
      <c r="M219" s="5">
        <f>IFERROR(__xludf.DUMMYFUNCTION("""COMPUTED_VALUE"""),14.0)</f>
        <v>14</v>
      </c>
      <c r="N219" s="5">
        <f>IFERROR(__xludf.DUMMYFUNCTION("""COMPUTED_VALUE"""),8.0)</f>
        <v>8</v>
      </c>
      <c r="O219" s="5">
        <f>IFERROR(__xludf.DUMMYFUNCTION("""COMPUTED_VALUE"""),1.0)</f>
        <v>1</v>
      </c>
    </row>
    <row r="220">
      <c r="A220" s="1" t="s">
        <v>204</v>
      </c>
      <c r="B220" s="4">
        <v>49.0</v>
      </c>
      <c r="C220" s="1" t="s">
        <v>83</v>
      </c>
      <c r="D220" s="4">
        <v>6.0</v>
      </c>
      <c r="E220" s="4">
        <v>10.0</v>
      </c>
      <c r="F220" s="4">
        <v>3.0</v>
      </c>
      <c r="G220" s="4">
        <v>7.0</v>
      </c>
      <c r="H220" s="4">
        <v>0.0</v>
      </c>
      <c r="I220" s="4">
        <v>35.0</v>
      </c>
      <c r="J220" s="4">
        <v>44.0</v>
      </c>
      <c r="K220" s="4">
        <v>-9.0</v>
      </c>
      <c r="L220" s="2" t="s">
        <v>97</v>
      </c>
      <c r="M220" s="5">
        <f>IFERROR(__xludf.DUMMYFUNCTION("""COMPUTED_VALUE"""),10.0)</f>
        <v>10</v>
      </c>
      <c r="N220" s="5">
        <f>IFERROR(__xludf.DUMMYFUNCTION("""COMPUTED_VALUE"""),13.0)</f>
        <v>13</v>
      </c>
      <c r="O220" s="5">
        <f>IFERROR(__xludf.DUMMYFUNCTION("""COMPUTED_VALUE"""),2000.0)</f>
        <v>2000</v>
      </c>
    </row>
    <row r="221">
      <c r="A221" s="1" t="s">
        <v>204</v>
      </c>
      <c r="B221" s="4">
        <v>50.0</v>
      </c>
      <c r="C221" s="1" t="s">
        <v>132</v>
      </c>
      <c r="D221" s="4">
        <v>6.0</v>
      </c>
      <c r="E221" s="4">
        <v>6.0</v>
      </c>
      <c r="F221" s="4">
        <v>3.0</v>
      </c>
      <c r="G221" s="4">
        <v>3.0</v>
      </c>
      <c r="H221" s="4">
        <v>0.0</v>
      </c>
      <c r="I221" s="4">
        <v>16.0</v>
      </c>
      <c r="J221" s="4">
        <v>26.0</v>
      </c>
      <c r="K221" s="4">
        <v>-10.0</v>
      </c>
      <c r="L221" s="2" t="s">
        <v>222</v>
      </c>
      <c r="M221" s="5">
        <f>IFERROR(__xludf.DUMMYFUNCTION("""COMPUTED_VALUE"""),4.0)</f>
        <v>4</v>
      </c>
      <c r="N221" s="5">
        <f>IFERROR(__xludf.DUMMYFUNCTION("""COMPUTED_VALUE"""),11.0)</f>
        <v>11</v>
      </c>
      <c r="O221" s="5">
        <f>IFERROR(__xludf.DUMMYFUNCTION("""COMPUTED_VALUE"""),2000.0)</f>
        <v>2000</v>
      </c>
    </row>
    <row r="222">
      <c r="A222" s="1" t="s">
        <v>204</v>
      </c>
      <c r="B222" s="4">
        <v>51.0</v>
      </c>
      <c r="C222" s="1" t="s">
        <v>77</v>
      </c>
      <c r="D222" s="4">
        <v>6.0</v>
      </c>
      <c r="E222" s="4">
        <v>8.0</v>
      </c>
      <c r="F222" s="4">
        <v>3.0</v>
      </c>
      <c r="G222" s="4">
        <v>5.0</v>
      </c>
      <c r="H222" s="4">
        <v>0.0</v>
      </c>
      <c r="I222" s="4">
        <v>30.0</v>
      </c>
      <c r="J222" s="4">
        <v>43.0</v>
      </c>
      <c r="K222" s="4">
        <v>-13.0</v>
      </c>
      <c r="L222" s="2" t="s">
        <v>107</v>
      </c>
      <c r="M222" s="5">
        <f>IFERROR(__xludf.DUMMYFUNCTION("""COMPUTED_VALUE"""),5.0)</f>
        <v>5</v>
      </c>
      <c r="N222" s="5">
        <f>IFERROR(__xludf.DUMMYFUNCTION("""COMPUTED_VALUE"""),19.0)</f>
        <v>19</v>
      </c>
      <c r="O222" s="5">
        <f>IFERROR(__xludf.DUMMYFUNCTION("""COMPUTED_VALUE"""),2000.0)</f>
        <v>2000</v>
      </c>
    </row>
    <row r="223">
      <c r="A223" s="1" t="s">
        <v>204</v>
      </c>
      <c r="B223" s="4">
        <v>52.0</v>
      </c>
      <c r="C223" s="1" t="s">
        <v>79</v>
      </c>
      <c r="D223" s="4">
        <v>6.0</v>
      </c>
      <c r="E223" s="4">
        <v>10.0</v>
      </c>
      <c r="F223" s="4">
        <v>3.0</v>
      </c>
      <c r="G223" s="4">
        <v>7.0</v>
      </c>
      <c r="H223" s="4">
        <v>0.0</v>
      </c>
      <c r="I223" s="4">
        <v>42.0</v>
      </c>
      <c r="J223" s="4">
        <v>57.0</v>
      </c>
      <c r="K223" s="4">
        <v>-15.0</v>
      </c>
      <c r="L223" s="2" t="s">
        <v>223</v>
      </c>
      <c r="M223" s="5">
        <f>IFERROR(__xludf.DUMMYFUNCTION("""COMPUTED_VALUE"""),7.0)</f>
        <v>7</v>
      </c>
      <c r="N223" s="5">
        <f>IFERROR(__xludf.DUMMYFUNCTION("""COMPUTED_VALUE"""),15.0)</f>
        <v>15</v>
      </c>
      <c r="O223" s="5">
        <f>IFERROR(__xludf.DUMMYFUNCTION("""COMPUTED_VALUE"""),2001.0)</f>
        <v>2001</v>
      </c>
    </row>
    <row r="224">
      <c r="A224" s="1" t="s">
        <v>204</v>
      </c>
      <c r="B224" s="4">
        <v>53.0</v>
      </c>
      <c r="C224" s="1" t="s">
        <v>64</v>
      </c>
      <c r="D224" s="4">
        <v>6.0</v>
      </c>
      <c r="E224" s="4">
        <v>11.0</v>
      </c>
      <c r="F224" s="4">
        <v>3.0</v>
      </c>
      <c r="G224" s="4">
        <v>8.0</v>
      </c>
      <c r="H224" s="4">
        <v>0.0</v>
      </c>
      <c r="I224" s="4">
        <v>33.0</v>
      </c>
      <c r="J224" s="4">
        <v>50.0</v>
      </c>
      <c r="K224" s="4">
        <v>-17.0</v>
      </c>
      <c r="L224" s="2" t="s">
        <v>186</v>
      </c>
      <c r="M224" s="5">
        <f>IFERROR(__xludf.DUMMYFUNCTION("""COMPUTED_VALUE"""),10.0)</f>
        <v>10</v>
      </c>
      <c r="N224" s="5">
        <f>IFERROR(__xludf.DUMMYFUNCTION("""COMPUTED_VALUE"""),14.0)</f>
        <v>14</v>
      </c>
      <c r="O224" s="5">
        <f>IFERROR(__xludf.DUMMYFUNCTION("""COMPUTED_VALUE"""),2000.0)</f>
        <v>2000</v>
      </c>
    </row>
    <row r="225">
      <c r="A225" s="1" t="s">
        <v>204</v>
      </c>
      <c r="B225" s="4">
        <v>54.0</v>
      </c>
      <c r="C225" s="1" t="s">
        <v>158</v>
      </c>
      <c r="D225" s="4">
        <v>6.0</v>
      </c>
      <c r="E225" s="4">
        <v>10.0</v>
      </c>
      <c r="F225" s="4">
        <v>3.0</v>
      </c>
      <c r="G225" s="4">
        <v>7.0</v>
      </c>
      <c r="H225" s="4">
        <v>0.0</v>
      </c>
      <c r="I225" s="4">
        <v>32.0</v>
      </c>
      <c r="J225" s="4">
        <v>55.0</v>
      </c>
      <c r="K225" s="4">
        <v>-23.0</v>
      </c>
      <c r="L225" s="2" t="s">
        <v>102</v>
      </c>
      <c r="M225" s="5">
        <f>IFERROR(__xludf.DUMMYFUNCTION("""COMPUTED_VALUE"""),13.0)</f>
        <v>13</v>
      </c>
      <c r="N225" s="5">
        <f>IFERROR(__xludf.DUMMYFUNCTION("""COMPUTED_VALUE"""),11.0)</f>
        <v>11</v>
      </c>
      <c r="O225" s="5">
        <f>IFERROR(__xludf.DUMMYFUNCTION("""COMPUTED_VALUE"""),0.0)</f>
        <v>0</v>
      </c>
    </row>
    <row r="226">
      <c r="A226" s="1" t="s">
        <v>204</v>
      </c>
      <c r="B226" s="4">
        <v>55.0</v>
      </c>
      <c r="C226" s="1" t="s">
        <v>48</v>
      </c>
      <c r="D226" s="4">
        <v>6.0</v>
      </c>
      <c r="E226" s="4">
        <v>10.0</v>
      </c>
      <c r="F226" s="4">
        <v>3.0</v>
      </c>
      <c r="G226" s="4">
        <v>7.0</v>
      </c>
      <c r="H226" s="4">
        <v>0.0</v>
      </c>
      <c r="I226" s="4">
        <v>19.0</v>
      </c>
      <c r="J226" s="4">
        <v>44.0</v>
      </c>
      <c r="K226" s="4">
        <v>-25.0</v>
      </c>
      <c r="L226" s="2" t="s">
        <v>97</v>
      </c>
      <c r="M226" s="5">
        <f>IFERROR(__xludf.DUMMYFUNCTION("""COMPUTED_VALUE"""),10.0)</f>
        <v>10</v>
      </c>
      <c r="N226" s="5">
        <f>IFERROR(__xludf.DUMMYFUNCTION("""COMPUTED_VALUE"""),13.0)</f>
        <v>13</v>
      </c>
      <c r="O226" s="5">
        <f>IFERROR(__xludf.DUMMYFUNCTION("""COMPUTED_VALUE"""),2000.0)</f>
        <v>2000</v>
      </c>
    </row>
    <row r="227">
      <c r="A227" s="1" t="s">
        <v>204</v>
      </c>
      <c r="B227" s="4">
        <v>56.0</v>
      </c>
      <c r="C227" s="1" t="s">
        <v>52</v>
      </c>
      <c r="D227" s="4">
        <v>6.0</v>
      </c>
      <c r="E227" s="4">
        <v>14.0</v>
      </c>
      <c r="F227" s="4">
        <v>3.0</v>
      </c>
      <c r="G227" s="4">
        <v>11.0</v>
      </c>
      <c r="H227" s="4">
        <v>0.0</v>
      </c>
      <c r="I227" s="4">
        <v>18.0</v>
      </c>
      <c r="J227" s="4">
        <v>58.0</v>
      </c>
      <c r="K227" s="4">
        <v>-40.0</v>
      </c>
      <c r="L227" s="2" t="s">
        <v>189</v>
      </c>
      <c r="M227" s="5">
        <f>IFERROR(__xludf.DUMMYFUNCTION("""COMPUTED_VALUE"""),7.0)</f>
        <v>7</v>
      </c>
      <c r="N227" s="5">
        <f>IFERROR(__xludf.DUMMYFUNCTION("""COMPUTED_VALUE"""),17.0)</f>
        <v>17</v>
      </c>
      <c r="O227" s="5">
        <f>IFERROR(__xludf.DUMMYFUNCTION("""COMPUTED_VALUE"""),2000.0)</f>
        <v>2000</v>
      </c>
    </row>
    <row r="228">
      <c r="A228" s="1" t="s">
        <v>204</v>
      </c>
      <c r="B228" s="4">
        <v>57.0</v>
      </c>
      <c r="C228" s="1" t="s">
        <v>161</v>
      </c>
      <c r="D228" s="4">
        <v>6.0</v>
      </c>
      <c r="E228" s="4">
        <v>12.0</v>
      </c>
      <c r="F228" s="4">
        <v>3.0</v>
      </c>
      <c r="G228" s="4">
        <v>9.0</v>
      </c>
      <c r="H228" s="4">
        <v>0.0</v>
      </c>
      <c r="I228" s="4">
        <v>25.0</v>
      </c>
      <c r="J228" s="4">
        <v>71.0</v>
      </c>
      <c r="K228" s="4">
        <v>-46.0</v>
      </c>
      <c r="L228" s="2" t="s">
        <v>115</v>
      </c>
      <c r="M228" s="5">
        <f>IFERROR(__xludf.DUMMYFUNCTION("""COMPUTED_VALUE"""),4.0)</f>
        <v>4</v>
      </c>
      <c r="N228" s="5">
        <f>IFERROR(__xludf.DUMMYFUNCTION("""COMPUTED_VALUE"""),17.0)</f>
        <v>17</v>
      </c>
      <c r="O228" s="5">
        <f>IFERROR(__xludf.DUMMYFUNCTION("""COMPUTED_VALUE"""),2000.0)</f>
        <v>2000</v>
      </c>
    </row>
    <row r="229">
      <c r="A229" s="1" t="s">
        <v>204</v>
      </c>
      <c r="B229" s="4">
        <v>58.0</v>
      </c>
      <c r="C229" s="1" t="s">
        <v>86</v>
      </c>
      <c r="D229" s="4">
        <v>5.0</v>
      </c>
      <c r="E229" s="4">
        <v>12.0</v>
      </c>
      <c r="F229" s="4">
        <v>2.0</v>
      </c>
      <c r="G229" s="4">
        <v>9.0</v>
      </c>
      <c r="H229" s="4">
        <v>1.0</v>
      </c>
      <c r="I229" s="4">
        <v>37.0</v>
      </c>
      <c r="J229" s="4">
        <v>57.0</v>
      </c>
      <c r="K229" s="4">
        <v>-20.0</v>
      </c>
      <c r="L229" s="2" t="s">
        <v>224</v>
      </c>
      <c r="M229" s="5">
        <f>IFERROR(__xludf.DUMMYFUNCTION("""COMPUTED_VALUE"""),7.0)</f>
        <v>7</v>
      </c>
      <c r="N229" s="5">
        <f>IFERROR(__xludf.DUMMYFUNCTION("""COMPUTED_VALUE"""),13.0)</f>
        <v>13</v>
      </c>
      <c r="O229" s="5">
        <f>IFERROR(__xludf.DUMMYFUNCTION("""COMPUTED_VALUE"""),2003.0)</f>
        <v>2003</v>
      </c>
    </row>
    <row r="230">
      <c r="A230" s="1" t="s">
        <v>204</v>
      </c>
      <c r="B230" s="4">
        <v>59.0</v>
      </c>
      <c r="C230" s="1" t="s">
        <v>125</v>
      </c>
      <c r="D230" s="4">
        <v>4.0</v>
      </c>
      <c r="E230" s="4">
        <v>4.0</v>
      </c>
      <c r="F230" s="4">
        <v>2.0</v>
      </c>
      <c r="G230" s="4">
        <v>2.0</v>
      </c>
      <c r="H230" s="4">
        <v>0.0</v>
      </c>
      <c r="I230" s="4">
        <v>18.0</v>
      </c>
      <c r="J230" s="4">
        <v>15.0</v>
      </c>
      <c r="K230" s="4">
        <v>3.0</v>
      </c>
      <c r="L230" s="2" t="s">
        <v>21</v>
      </c>
      <c r="M230" s="5">
        <f>IFERROR(__xludf.DUMMYFUNCTION("""COMPUTED_VALUE"""),15.0)</f>
        <v>15</v>
      </c>
      <c r="N230" s="5">
        <f>IFERROR(__xludf.DUMMYFUNCTION("""COMPUTED_VALUE"""),8.0)</f>
        <v>8</v>
      </c>
      <c r="O230" s="5">
        <f>IFERROR(__xludf.DUMMYFUNCTION("""COMPUTED_VALUE"""),0.0)</f>
        <v>0</v>
      </c>
    </row>
    <row r="231">
      <c r="A231" s="1" t="s">
        <v>204</v>
      </c>
      <c r="B231" s="4">
        <v>60.0</v>
      </c>
      <c r="C231" s="1" t="s">
        <v>112</v>
      </c>
      <c r="D231" s="4">
        <v>4.0</v>
      </c>
      <c r="E231" s="4">
        <v>4.0</v>
      </c>
      <c r="F231" s="4">
        <v>2.0</v>
      </c>
      <c r="G231" s="4">
        <v>2.0</v>
      </c>
      <c r="H231" s="4">
        <v>0.0</v>
      </c>
      <c r="I231" s="4">
        <v>18.0</v>
      </c>
      <c r="J231" s="4">
        <v>18.0</v>
      </c>
      <c r="K231" s="4">
        <v>0.0</v>
      </c>
      <c r="L231" s="2" t="s">
        <v>225</v>
      </c>
      <c r="M231" s="5">
        <f>IFERROR(__xludf.DUMMYFUNCTION("""COMPUTED_VALUE"""),3.0)</f>
        <v>3</v>
      </c>
      <c r="N231" s="5">
        <f>IFERROR(__xludf.DUMMYFUNCTION("""COMPUTED_VALUE"""),12.0)</f>
        <v>12</v>
      </c>
      <c r="O231" s="5">
        <f>IFERROR(__xludf.DUMMYFUNCTION("""COMPUTED_VALUE"""),2000.0)</f>
        <v>2000</v>
      </c>
    </row>
    <row r="232">
      <c r="A232" s="1" t="s">
        <v>204</v>
      </c>
      <c r="B232" s="4">
        <v>61.0</v>
      </c>
      <c r="C232" s="1" t="s">
        <v>101</v>
      </c>
      <c r="D232" s="4">
        <v>4.0</v>
      </c>
      <c r="E232" s="4">
        <v>6.0</v>
      </c>
      <c r="F232" s="4">
        <v>2.0</v>
      </c>
      <c r="G232" s="4">
        <v>4.0</v>
      </c>
      <c r="H232" s="4">
        <v>0.0</v>
      </c>
      <c r="I232" s="4">
        <v>12.0</v>
      </c>
      <c r="J232" s="4">
        <v>15.0</v>
      </c>
      <c r="K232" s="4">
        <v>-3.0</v>
      </c>
      <c r="L232" s="2" t="s">
        <v>173</v>
      </c>
      <c r="M232" s="5">
        <f>IFERROR(__xludf.DUMMYFUNCTION("""COMPUTED_VALUE"""),8.0)</f>
        <v>8</v>
      </c>
      <c r="N232" s="5">
        <f>IFERROR(__xludf.DUMMYFUNCTION("""COMPUTED_VALUE"""),15.0)</f>
        <v>15</v>
      </c>
      <c r="O232" s="5">
        <f>IFERROR(__xludf.DUMMYFUNCTION("""COMPUTED_VALUE"""),2001.0)</f>
        <v>2001</v>
      </c>
    </row>
    <row r="233">
      <c r="A233" s="1" t="s">
        <v>204</v>
      </c>
      <c r="B233" s="4">
        <v>62.0</v>
      </c>
      <c r="C233" s="1" t="s">
        <v>36</v>
      </c>
      <c r="D233" s="4">
        <v>4.0</v>
      </c>
      <c r="E233" s="4">
        <v>7.0</v>
      </c>
      <c r="F233" s="4">
        <v>2.0</v>
      </c>
      <c r="G233" s="4">
        <v>5.0</v>
      </c>
      <c r="H233" s="4">
        <v>0.0</v>
      </c>
      <c r="I233" s="4">
        <v>23.0</v>
      </c>
      <c r="J233" s="4">
        <v>28.0</v>
      </c>
      <c r="K233" s="4">
        <v>-5.0</v>
      </c>
      <c r="L233" s="2" t="s">
        <v>51</v>
      </c>
      <c r="M233" s="5">
        <f>IFERROR(__xludf.DUMMYFUNCTION("""COMPUTED_VALUE"""),15.0)</f>
        <v>15</v>
      </c>
      <c r="N233" s="5">
        <f>IFERROR(__xludf.DUMMYFUNCTION("""COMPUTED_VALUE"""),9.0)</f>
        <v>9</v>
      </c>
      <c r="O233" s="5">
        <f>IFERROR(__xludf.DUMMYFUNCTION("""COMPUTED_VALUE"""),0.0)</f>
        <v>0</v>
      </c>
    </row>
    <row r="234">
      <c r="A234" s="1" t="s">
        <v>204</v>
      </c>
      <c r="B234" s="4">
        <v>63.0</v>
      </c>
      <c r="C234" s="1" t="s">
        <v>96</v>
      </c>
      <c r="D234" s="4">
        <v>4.0</v>
      </c>
      <c r="E234" s="4">
        <v>7.0</v>
      </c>
      <c r="F234" s="4">
        <v>2.0</v>
      </c>
      <c r="G234" s="4">
        <v>5.0</v>
      </c>
      <c r="H234" s="4">
        <v>0.0</v>
      </c>
      <c r="I234" s="4">
        <v>12.0</v>
      </c>
      <c r="J234" s="4">
        <v>21.0</v>
      </c>
      <c r="K234" s="4">
        <v>-9.0</v>
      </c>
      <c r="L234" s="2" t="s">
        <v>226</v>
      </c>
      <c r="M234" s="5">
        <f>IFERROR(__xludf.DUMMYFUNCTION("""COMPUTED_VALUE"""),8.0)</f>
        <v>8</v>
      </c>
      <c r="N234" s="5">
        <f>IFERROR(__xludf.DUMMYFUNCTION("""COMPUTED_VALUE"""),14.0)</f>
        <v>14</v>
      </c>
      <c r="O234" s="5">
        <f>IFERROR(__xludf.DUMMYFUNCTION("""COMPUTED_VALUE"""),2002.0)</f>
        <v>2002</v>
      </c>
    </row>
    <row r="235">
      <c r="A235" s="1" t="s">
        <v>204</v>
      </c>
      <c r="B235" s="4">
        <v>64.0</v>
      </c>
      <c r="C235" s="1" t="s">
        <v>144</v>
      </c>
      <c r="D235" s="4">
        <v>4.0</v>
      </c>
      <c r="E235" s="4">
        <v>4.0</v>
      </c>
      <c r="F235" s="4">
        <v>2.0</v>
      </c>
      <c r="G235" s="4">
        <v>2.0</v>
      </c>
      <c r="H235" s="4">
        <v>0.0</v>
      </c>
      <c r="I235" s="4">
        <v>10.0</v>
      </c>
      <c r="J235" s="4">
        <v>19.0</v>
      </c>
      <c r="K235" s="4">
        <v>-9.0</v>
      </c>
      <c r="L235" s="2" t="s">
        <v>227</v>
      </c>
      <c r="M235" s="5">
        <f>IFERROR(__xludf.DUMMYFUNCTION("""COMPUTED_VALUE"""),3.0)</f>
        <v>3</v>
      </c>
      <c r="N235" s="5">
        <f>IFERROR(__xludf.DUMMYFUNCTION("""COMPUTED_VALUE"""),18.0)</f>
        <v>18</v>
      </c>
      <c r="O235" s="5">
        <f>IFERROR(__xludf.DUMMYFUNCTION("""COMPUTED_VALUE"""),2000.0)</f>
        <v>2000</v>
      </c>
    </row>
    <row r="236">
      <c r="A236" s="1" t="s">
        <v>204</v>
      </c>
      <c r="B236" s="4">
        <v>65.0</v>
      </c>
      <c r="C236" s="1" t="s">
        <v>141</v>
      </c>
      <c r="D236" s="4">
        <v>4.0</v>
      </c>
      <c r="E236" s="4">
        <v>6.0</v>
      </c>
      <c r="F236" s="4">
        <v>2.0</v>
      </c>
      <c r="G236" s="4">
        <v>4.0</v>
      </c>
      <c r="H236" s="4">
        <v>0.0</v>
      </c>
      <c r="I236" s="4">
        <v>8.0</v>
      </c>
      <c r="J236" s="4">
        <v>19.0</v>
      </c>
      <c r="K236" s="4">
        <v>-11.0</v>
      </c>
      <c r="L236" s="2" t="s">
        <v>194</v>
      </c>
      <c r="M236" s="5">
        <f>IFERROR(__xludf.DUMMYFUNCTION("""COMPUTED_VALUE"""),5.0)</f>
        <v>5</v>
      </c>
      <c r="N236" s="5">
        <f>IFERROR(__xludf.DUMMYFUNCTION("""COMPUTED_VALUE"""),18.0)</f>
        <v>18</v>
      </c>
      <c r="O236" s="5">
        <f>IFERROR(__xludf.DUMMYFUNCTION("""COMPUTED_VALUE"""),2001.0)</f>
        <v>2001</v>
      </c>
    </row>
    <row r="237">
      <c r="A237" s="1" t="s">
        <v>204</v>
      </c>
      <c r="B237" s="4">
        <v>66.0</v>
      </c>
      <c r="C237" s="1" t="s">
        <v>116</v>
      </c>
      <c r="D237" s="4">
        <v>4.0</v>
      </c>
      <c r="E237" s="4">
        <v>9.0</v>
      </c>
      <c r="F237" s="4">
        <v>2.0</v>
      </c>
      <c r="G237" s="4">
        <v>7.0</v>
      </c>
      <c r="H237" s="4">
        <v>0.0</v>
      </c>
      <c r="I237" s="4">
        <v>22.0</v>
      </c>
      <c r="J237" s="4">
        <v>35.0</v>
      </c>
      <c r="K237" s="4">
        <v>-13.0</v>
      </c>
      <c r="L237" s="2" t="s">
        <v>102</v>
      </c>
      <c r="M237" s="5">
        <f>IFERROR(__xludf.DUMMYFUNCTION("""COMPUTED_VALUE"""),13.0)</f>
        <v>13</v>
      </c>
      <c r="N237" s="5">
        <f>IFERROR(__xludf.DUMMYFUNCTION("""COMPUTED_VALUE"""),11.0)</f>
        <v>11</v>
      </c>
      <c r="O237" s="5">
        <f>IFERROR(__xludf.DUMMYFUNCTION("""COMPUTED_VALUE"""),0.0)</f>
        <v>0</v>
      </c>
    </row>
    <row r="238">
      <c r="A238" s="1" t="s">
        <v>204</v>
      </c>
      <c r="B238" s="4">
        <v>67.0</v>
      </c>
      <c r="C238" s="1" t="s">
        <v>54</v>
      </c>
      <c r="D238" s="4">
        <v>4.0</v>
      </c>
      <c r="E238" s="4">
        <v>8.0</v>
      </c>
      <c r="F238" s="4">
        <v>2.0</v>
      </c>
      <c r="G238" s="4">
        <v>6.0</v>
      </c>
      <c r="H238" s="4">
        <v>0.0</v>
      </c>
      <c r="I238" s="4">
        <v>17.0</v>
      </c>
      <c r="J238" s="4">
        <v>31.0</v>
      </c>
      <c r="K238" s="4">
        <v>-14.0</v>
      </c>
      <c r="L238" s="2" t="s">
        <v>100</v>
      </c>
      <c r="M238" s="5">
        <f>IFERROR(__xludf.DUMMYFUNCTION("""COMPUTED_VALUE"""),7.0)</f>
        <v>7</v>
      </c>
      <c r="N238" s="5">
        <f>IFERROR(__xludf.DUMMYFUNCTION("""COMPUTED_VALUE"""),15.0)</f>
        <v>15</v>
      </c>
      <c r="O238" s="5">
        <f>IFERROR(__xludf.DUMMYFUNCTION("""COMPUTED_VALUE"""),2000.0)</f>
        <v>2000</v>
      </c>
    </row>
    <row r="239">
      <c r="A239" s="1" t="s">
        <v>204</v>
      </c>
      <c r="B239" s="4">
        <v>68.0</v>
      </c>
      <c r="C239" s="1" t="s">
        <v>147</v>
      </c>
      <c r="D239" s="4">
        <v>4.0</v>
      </c>
      <c r="E239" s="4">
        <v>6.0</v>
      </c>
      <c r="F239" s="4">
        <v>2.0</v>
      </c>
      <c r="G239" s="4">
        <v>4.0</v>
      </c>
      <c r="H239" s="4">
        <v>0.0</v>
      </c>
      <c r="I239" s="4">
        <v>12.0</v>
      </c>
      <c r="J239" s="4">
        <v>28.0</v>
      </c>
      <c r="K239" s="4">
        <v>-16.0</v>
      </c>
      <c r="L239" s="2" t="s">
        <v>87</v>
      </c>
      <c r="M239" s="5">
        <f>IFERROR(__xludf.DUMMYFUNCTION("""COMPUTED_VALUE"""),8.0)</f>
        <v>8</v>
      </c>
      <c r="N239" s="5">
        <f>IFERROR(__xludf.DUMMYFUNCTION("""COMPUTED_VALUE"""),16.0)</f>
        <v>16</v>
      </c>
      <c r="O239" s="5">
        <f>IFERROR(__xludf.DUMMYFUNCTION("""COMPUTED_VALUE"""),2000.0)</f>
        <v>2000</v>
      </c>
    </row>
    <row r="240">
      <c r="A240" s="1" t="s">
        <v>204</v>
      </c>
      <c r="B240" s="4">
        <v>69.0</v>
      </c>
      <c r="C240" s="1" t="s">
        <v>117</v>
      </c>
      <c r="D240" s="4">
        <v>4.0</v>
      </c>
      <c r="E240" s="4">
        <v>10.0</v>
      </c>
      <c r="F240" s="4">
        <v>2.0</v>
      </c>
      <c r="G240" s="4">
        <v>8.0</v>
      </c>
      <c r="H240" s="4">
        <v>0.0</v>
      </c>
      <c r="I240" s="4">
        <v>34.0</v>
      </c>
      <c r="J240" s="4">
        <v>57.0</v>
      </c>
      <c r="K240" s="4">
        <v>-23.0</v>
      </c>
      <c r="L240" s="2" t="s">
        <v>228</v>
      </c>
      <c r="M240" s="5">
        <f>IFERROR(__xludf.DUMMYFUNCTION("""COMPUTED_VALUE"""),5.0)</f>
        <v>5</v>
      </c>
      <c r="N240" s="5">
        <f>IFERROR(__xludf.DUMMYFUNCTION("""COMPUTED_VALUE"""),17.0)</f>
        <v>17</v>
      </c>
      <c r="O240" s="5">
        <f>IFERROR(__xludf.DUMMYFUNCTION("""COMPUTED_VALUE"""),2000.0)</f>
        <v>2000</v>
      </c>
    </row>
    <row r="241">
      <c r="A241" s="1" t="s">
        <v>204</v>
      </c>
      <c r="B241" s="4">
        <v>70.0</v>
      </c>
      <c r="C241" s="1" t="s">
        <v>123</v>
      </c>
      <c r="D241" s="4">
        <v>4.0</v>
      </c>
      <c r="E241" s="4">
        <v>14.0</v>
      </c>
      <c r="F241" s="4">
        <v>2.0</v>
      </c>
      <c r="G241" s="4">
        <v>12.0</v>
      </c>
      <c r="H241" s="4">
        <v>0.0</v>
      </c>
      <c r="I241" s="4">
        <v>20.0</v>
      </c>
      <c r="J241" s="4">
        <v>83.0</v>
      </c>
      <c r="K241" s="4">
        <v>-63.0</v>
      </c>
      <c r="L241" s="2" t="s">
        <v>229</v>
      </c>
      <c r="M241" s="5">
        <f>IFERROR(__xludf.DUMMYFUNCTION("""COMPUTED_VALUE"""),6.0)</f>
        <v>6</v>
      </c>
      <c r="N241" s="5">
        <f>IFERROR(__xludf.DUMMYFUNCTION("""COMPUTED_VALUE"""),17.0)</f>
        <v>17</v>
      </c>
      <c r="O241" s="5">
        <f>IFERROR(__xludf.DUMMYFUNCTION("""COMPUTED_VALUE"""),2000.0)</f>
        <v>2000</v>
      </c>
    </row>
    <row r="242">
      <c r="A242" s="1" t="s">
        <v>204</v>
      </c>
      <c r="B242" s="4">
        <v>71.0</v>
      </c>
      <c r="C242" s="1" t="s">
        <v>137</v>
      </c>
      <c r="D242" s="4">
        <v>4.0</v>
      </c>
      <c r="E242" s="4">
        <v>12.0</v>
      </c>
      <c r="F242" s="4">
        <v>2.0</v>
      </c>
      <c r="G242" s="4">
        <v>10.0</v>
      </c>
      <c r="H242" s="4">
        <v>0.0</v>
      </c>
      <c r="I242" s="4">
        <v>22.0</v>
      </c>
      <c r="J242" s="4">
        <v>86.0</v>
      </c>
      <c r="K242" s="4">
        <v>-64.0</v>
      </c>
      <c r="L242" s="2" t="s">
        <v>230</v>
      </c>
      <c r="M242" s="5">
        <f>IFERROR(__xludf.DUMMYFUNCTION("""COMPUTED_VALUE"""),2.0)</f>
        <v>2</v>
      </c>
      <c r="N242" s="5">
        <f>IFERROR(__xludf.DUMMYFUNCTION("""COMPUTED_VALUE"""),22.0)</f>
        <v>22</v>
      </c>
      <c r="O242" s="5">
        <f>IFERROR(__xludf.DUMMYFUNCTION("""COMPUTED_VALUE"""),2000.0)</f>
        <v>2000</v>
      </c>
    </row>
    <row r="243">
      <c r="A243" s="1" t="s">
        <v>204</v>
      </c>
      <c r="B243" s="4">
        <v>72.0</v>
      </c>
      <c r="C243" s="1" t="s">
        <v>131</v>
      </c>
      <c r="D243" s="4">
        <v>2.0</v>
      </c>
      <c r="E243" s="4">
        <v>4.0</v>
      </c>
      <c r="F243" s="4">
        <v>1.0</v>
      </c>
      <c r="G243" s="4">
        <v>3.0</v>
      </c>
      <c r="H243" s="4">
        <v>0.0</v>
      </c>
      <c r="I243" s="4">
        <v>14.0</v>
      </c>
      <c r="J243" s="4">
        <v>22.0</v>
      </c>
      <c r="K243" s="4">
        <v>-8.0</v>
      </c>
      <c r="L243" s="2" t="s">
        <v>219</v>
      </c>
      <c r="M243" s="5">
        <f>IFERROR(__xludf.DUMMYFUNCTION("""COMPUTED_VALUE"""),11.0)</f>
        <v>11</v>
      </c>
      <c r="N243" s="5">
        <f>IFERROR(__xludf.DUMMYFUNCTION("""COMPUTED_VALUE"""),12.0)</f>
        <v>12</v>
      </c>
      <c r="O243" s="5">
        <f>IFERROR(__xludf.DUMMYFUNCTION("""COMPUTED_VALUE"""),2000.0)</f>
        <v>2000</v>
      </c>
    </row>
    <row r="244">
      <c r="A244" s="1" t="s">
        <v>204</v>
      </c>
      <c r="B244" s="4">
        <v>73.0</v>
      </c>
      <c r="C244" s="1" t="s">
        <v>88</v>
      </c>
      <c r="D244" s="4">
        <v>2.0</v>
      </c>
      <c r="E244" s="4">
        <v>6.0</v>
      </c>
      <c r="F244" s="4">
        <v>1.0</v>
      </c>
      <c r="G244" s="4">
        <v>5.0</v>
      </c>
      <c r="H244" s="4">
        <v>0.0</v>
      </c>
      <c r="I244" s="4">
        <v>7.0</v>
      </c>
      <c r="J244" s="4">
        <v>36.0</v>
      </c>
      <c r="K244" s="4">
        <v>-29.0</v>
      </c>
      <c r="L244" s="2" t="s">
        <v>157</v>
      </c>
      <c r="M244" s="5">
        <f>IFERROR(__xludf.DUMMYFUNCTION("""COMPUTED_VALUE"""),3.0)</f>
        <v>3</v>
      </c>
      <c r="N244" s="5">
        <f>IFERROR(__xludf.DUMMYFUNCTION("""COMPUTED_VALUE"""),21.0)</f>
        <v>21</v>
      </c>
      <c r="O244" s="5">
        <f>IFERROR(__xludf.DUMMYFUNCTION("""COMPUTED_VALUE"""),2000.0)</f>
        <v>2000</v>
      </c>
    </row>
    <row r="245">
      <c r="A245" s="1" t="s">
        <v>204</v>
      </c>
      <c r="B245" s="4">
        <v>74.0</v>
      </c>
      <c r="C245" s="1" t="s">
        <v>128</v>
      </c>
      <c r="D245" s="4">
        <v>2.0</v>
      </c>
      <c r="E245" s="4">
        <v>6.0</v>
      </c>
      <c r="F245" s="4">
        <v>1.0</v>
      </c>
      <c r="G245" s="4">
        <v>5.0</v>
      </c>
      <c r="H245" s="4">
        <v>0.0</v>
      </c>
      <c r="I245" s="4">
        <v>4.0</v>
      </c>
      <c r="J245" s="4">
        <v>38.0</v>
      </c>
      <c r="K245" s="4">
        <v>-34.0</v>
      </c>
      <c r="L245" s="2" t="s">
        <v>95</v>
      </c>
      <c r="M245" s="5">
        <f>IFERROR(__xludf.DUMMYFUNCTION("""COMPUTED_VALUE"""),9.0)</f>
        <v>9</v>
      </c>
      <c r="N245" s="5">
        <f>IFERROR(__xludf.DUMMYFUNCTION("""COMPUTED_VALUE"""),14.0)</f>
        <v>14</v>
      </c>
      <c r="O245" s="5">
        <f>IFERROR(__xludf.DUMMYFUNCTION("""COMPUTED_VALUE"""),2000.0)</f>
        <v>2000</v>
      </c>
    </row>
    <row r="246">
      <c r="A246" s="1" t="s">
        <v>204</v>
      </c>
      <c r="B246" s="4">
        <v>75.0</v>
      </c>
      <c r="C246" s="1" t="s">
        <v>146</v>
      </c>
      <c r="D246" s="4">
        <v>2.0</v>
      </c>
      <c r="E246" s="4">
        <v>12.0</v>
      </c>
      <c r="F246" s="4">
        <v>1.0</v>
      </c>
      <c r="G246" s="4">
        <v>11.0</v>
      </c>
      <c r="H246" s="4">
        <v>0.0</v>
      </c>
      <c r="I246" s="4">
        <v>27.0</v>
      </c>
      <c r="J246" s="4">
        <v>80.0</v>
      </c>
      <c r="K246" s="4">
        <v>-53.0</v>
      </c>
      <c r="L246" s="2" t="s">
        <v>231</v>
      </c>
      <c r="M246" s="5">
        <f>IFERROR(__xludf.DUMMYFUNCTION("""COMPUTED_VALUE"""),8.0)</f>
        <v>8</v>
      </c>
      <c r="N246" s="5">
        <f>IFERROR(__xludf.DUMMYFUNCTION("""COMPUTED_VALUE"""),14.0)</f>
        <v>14</v>
      </c>
      <c r="O246" s="5">
        <f>IFERROR(__xludf.DUMMYFUNCTION("""COMPUTED_VALUE"""),2000.0)</f>
        <v>2000</v>
      </c>
    </row>
    <row r="247">
      <c r="A247" s="1" t="s">
        <v>204</v>
      </c>
      <c r="B247" s="4">
        <v>76.0</v>
      </c>
      <c r="C247" s="1" t="s">
        <v>138</v>
      </c>
      <c r="D247" s="4">
        <v>2.0</v>
      </c>
      <c r="E247" s="4">
        <v>14.0</v>
      </c>
      <c r="F247" s="4">
        <v>1.0</v>
      </c>
      <c r="G247" s="4">
        <v>13.0</v>
      </c>
      <c r="H247" s="4">
        <v>0.0</v>
      </c>
      <c r="I247" s="4">
        <v>16.0</v>
      </c>
      <c r="J247" s="4">
        <v>71.0</v>
      </c>
      <c r="K247" s="4">
        <v>-55.0</v>
      </c>
      <c r="L247" s="2" t="s">
        <v>189</v>
      </c>
      <c r="M247" s="5">
        <f>IFERROR(__xludf.DUMMYFUNCTION("""COMPUTED_VALUE"""),7.0)</f>
        <v>7</v>
      </c>
      <c r="N247" s="5">
        <f>IFERROR(__xludf.DUMMYFUNCTION("""COMPUTED_VALUE"""),17.0)</f>
        <v>17</v>
      </c>
      <c r="O247" s="5">
        <f>IFERROR(__xludf.DUMMYFUNCTION("""COMPUTED_VALUE"""),2000.0)</f>
        <v>2000</v>
      </c>
    </row>
    <row r="248">
      <c r="A248" s="1" t="s">
        <v>204</v>
      </c>
      <c r="B248" s="4">
        <v>77.0</v>
      </c>
      <c r="C248" s="1" t="s">
        <v>135</v>
      </c>
      <c r="D248" s="4">
        <v>2.0</v>
      </c>
      <c r="E248" s="4">
        <v>10.0</v>
      </c>
      <c r="F248" s="4">
        <v>1.0</v>
      </c>
      <c r="G248" s="4">
        <v>9.0</v>
      </c>
      <c r="H248" s="4">
        <v>0.0</v>
      </c>
      <c r="I248" s="4">
        <v>29.0</v>
      </c>
      <c r="J248" s="4">
        <v>88.0</v>
      </c>
      <c r="K248" s="4">
        <v>-59.0</v>
      </c>
      <c r="L248" s="2" t="s">
        <v>100</v>
      </c>
      <c r="M248" s="5">
        <f>IFERROR(__xludf.DUMMYFUNCTION("""COMPUTED_VALUE"""),7.0)</f>
        <v>7</v>
      </c>
      <c r="N248" s="5">
        <f>IFERROR(__xludf.DUMMYFUNCTION("""COMPUTED_VALUE"""),15.0)</f>
        <v>15</v>
      </c>
      <c r="O248" s="5">
        <f>IFERROR(__xludf.DUMMYFUNCTION("""COMPUTED_VALUE"""),2000.0)</f>
        <v>2000</v>
      </c>
    </row>
    <row r="249">
      <c r="A249" s="1" t="s">
        <v>204</v>
      </c>
      <c r="B249" s="4">
        <v>78.0</v>
      </c>
      <c r="C249" s="1" t="s">
        <v>119</v>
      </c>
      <c r="D249" s="4">
        <v>2.0</v>
      </c>
      <c r="E249" s="4">
        <v>12.0</v>
      </c>
      <c r="F249" s="4">
        <v>1.0</v>
      </c>
      <c r="G249" s="4">
        <v>11.0</v>
      </c>
      <c r="H249" s="4">
        <v>0.0</v>
      </c>
      <c r="I249" s="4">
        <v>12.0</v>
      </c>
      <c r="J249" s="4">
        <v>78.0</v>
      </c>
      <c r="K249" s="4">
        <v>-66.0</v>
      </c>
      <c r="L249" s="2" t="s">
        <v>232</v>
      </c>
      <c r="M249" s="5">
        <f>IFERROR(__xludf.DUMMYFUNCTION("""COMPUTED_VALUE"""),1.0)</f>
        <v>1</v>
      </c>
      <c r="N249" s="5">
        <f>IFERROR(__xludf.DUMMYFUNCTION("""COMPUTED_VALUE"""),23.0)</f>
        <v>23</v>
      </c>
      <c r="O249" s="5">
        <f>IFERROR(__xludf.DUMMYFUNCTION("""COMPUTED_VALUE"""),2000.0)</f>
        <v>2000</v>
      </c>
    </row>
    <row r="250">
      <c r="A250" s="1" t="s">
        <v>204</v>
      </c>
      <c r="B250" s="4">
        <v>79.0</v>
      </c>
      <c r="C250" s="1" t="s">
        <v>233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2" t="s">
        <v>234</v>
      </c>
      <c r="M250" s="5">
        <f>IFERROR(__xludf.DUMMYFUNCTION("""COMPUTED_VALUE"""),10.0)</f>
        <v>10</v>
      </c>
      <c r="N250" s="5">
        <f>IFERROR(__xludf.DUMMYFUNCTION("""COMPUTED_VALUE"""),9.0)</f>
        <v>9</v>
      </c>
      <c r="O250" s="5">
        <f>IFERROR(__xludf.DUMMYFUNCTION("""COMPUTED_VALUE"""),2000.0)</f>
        <v>2000</v>
      </c>
    </row>
    <row r="251">
      <c r="A251" s="1" t="s">
        <v>204</v>
      </c>
      <c r="B251" s="4">
        <v>80.0</v>
      </c>
      <c r="C251" s="1" t="s">
        <v>142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2" t="s">
        <v>104</v>
      </c>
      <c r="M251" s="5">
        <f>IFERROR(__xludf.DUMMYFUNCTION("""COMPUTED_VALUE"""),11.0)</f>
        <v>11</v>
      </c>
      <c r="N251" s="5">
        <f>IFERROR(__xludf.DUMMYFUNCTION("""COMPUTED_VALUE"""),11.0)</f>
        <v>11</v>
      </c>
      <c r="O251" s="5">
        <f>IFERROR(__xludf.DUMMYFUNCTION("""COMPUTED_VALUE"""),2000.0)</f>
        <v>2000</v>
      </c>
    </row>
    <row r="252">
      <c r="A252" s="1" t="s">
        <v>204</v>
      </c>
      <c r="B252" s="4">
        <v>81.0</v>
      </c>
      <c r="C252" s="1" t="s">
        <v>126</v>
      </c>
      <c r="D252" s="4">
        <v>0.0</v>
      </c>
      <c r="E252" s="4">
        <v>4.0</v>
      </c>
      <c r="F252" s="4">
        <v>0.0</v>
      </c>
      <c r="G252" s="4">
        <v>4.0</v>
      </c>
      <c r="H252" s="4">
        <v>0.0</v>
      </c>
      <c r="I252" s="4">
        <v>6.0</v>
      </c>
      <c r="J252" s="4">
        <v>21.0</v>
      </c>
      <c r="K252" s="4">
        <v>-15.0</v>
      </c>
      <c r="L252" s="2" t="s">
        <v>133</v>
      </c>
      <c r="M252" s="5">
        <f>IFERROR(__xludf.DUMMYFUNCTION("""COMPUTED_VALUE"""),5.0)</f>
        <v>5</v>
      </c>
      <c r="N252" s="5">
        <f>IFERROR(__xludf.DUMMYFUNCTION("""COMPUTED_VALUE"""),16.0)</f>
        <v>16</v>
      </c>
      <c r="O252" s="5">
        <f>IFERROR(__xludf.DUMMYFUNCTION("""COMPUTED_VALUE"""),2000.0)</f>
        <v>2000</v>
      </c>
    </row>
    <row r="253">
      <c r="A253" s="1" t="s">
        <v>204</v>
      </c>
      <c r="B253" s="4">
        <v>82.0</v>
      </c>
      <c r="C253" s="1" t="s">
        <v>92</v>
      </c>
      <c r="D253" s="4">
        <v>0.0</v>
      </c>
      <c r="E253" s="4">
        <v>8.0</v>
      </c>
      <c r="F253" s="4">
        <v>0.0</v>
      </c>
      <c r="G253" s="4">
        <v>8.0</v>
      </c>
      <c r="H253" s="4">
        <v>0.0</v>
      </c>
      <c r="I253" s="4">
        <v>16.0</v>
      </c>
      <c r="J253" s="4">
        <v>49.0</v>
      </c>
      <c r="K253" s="4">
        <v>-33.0</v>
      </c>
      <c r="L253" s="2" t="s">
        <v>157</v>
      </c>
      <c r="M253" s="5">
        <f>IFERROR(__xludf.DUMMYFUNCTION("""COMPUTED_VALUE"""),3.0)</f>
        <v>3</v>
      </c>
      <c r="N253" s="5">
        <f>IFERROR(__xludf.DUMMYFUNCTION("""COMPUTED_VALUE"""),21.0)</f>
        <v>21</v>
      </c>
      <c r="O253" s="5">
        <f>IFERROR(__xludf.DUMMYFUNCTION("""COMPUTED_VALUE"""),2000.0)</f>
        <v>2000</v>
      </c>
    </row>
    <row r="254">
      <c r="A254" s="1" t="s">
        <v>204</v>
      </c>
      <c r="B254" s="4">
        <v>83.0</v>
      </c>
      <c r="C254" s="1" t="s">
        <v>150</v>
      </c>
      <c r="D254" s="4">
        <v>0.0</v>
      </c>
      <c r="E254" s="4">
        <v>8.0</v>
      </c>
      <c r="F254" s="4">
        <v>0.0</v>
      </c>
      <c r="G254" s="4">
        <v>8.0</v>
      </c>
      <c r="H254" s="4">
        <v>0.0</v>
      </c>
      <c r="I254" s="4">
        <v>17.0</v>
      </c>
      <c r="J254" s="4">
        <v>53.0</v>
      </c>
      <c r="K254" s="4">
        <v>-36.0</v>
      </c>
      <c r="L254" s="2" t="s">
        <v>235</v>
      </c>
      <c r="M254" s="5">
        <f>IFERROR(__xludf.DUMMYFUNCTION("""COMPUTED_VALUE"""),0.0)</f>
        <v>0</v>
      </c>
      <c r="N254" s="5">
        <f>IFERROR(__xludf.DUMMYFUNCTION("""COMPUTED_VALUE"""),14.0)</f>
        <v>14</v>
      </c>
      <c r="O254" s="5">
        <f>IFERROR(__xludf.DUMMYFUNCTION("""COMPUTED_VALUE"""),0.0)</f>
        <v>0</v>
      </c>
    </row>
    <row r="255">
      <c r="A255" s="1" t="s">
        <v>204</v>
      </c>
      <c r="B255" s="4">
        <v>84.0</v>
      </c>
      <c r="C255" s="1" t="s">
        <v>122</v>
      </c>
      <c r="D255" s="4">
        <v>0.0</v>
      </c>
      <c r="E255" s="4">
        <v>10.0</v>
      </c>
      <c r="F255" s="4">
        <v>0.0</v>
      </c>
      <c r="G255" s="4">
        <v>10.0</v>
      </c>
      <c r="H255" s="4">
        <v>0.0</v>
      </c>
      <c r="I255" s="4">
        <v>4.0</v>
      </c>
      <c r="J255" s="4">
        <v>55.0</v>
      </c>
      <c r="K255" s="4">
        <v>-51.0</v>
      </c>
      <c r="L255" s="2" t="s">
        <v>136</v>
      </c>
      <c r="M255" s="5">
        <f>IFERROR(__xludf.DUMMYFUNCTION("""COMPUTED_VALUE"""),4.0)</f>
        <v>4</v>
      </c>
      <c r="N255" s="5">
        <f>IFERROR(__xludf.DUMMYFUNCTION("""COMPUTED_VALUE"""),20.0)</f>
        <v>20</v>
      </c>
      <c r="O255" s="5">
        <f>IFERROR(__xludf.DUMMYFUNCTION("""COMPUTED_VALUE"""),2000.0)</f>
        <v>2000</v>
      </c>
    </row>
    <row r="256">
      <c r="A256" s="1" t="s">
        <v>204</v>
      </c>
      <c r="B256" s="4">
        <v>85.0</v>
      </c>
      <c r="C256" s="1" t="s">
        <v>140</v>
      </c>
      <c r="D256" s="4">
        <v>0.0</v>
      </c>
      <c r="E256" s="4">
        <v>10.0</v>
      </c>
      <c r="F256" s="4">
        <v>0.0</v>
      </c>
      <c r="G256" s="4">
        <v>10.0</v>
      </c>
      <c r="H256" s="4">
        <v>0.0</v>
      </c>
      <c r="I256" s="4">
        <v>10.0</v>
      </c>
      <c r="J256" s="4">
        <v>72.0</v>
      </c>
      <c r="K256" s="4">
        <v>-62.0</v>
      </c>
      <c r="L256" s="2" t="s">
        <v>236</v>
      </c>
      <c r="M256" s="5">
        <f>IFERROR(__xludf.DUMMYFUNCTION("""COMPUTED_VALUE"""),4.0)</f>
        <v>4</v>
      </c>
      <c r="N256" s="5">
        <f>IFERROR(__xludf.DUMMYFUNCTION("""COMPUTED_VALUE"""),18.0)</f>
        <v>18</v>
      </c>
      <c r="O256" s="5">
        <f>IFERROR(__xludf.DUMMYFUNCTION("""COMPUTED_VALUE"""),2000.0)</f>
        <v>2000</v>
      </c>
    </row>
    <row r="257">
      <c r="A257" s="1" t="s">
        <v>204</v>
      </c>
      <c r="B257" s="4">
        <v>86.0</v>
      </c>
      <c r="C257" s="1" t="s">
        <v>152</v>
      </c>
      <c r="D257" s="4">
        <v>0.0</v>
      </c>
      <c r="E257" s="4">
        <v>10.0</v>
      </c>
      <c r="F257" s="4">
        <v>0.0</v>
      </c>
      <c r="G257" s="4">
        <v>10.0</v>
      </c>
      <c r="H257" s="4">
        <v>0.0</v>
      </c>
      <c r="I257" s="4">
        <v>9.0</v>
      </c>
      <c r="J257" s="4">
        <v>90.0</v>
      </c>
      <c r="K257" s="4">
        <v>-81.0</v>
      </c>
      <c r="L257" s="2" t="s">
        <v>227</v>
      </c>
      <c r="M257" s="5">
        <f>IFERROR(__xludf.DUMMYFUNCTION("""COMPUTED_VALUE"""),3.0)</f>
        <v>3</v>
      </c>
      <c r="N257" s="5">
        <f>IFERROR(__xludf.DUMMYFUNCTION("""COMPUTED_VALUE"""),18.0)</f>
        <v>18</v>
      </c>
      <c r="O257" s="5">
        <f>IFERROR(__xludf.DUMMYFUNCTION("""COMPUTED_VALUE"""),2000.0)</f>
        <v>2000</v>
      </c>
    </row>
    <row r="258">
      <c r="A258" s="1" t="s">
        <v>237</v>
      </c>
      <c r="B258" s="4">
        <v>1.0</v>
      </c>
      <c r="C258" s="1" t="s">
        <v>24</v>
      </c>
      <c r="D258" s="4">
        <v>28.0</v>
      </c>
      <c r="E258" s="4">
        <v>14.0</v>
      </c>
      <c r="F258" s="4">
        <v>14.0</v>
      </c>
      <c r="G258" s="4">
        <v>0.0</v>
      </c>
      <c r="H258" s="4">
        <v>0.0</v>
      </c>
      <c r="I258" s="4">
        <v>79.0</v>
      </c>
      <c r="J258" s="4">
        <v>15.0</v>
      </c>
      <c r="K258" s="4">
        <v>64.0</v>
      </c>
      <c r="L258" s="2" t="s">
        <v>238</v>
      </c>
      <c r="M258" s="5">
        <f>IFERROR(__xludf.DUMMYFUNCTION("""COMPUTED_VALUE"""),17.0)</f>
        <v>17</v>
      </c>
      <c r="N258" s="5">
        <f>IFERROR(__xludf.DUMMYFUNCTION("""COMPUTED_VALUE"""),5.0)</f>
        <v>5</v>
      </c>
      <c r="O258" s="5">
        <f>IFERROR(__xludf.DUMMYFUNCTION("""COMPUTED_VALUE"""),1.0)</f>
        <v>1</v>
      </c>
    </row>
    <row r="259">
      <c r="A259" s="1" t="s">
        <v>237</v>
      </c>
      <c r="B259" s="4">
        <v>2.0</v>
      </c>
      <c r="C259" s="1" t="s">
        <v>20</v>
      </c>
      <c r="D259" s="4">
        <v>26.0</v>
      </c>
      <c r="E259" s="4">
        <v>14.0</v>
      </c>
      <c r="F259" s="4">
        <v>13.0</v>
      </c>
      <c r="G259" s="4">
        <v>1.0</v>
      </c>
      <c r="H259" s="4">
        <v>0.0</v>
      </c>
      <c r="I259" s="4">
        <v>74.0</v>
      </c>
      <c r="J259" s="4">
        <v>14.0</v>
      </c>
      <c r="K259" s="4">
        <v>60.0</v>
      </c>
      <c r="L259" s="2" t="s">
        <v>32</v>
      </c>
      <c r="M259" s="5">
        <f>IFERROR(__xludf.DUMMYFUNCTION("""COMPUTED_VALUE"""),21.0)</f>
        <v>21</v>
      </c>
      <c r="N259" s="5">
        <f>IFERROR(__xludf.DUMMYFUNCTION("""COMPUTED_VALUE"""),3.0)</f>
        <v>3</v>
      </c>
      <c r="O259" s="5">
        <f>IFERROR(__xludf.DUMMYFUNCTION("""COMPUTED_VALUE"""),0.0)</f>
        <v>0</v>
      </c>
    </row>
    <row r="260">
      <c r="A260" s="1" t="s">
        <v>237</v>
      </c>
      <c r="B260" s="4">
        <v>3.0</v>
      </c>
      <c r="C260" s="1" t="s">
        <v>33</v>
      </c>
      <c r="D260" s="4">
        <v>24.0</v>
      </c>
      <c r="E260" s="4">
        <v>12.0</v>
      </c>
      <c r="F260" s="4">
        <v>12.0</v>
      </c>
      <c r="G260" s="4">
        <v>0.0</v>
      </c>
      <c r="H260" s="4">
        <v>0.0</v>
      </c>
      <c r="I260" s="4">
        <v>98.0</v>
      </c>
      <c r="J260" s="4">
        <v>23.0</v>
      </c>
      <c r="K260" s="4">
        <v>75.0</v>
      </c>
      <c r="L260" s="2" t="s">
        <v>32</v>
      </c>
      <c r="M260" s="5">
        <f>IFERROR(__xludf.DUMMYFUNCTION("""COMPUTED_VALUE"""),21.0)</f>
        <v>21</v>
      </c>
      <c r="N260" s="5">
        <f>IFERROR(__xludf.DUMMYFUNCTION("""COMPUTED_VALUE"""),3.0)</f>
        <v>3</v>
      </c>
      <c r="O260" s="5">
        <f>IFERROR(__xludf.DUMMYFUNCTION("""COMPUTED_VALUE"""),0.0)</f>
        <v>0</v>
      </c>
    </row>
    <row r="261">
      <c r="A261" s="1" t="s">
        <v>237</v>
      </c>
      <c r="B261" s="4">
        <v>4.0</v>
      </c>
      <c r="C261" s="1" t="s">
        <v>25</v>
      </c>
      <c r="D261" s="4">
        <v>24.0</v>
      </c>
      <c r="E261" s="4">
        <v>14.0</v>
      </c>
      <c r="F261" s="4">
        <v>12.0</v>
      </c>
      <c r="G261" s="4">
        <v>2.0</v>
      </c>
      <c r="H261" s="4">
        <v>0.0</v>
      </c>
      <c r="I261" s="4">
        <v>84.0</v>
      </c>
      <c r="J261" s="4">
        <v>24.0</v>
      </c>
      <c r="K261" s="4">
        <v>60.0</v>
      </c>
      <c r="L261" s="2" t="s">
        <v>239</v>
      </c>
      <c r="M261" s="5">
        <f>IFERROR(__xludf.DUMMYFUNCTION("""COMPUTED_VALUE"""),19.0)</f>
        <v>19</v>
      </c>
      <c r="N261" s="5">
        <f>IFERROR(__xludf.DUMMYFUNCTION("""COMPUTED_VALUE"""),2.0)</f>
        <v>2</v>
      </c>
      <c r="O261" s="5">
        <f>IFERROR(__xludf.DUMMYFUNCTION("""COMPUTED_VALUE"""),1.0)</f>
        <v>1</v>
      </c>
    </row>
    <row r="262">
      <c r="A262" s="1" t="s">
        <v>237</v>
      </c>
      <c r="B262" s="4">
        <v>5.0</v>
      </c>
      <c r="C262" s="1" t="s">
        <v>18</v>
      </c>
      <c r="D262" s="4">
        <v>20.0</v>
      </c>
      <c r="E262" s="4">
        <v>10.0</v>
      </c>
      <c r="F262" s="4">
        <v>10.0</v>
      </c>
      <c r="G262" s="4">
        <v>0.0</v>
      </c>
      <c r="H262" s="4">
        <v>0.0</v>
      </c>
      <c r="I262" s="4">
        <v>83.0</v>
      </c>
      <c r="J262" s="4">
        <v>11.0</v>
      </c>
      <c r="K262" s="4">
        <v>72.0</v>
      </c>
      <c r="L262" s="2" t="s">
        <v>32</v>
      </c>
      <c r="M262" s="5">
        <f>IFERROR(__xludf.DUMMYFUNCTION("""COMPUTED_VALUE"""),21.0)</f>
        <v>21</v>
      </c>
      <c r="N262" s="5">
        <f>IFERROR(__xludf.DUMMYFUNCTION("""COMPUTED_VALUE"""),3.0)</f>
        <v>3</v>
      </c>
      <c r="O262" s="5">
        <f>IFERROR(__xludf.DUMMYFUNCTION("""COMPUTED_VALUE"""),0.0)</f>
        <v>0</v>
      </c>
    </row>
    <row r="263">
      <c r="A263" s="1" t="s">
        <v>237</v>
      </c>
      <c r="B263" s="4">
        <v>6.0</v>
      </c>
      <c r="C263" s="1" t="s">
        <v>99</v>
      </c>
      <c r="D263" s="4">
        <v>20.0</v>
      </c>
      <c r="E263" s="4">
        <v>12.0</v>
      </c>
      <c r="F263" s="4">
        <v>10.0</v>
      </c>
      <c r="G263" s="4">
        <v>2.0</v>
      </c>
      <c r="H263" s="4">
        <v>0.0</v>
      </c>
      <c r="I263" s="4">
        <v>57.0</v>
      </c>
      <c r="J263" s="4">
        <v>34.0</v>
      </c>
      <c r="K263" s="4">
        <v>23.0</v>
      </c>
      <c r="L263" s="2" t="s">
        <v>57</v>
      </c>
      <c r="M263" s="5">
        <f>IFERROR(__xludf.DUMMYFUNCTION("""COMPUTED_VALUE"""),17.0)</f>
        <v>17</v>
      </c>
      <c r="N263" s="5">
        <f>IFERROR(__xludf.DUMMYFUNCTION("""COMPUTED_VALUE"""),7.0)</f>
        <v>7</v>
      </c>
      <c r="O263" s="5">
        <f>IFERROR(__xludf.DUMMYFUNCTION("""COMPUTED_VALUE"""),0.0)</f>
        <v>0</v>
      </c>
    </row>
    <row r="264">
      <c r="A264" s="1" t="s">
        <v>237</v>
      </c>
      <c r="B264" s="4">
        <v>7.0</v>
      </c>
      <c r="C264" s="1" t="s">
        <v>27</v>
      </c>
      <c r="D264" s="4">
        <v>18.0</v>
      </c>
      <c r="E264" s="4">
        <v>10.0</v>
      </c>
      <c r="F264" s="4">
        <v>9.0</v>
      </c>
      <c r="G264" s="4">
        <v>1.0</v>
      </c>
      <c r="H264" s="4">
        <v>0.0</v>
      </c>
      <c r="I264" s="4">
        <v>76.0</v>
      </c>
      <c r="J264" s="4">
        <v>15.0</v>
      </c>
      <c r="K264" s="4">
        <v>61.0</v>
      </c>
      <c r="L264" s="2" t="s">
        <v>169</v>
      </c>
      <c r="M264" s="5">
        <f>IFERROR(__xludf.DUMMYFUNCTION("""COMPUTED_VALUE"""),20.0)</f>
        <v>20</v>
      </c>
      <c r="N264" s="5">
        <f>IFERROR(__xludf.DUMMYFUNCTION("""COMPUTED_VALUE"""),4.0)</f>
        <v>4</v>
      </c>
      <c r="O264" s="5">
        <f>IFERROR(__xludf.DUMMYFUNCTION("""COMPUTED_VALUE"""),0.0)</f>
        <v>0</v>
      </c>
    </row>
    <row r="265">
      <c r="A265" s="1" t="s">
        <v>237</v>
      </c>
      <c r="B265" s="4">
        <v>8.0</v>
      </c>
      <c r="C265" s="1" t="s">
        <v>22</v>
      </c>
      <c r="D265" s="4">
        <v>18.0</v>
      </c>
      <c r="E265" s="4">
        <v>14.0</v>
      </c>
      <c r="F265" s="4">
        <v>9.0</v>
      </c>
      <c r="G265" s="4">
        <v>5.0</v>
      </c>
      <c r="H265" s="4">
        <v>0.0</v>
      </c>
      <c r="I265" s="4">
        <v>81.0</v>
      </c>
      <c r="J265" s="4">
        <v>33.0</v>
      </c>
      <c r="K265" s="4">
        <v>48.0</v>
      </c>
      <c r="L265" s="2" t="s">
        <v>70</v>
      </c>
      <c r="M265" s="5">
        <f>IFERROR(__xludf.DUMMYFUNCTION("""COMPUTED_VALUE"""),16.0)</f>
        <v>16</v>
      </c>
      <c r="N265" s="5">
        <f>IFERROR(__xludf.DUMMYFUNCTION("""COMPUTED_VALUE"""),7.0)</f>
        <v>7</v>
      </c>
      <c r="O265" s="5">
        <f>IFERROR(__xludf.DUMMYFUNCTION("""COMPUTED_VALUE"""),0.0)</f>
        <v>0</v>
      </c>
    </row>
    <row r="266">
      <c r="A266" s="1" t="s">
        <v>237</v>
      </c>
      <c r="B266" s="4">
        <v>9.0</v>
      </c>
      <c r="C266" s="1" t="s">
        <v>61</v>
      </c>
      <c r="D266" s="4">
        <v>18.0</v>
      </c>
      <c r="E266" s="4">
        <v>10.0</v>
      </c>
      <c r="F266" s="4">
        <v>9.0</v>
      </c>
      <c r="G266" s="4">
        <v>1.0</v>
      </c>
      <c r="H266" s="4">
        <v>0.0</v>
      </c>
      <c r="I266" s="4">
        <v>58.0</v>
      </c>
      <c r="J266" s="4">
        <v>20.0</v>
      </c>
      <c r="K266" s="4">
        <v>38.0</v>
      </c>
      <c r="L266" s="2" t="s">
        <v>17</v>
      </c>
      <c r="M266" s="5">
        <f>IFERROR(__xludf.DUMMYFUNCTION("""COMPUTED_VALUE"""),18.0)</f>
        <v>18</v>
      </c>
      <c r="N266" s="5">
        <f>IFERROR(__xludf.DUMMYFUNCTION("""COMPUTED_VALUE"""),5.0)</f>
        <v>5</v>
      </c>
      <c r="O266" s="5">
        <f>IFERROR(__xludf.DUMMYFUNCTION("""COMPUTED_VALUE"""),0.0)</f>
        <v>0</v>
      </c>
    </row>
    <row r="267">
      <c r="A267" s="1" t="s">
        <v>237</v>
      </c>
      <c r="B267" s="4">
        <v>10.0</v>
      </c>
      <c r="C267" s="1" t="s">
        <v>106</v>
      </c>
      <c r="D267" s="4">
        <v>18.0</v>
      </c>
      <c r="E267" s="4">
        <v>14.0</v>
      </c>
      <c r="F267" s="4">
        <v>9.0</v>
      </c>
      <c r="G267" s="4">
        <v>5.0</v>
      </c>
      <c r="H267" s="4">
        <v>0.0</v>
      </c>
      <c r="I267" s="4">
        <v>75.0</v>
      </c>
      <c r="J267" s="4">
        <v>39.0</v>
      </c>
      <c r="K267" s="4">
        <v>36.0</v>
      </c>
      <c r="L267" s="2" t="s">
        <v>23</v>
      </c>
      <c r="M267" s="5">
        <f>IFERROR(__xludf.DUMMYFUNCTION("""COMPUTED_VALUE"""),14.0)</f>
        <v>14</v>
      </c>
      <c r="N267" s="5">
        <f>IFERROR(__xludf.DUMMYFUNCTION("""COMPUTED_VALUE"""),10.0)</f>
        <v>10</v>
      </c>
      <c r="O267" s="5">
        <f>IFERROR(__xludf.DUMMYFUNCTION("""COMPUTED_VALUE"""),0.0)</f>
        <v>0</v>
      </c>
    </row>
    <row r="268">
      <c r="A268" s="1" t="s">
        <v>237</v>
      </c>
      <c r="B268" s="4">
        <v>11.0</v>
      </c>
      <c r="C268" s="1" t="s">
        <v>66</v>
      </c>
      <c r="D268" s="4">
        <v>18.0</v>
      </c>
      <c r="E268" s="4">
        <v>14.0</v>
      </c>
      <c r="F268" s="4">
        <v>9.0</v>
      </c>
      <c r="G268" s="4">
        <v>5.0</v>
      </c>
      <c r="H268" s="4">
        <v>0.0</v>
      </c>
      <c r="I268" s="4">
        <v>67.0</v>
      </c>
      <c r="J268" s="4">
        <v>31.0</v>
      </c>
      <c r="K268" s="4">
        <v>36.0</v>
      </c>
      <c r="L268" s="2" t="s">
        <v>177</v>
      </c>
      <c r="M268" s="5">
        <f>IFERROR(__xludf.DUMMYFUNCTION("""COMPUTED_VALUE"""),13.0)</f>
        <v>13</v>
      </c>
      <c r="N268" s="5">
        <f>IFERROR(__xludf.DUMMYFUNCTION("""COMPUTED_VALUE"""),10.0)</f>
        <v>10</v>
      </c>
      <c r="O268" s="5">
        <f>IFERROR(__xludf.DUMMYFUNCTION("""COMPUTED_VALUE"""),1.0)</f>
        <v>1</v>
      </c>
    </row>
    <row r="269">
      <c r="A269" s="1" t="s">
        <v>237</v>
      </c>
      <c r="B269" s="4">
        <v>12.0</v>
      </c>
      <c r="C269" s="1" t="s">
        <v>94</v>
      </c>
      <c r="D269" s="4">
        <v>18.0</v>
      </c>
      <c r="E269" s="4">
        <v>14.0</v>
      </c>
      <c r="F269" s="4">
        <v>9.0</v>
      </c>
      <c r="G269" s="4">
        <v>5.0</v>
      </c>
      <c r="H269" s="4">
        <v>0.0</v>
      </c>
      <c r="I269" s="4">
        <v>55.0</v>
      </c>
      <c r="J269" s="4">
        <v>31.0</v>
      </c>
      <c r="K269" s="4">
        <v>24.0</v>
      </c>
      <c r="L269" s="2" t="s">
        <v>23</v>
      </c>
      <c r="M269" s="5">
        <f>IFERROR(__xludf.DUMMYFUNCTION("""COMPUTED_VALUE"""),14.0)</f>
        <v>14</v>
      </c>
      <c r="N269" s="5">
        <f>IFERROR(__xludf.DUMMYFUNCTION("""COMPUTED_VALUE"""),10.0)</f>
        <v>10</v>
      </c>
      <c r="O269" s="5">
        <f>IFERROR(__xludf.DUMMYFUNCTION("""COMPUTED_VALUE"""),0.0)</f>
        <v>0</v>
      </c>
    </row>
    <row r="270">
      <c r="A270" s="1" t="s">
        <v>237</v>
      </c>
      <c r="B270" s="4">
        <v>13.0</v>
      </c>
      <c r="C270" s="1" t="s">
        <v>134</v>
      </c>
      <c r="D270" s="4">
        <v>18.0</v>
      </c>
      <c r="E270" s="4">
        <v>14.0</v>
      </c>
      <c r="F270" s="4">
        <v>9.0</v>
      </c>
      <c r="G270" s="4">
        <v>5.0</v>
      </c>
      <c r="H270" s="4">
        <v>0.0</v>
      </c>
      <c r="I270" s="4">
        <v>60.0</v>
      </c>
      <c r="J270" s="4">
        <v>36.0</v>
      </c>
      <c r="K270" s="4">
        <v>24.0</v>
      </c>
      <c r="L270" s="2" t="s">
        <v>19</v>
      </c>
      <c r="M270" s="5">
        <f>IFERROR(__xludf.DUMMYFUNCTION("""COMPUTED_VALUE"""),18.0)</f>
        <v>18</v>
      </c>
      <c r="N270" s="5">
        <f>IFERROR(__xludf.DUMMYFUNCTION("""COMPUTED_VALUE"""),6.0)</f>
        <v>6</v>
      </c>
      <c r="O270" s="5">
        <f>IFERROR(__xludf.DUMMYFUNCTION("""COMPUTED_VALUE"""),0.0)</f>
        <v>0</v>
      </c>
    </row>
    <row r="271">
      <c r="A271" s="1" t="s">
        <v>237</v>
      </c>
      <c r="B271" s="4">
        <v>14.0</v>
      </c>
      <c r="C271" s="1" t="s">
        <v>68</v>
      </c>
      <c r="D271" s="4">
        <v>17.0</v>
      </c>
      <c r="E271" s="4">
        <v>10.0</v>
      </c>
      <c r="F271" s="4">
        <v>8.0</v>
      </c>
      <c r="G271" s="4">
        <v>1.0</v>
      </c>
      <c r="H271" s="4">
        <v>1.0</v>
      </c>
      <c r="I271" s="4">
        <v>51.0</v>
      </c>
      <c r="J271" s="4">
        <v>22.0</v>
      </c>
      <c r="K271" s="4">
        <v>29.0</v>
      </c>
      <c r="L271" s="2" t="s">
        <v>35</v>
      </c>
      <c r="M271" s="5">
        <f>IFERROR(__xludf.DUMMYFUNCTION("""COMPUTED_VALUE"""),20.0)</f>
        <v>20</v>
      </c>
      <c r="N271" s="5">
        <f>IFERROR(__xludf.DUMMYFUNCTION("""COMPUTED_VALUE"""),3.0)</f>
        <v>3</v>
      </c>
      <c r="O271" s="5">
        <f>IFERROR(__xludf.DUMMYFUNCTION("""COMPUTED_VALUE"""),1.0)</f>
        <v>1</v>
      </c>
    </row>
    <row r="272">
      <c r="A272" s="1" t="s">
        <v>237</v>
      </c>
      <c r="B272" s="4">
        <v>15.0</v>
      </c>
      <c r="C272" s="1" t="s">
        <v>41</v>
      </c>
      <c r="D272" s="4">
        <v>16.0</v>
      </c>
      <c r="E272" s="4">
        <v>10.0</v>
      </c>
      <c r="F272" s="4">
        <v>8.0</v>
      </c>
      <c r="G272" s="4">
        <v>2.0</v>
      </c>
      <c r="H272" s="4">
        <v>0.0</v>
      </c>
      <c r="I272" s="4">
        <v>80.0</v>
      </c>
      <c r="J272" s="4">
        <v>18.0</v>
      </c>
      <c r="K272" s="4">
        <v>62.0</v>
      </c>
      <c r="L272" s="2" t="s">
        <v>19</v>
      </c>
      <c r="M272" s="5">
        <f>IFERROR(__xludf.DUMMYFUNCTION("""COMPUTED_VALUE"""),18.0)</f>
        <v>18</v>
      </c>
      <c r="N272" s="5">
        <f>IFERROR(__xludf.DUMMYFUNCTION("""COMPUTED_VALUE"""),6.0)</f>
        <v>6</v>
      </c>
      <c r="O272" s="5">
        <f>IFERROR(__xludf.DUMMYFUNCTION("""COMPUTED_VALUE"""),0.0)</f>
        <v>0</v>
      </c>
    </row>
    <row r="273">
      <c r="A273" s="1" t="s">
        <v>237</v>
      </c>
      <c r="B273" s="4">
        <v>16.0</v>
      </c>
      <c r="C273" s="1" t="s">
        <v>46</v>
      </c>
      <c r="D273" s="4">
        <v>16.0</v>
      </c>
      <c r="E273" s="4">
        <v>10.0</v>
      </c>
      <c r="F273" s="4">
        <v>8.0</v>
      </c>
      <c r="G273" s="4">
        <v>2.0</v>
      </c>
      <c r="H273" s="4">
        <v>0.0</v>
      </c>
      <c r="I273" s="4">
        <v>76.0</v>
      </c>
      <c r="J273" s="4">
        <v>22.0</v>
      </c>
      <c r="K273" s="4">
        <v>54.0</v>
      </c>
      <c r="L273" s="2" t="s">
        <v>51</v>
      </c>
      <c r="M273" s="5">
        <f>IFERROR(__xludf.DUMMYFUNCTION("""COMPUTED_VALUE"""),15.0)</f>
        <v>15</v>
      </c>
      <c r="N273" s="5">
        <f>IFERROR(__xludf.DUMMYFUNCTION("""COMPUTED_VALUE"""),9.0)</f>
        <v>9</v>
      </c>
      <c r="O273" s="5">
        <f>IFERROR(__xludf.DUMMYFUNCTION("""COMPUTED_VALUE"""),0.0)</f>
        <v>0</v>
      </c>
    </row>
    <row r="274">
      <c r="A274" s="1" t="s">
        <v>237</v>
      </c>
      <c r="B274" s="4">
        <v>17.0</v>
      </c>
      <c r="C274" s="1" t="s">
        <v>75</v>
      </c>
      <c r="D274" s="4">
        <v>16.0</v>
      </c>
      <c r="E274" s="4">
        <v>10.0</v>
      </c>
      <c r="F274" s="4">
        <v>8.0</v>
      </c>
      <c r="G274" s="4">
        <v>2.0</v>
      </c>
      <c r="H274" s="4">
        <v>0.0</v>
      </c>
      <c r="I274" s="4">
        <v>53.0</v>
      </c>
      <c r="J274" s="4">
        <v>16.0</v>
      </c>
      <c r="K274" s="4">
        <v>37.0</v>
      </c>
      <c r="L274" s="2" t="s">
        <v>240</v>
      </c>
      <c r="M274" s="5">
        <f>IFERROR(__xludf.DUMMYFUNCTION("""COMPUTED_VALUE"""),14.0)</f>
        <v>14</v>
      </c>
      <c r="N274" s="5">
        <f>IFERROR(__xludf.DUMMYFUNCTION("""COMPUTED_VALUE"""),5.0)</f>
        <v>5</v>
      </c>
      <c r="O274" s="5">
        <f>IFERROR(__xludf.DUMMYFUNCTION("""COMPUTED_VALUE"""),0.0)</f>
        <v>0</v>
      </c>
    </row>
    <row r="275">
      <c r="A275" s="1" t="s">
        <v>237</v>
      </c>
      <c r="B275" s="4">
        <v>18.0</v>
      </c>
      <c r="C275" s="1" t="s">
        <v>81</v>
      </c>
      <c r="D275" s="4">
        <v>16.0</v>
      </c>
      <c r="E275" s="4">
        <v>10.0</v>
      </c>
      <c r="F275" s="4">
        <v>8.0</v>
      </c>
      <c r="G275" s="4">
        <v>2.0</v>
      </c>
      <c r="H275" s="4">
        <v>0.0</v>
      </c>
      <c r="I275" s="4">
        <v>51.0</v>
      </c>
      <c r="J275" s="4">
        <v>16.0</v>
      </c>
      <c r="K275" s="4">
        <v>35.0</v>
      </c>
      <c r="L275" s="2" t="s">
        <v>57</v>
      </c>
      <c r="M275" s="5">
        <f>IFERROR(__xludf.DUMMYFUNCTION("""COMPUTED_VALUE"""),17.0)</f>
        <v>17</v>
      </c>
      <c r="N275" s="5">
        <f>IFERROR(__xludf.DUMMYFUNCTION("""COMPUTED_VALUE"""),7.0)</f>
        <v>7</v>
      </c>
      <c r="O275" s="5">
        <f>IFERROR(__xludf.DUMMYFUNCTION("""COMPUTED_VALUE"""),0.0)</f>
        <v>0</v>
      </c>
    </row>
    <row r="276">
      <c r="A276" s="1" t="s">
        <v>237</v>
      </c>
      <c r="B276" s="4">
        <v>19.0</v>
      </c>
      <c r="C276" s="1" t="s">
        <v>45</v>
      </c>
      <c r="D276" s="4">
        <v>16.0</v>
      </c>
      <c r="E276" s="4">
        <v>10.0</v>
      </c>
      <c r="F276" s="4">
        <v>8.0</v>
      </c>
      <c r="G276" s="4">
        <v>2.0</v>
      </c>
      <c r="H276" s="4">
        <v>0.0</v>
      </c>
      <c r="I276" s="4">
        <v>53.0</v>
      </c>
      <c r="J276" s="4">
        <v>20.0</v>
      </c>
      <c r="K276" s="4">
        <v>33.0</v>
      </c>
      <c r="L276" s="2" t="s">
        <v>26</v>
      </c>
      <c r="M276" s="5">
        <f>IFERROR(__xludf.DUMMYFUNCTION("""COMPUTED_VALUE"""),13.0)</f>
        <v>13</v>
      </c>
      <c r="N276" s="5">
        <f>IFERROR(__xludf.DUMMYFUNCTION("""COMPUTED_VALUE"""),9.0)</f>
        <v>9</v>
      </c>
      <c r="O276" s="5">
        <f>IFERROR(__xludf.DUMMYFUNCTION("""COMPUTED_VALUE"""),2.0)</f>
        <v>2</v>
      </c>
    </row>
    <row r="277">
      <c r="A277" s="1" t="s">
        <v>237</v>
      </c>
      <c r="B277" s="4">
        <v>20.0</v>
      </c>
      <c r="C277" s="1" t="s">
        <v>58</v>
      </c>
      <c r="D277" s="4">
        <v>16.0</v>
      </c>
      <c r="E277" s="4">
        <v>14.0</v>
      </c>
      <c r="F277" s="4">
        <v>8.0</v>
      </c>
      <c r="G277" s="4">
        <v>6.0</v>
      </c>
      <c r="H277" s="4">
        <v>0.0</v>
      </c>
      <c r="I277" s="4">
        <v>66.0</v>
      </c>
      <c r="J277" s="4">
        <v>36.0</v>
      </c>
      <c r="K277" s="4">
        <v>30.0</v>
      </c>
      <c r="L277" s="2" t="s">
        <v>93</v>
      </c>
      <c r="M277" s="5">
        <f>IFERROR(__xludf.DUMMYFUNCTION("""COMPUTED_VALUE"""),13.0)</f>
        <v>13</v>
      </c>
      <c r="N277" s="5">
        <f>IFERROR(__xludf.DUMMYFUNCTION("""COMPUTED_VALUE"""),10.0)</f>
        <v>10</v>
      </c>
      <c r="O277" s="5">
        <f>IFERROR(__xludf.DUMMYFUNCTION("""COMPUTED_VALUE"""),0.0)</f>
        <v>0</v>
      </c>
    </row>
    <row r="278">
      <c r="A278" s="1" t="s">
        <v>237</v>
      </c>
      <c r="B278" s="4">
        <v>21.0</v>
      </c>
      <c r="C278" s="1" t="s">
        <v>62</v>
      </c>
      <c r="D278" s="4">
        <v>16.0</v>
      </c>
      <c r="E278" s="4">
        <v>10.0</v>
      </c>
      <c r="F278" s="4">
        <v>7.0</v>
      </c>
      <c r="G278" s="4">
        <v>1.0</v>
      </c>
      <c r="H278" s="4">
        <v>2.0</v>
      </c>
      <c r="I278" s="4">
        <v>51.0</v>
      </c>
      <c r="J278" s="4">
        <v>21.0</v>
      </c>
      <c r="K278" s="4">
        <v>30.0</v>
      </c>
      <c r="L278" s="2" t="s">
        <v>208</v>
      </c>
      <c r="M278" s="5">
        <f>IFERROR(__xludf.DUMMYFUNCTION("""COMPUTED_VALUE"""),14.0)</f>
        <v>14</v>
      </c>
      <c r="N278" s="5">
        <f>IFERROR(__xludf.DUMMYFUNCTION("""COMPUTED_VALUE"""),8.0)</f>
        <v>8</v>
      </c>
      <c r="O278" s="5">
        <f>IFERROR(__xludf.DUMMYFUNCTION("""COMPUTED_VALUE"""),2.0)</f>
        <v>2</v>
      </c>
    </row>
    <row r="279">
      <c r="A279" s="1" t="s">
        <v>237</v>
      </c>
      <c r="B279" s="4">
        <v>22.0</v>
      </c>
      <c r="C279" s="1" t="s">
        <v>34</v>
      </c>
      <c r="D279" s="4">
        <v>16.0</v>
      </c>
      <c r="E279" s="4">
        <v>12.0</v>
      </c>
      <c r="F279" s="4">
        <v>8.0</v>
      </c>
      <c r="G279" s="4">
        <v>4.0</v>
      </c>
      <c r="H279" s="4">
        <v>0.0</v>
      </c>
      <c r="I279" s="4">
        <v>66.0</v>
      </c>
      <c r="J279" s="4">
        <v>43.0</v>
      </c>
      <c r="K279" s="4">
        <v>23.0</v>
      </c>
      <c r="L279" s="2" t="s">
        <v>102</v>
      </c>
      <c r="M279" s="5">
        <f>IFERROR(__xludf.DUMMYFUNCTION("""COMPUTED_VALUE"""),13.0)</f>
        <v>13</v>
      </c>
      <c r="N279" s="5">
        <f>IFERROR(__xludf.DUMMYFUNCTION("""COMPUTED_VALUE"""),11.0)</f>
        <v>11</v>
      </c>
      <c r="O279" s="5">
        <f>IFERROR(__xludf.DUMMYFUNCTION("""COMPUTED_VALUE"""),0.0)</f>
        <v>0</v>
      </c>
    </row>
    <row r="280">
      <c r="A280" s="1" t="s">
        <v>237</v>
      </c>
      <c r="B280" s="4">
        <v>23.0</v>
      </c>
      <c r="C280" s="1" t="s">
        <v>156</v>
      </c>
      <c r="D280" s="4">
        <v>14.0</v>
      </c>
      <c r="E280" s="4">
        <v>10.0</v>
      </c>
      <c r="F280" s="4">
        <v>7.0</v>
      </c>
      <c r="G280" s="4">
        <v>3.0</v>
      </c>
      <c r="H280" s="4">
        <v>0.0</v>
      </c>
      <c r="I280" s="4">
        <v>61.0</v>
      </c>
      <c r="J280" s="4">
        <v>32.0</v>
      </c>
      <c r="K280" s="4">
        <v>29.0</v>
      </c>
      <c r="L280" s="2" t="s">
        <v>55</v>
      </c>
      <c r="M280" s="5">
        <f>IFERROR(__xludf.DUMMYFUNCTION("""COMPUTED_VALUE"""),17.0)</f>
        <v>17</v>
      </c>
      <c r="N280" s="5">
        <f>IFERROR(__xludf.DUMMYFUNCTION("""COMPUTED_VALUE"""),6.0)</f>
        <v>6</v>
      </c>
      <c r="O280" s="5">
        <f>IFERROR(__xludf.DUMMYFUNCTION("""COMPUTED_VALUE"""),0.0)</f>
        <v>0</v>
      </c>
    </row>
    <row r="281">
      <c r="A281" s="1" t="s">
        <v>237</v>
      </c>
      <c r="B281" s="4">
        <v>24.0</v>
      </c>
      <c r="C281" s="1" t="s">
        <v>96</v>
      </c>
      <c r="D281" s="4">
        <v>14.0</v>
      </c>
      <c r="E281" s="4">
        <v>7.0</v>
      </c>
      <c r="F281" s="4">
        <v>7.0</v>
      </c>
      <c r="G281" s="4">
        <v>0.0</v>
      </c>
      <c r="H281" s="4">
        <v>0.0</v>
      </c>
      <c r="I281" s="4">
        <v>41.0</v>
      </c>
      <c r="J281" s="4">
        <v>16.0</v>
      </c>
      <c r="K281" s="4">
        <v>25.0</v>
      </c>
      <c r="L281" s="2" t="s">
        <v>241</v>
      </c>
      <c r="M281" s="5">
        <f>IFERROR(__xludf.DUMMYFUNCTION("""COMPUTED_VALUE"""),21.0)</f>
        <v>21</v>
      </c>
      <c r="N281" s="5">
        <f>IFERROR(__xludf.DUMMYFUNCTION("""COMPUTED_VALUE"""),2.0)</f>
        <v>2</v>
      </c>
      <c r="O281" s="5">
        <f>IFERROR(__xludf.DUMMYFUNCTION("""COMPUTED_VALUE"""),0.0)</f>
        <v>0</v>
      </c>
    </row>
    <row r="282">
      <c r="A282" s="1" t="s">
        <v>237</v>
      </c>
      <c r="B282" s="4">
        <v>25.0</v>
      </c>
      <c r="C282" s="1" t="s">
        <v>60</v>
      </c>
      <c r="D282" s="4">
        <v>14.0</v>
      </c>
      <c r="E282" s="4">
        <v>10.0</v>
      </c>
      <c r="F282" s="4">
        <v>7.0</v>
      </c>
      <c r="G282" s="4">
        <v>3.0</v>
      </c>
      <c r="H282" s="4">
        <v>0.0</v>
      </c>
      <c r="I282" s="4">
        <v>45.0</v>
      </c>
      <c r="J282" s="4">
        <v>21.0</v>
      </c>
      <c r="K282" s="4">
        <v>24.0</v>
      </c>
      <c r="L282" s="2" t="s">
        <v>19</v>
      </c>
      <c r="M282" s="5">
        <f>IFERROR(__xludf.DUMMYFUNCTION("""COMPUTED_VALUE"""),18.0)</f>
        <v>18</v>
      </c>
      <c r="N282" s="5">
        <f>IFERROR(__xludf.DUMMYFUNCTION("""COMPUTED_VALUE"""),6.0)</f>
        <v>6</v>
      </c>
      <c r="O282" s="5">
        <f>IFERROR(__xludf.DUMMYFUNCTION("""COMPUTED_VALUE"""),0.0)</f>
        <v>0</v>
      </c>
    </row>
    <row r="283">
      <c r="A283" s="1" t="s">
        <v>237</v>
      </c>
      <c r="B283" s="4">
        <v>26.0</v>
      </c>
      <c r="C283" s="1" t="s">
        <v>64</v>
      </c>
      <c r="D283" s="4">
        <v>14.0</v>
      </c>
      <c r="E283" s="4">
        <v>10.0</v>
      </c>
      <c r="F283" s="4">
        <v>7.0</v>
      </c>
      <c r="G283" s="4">
        <v>3.0</v>
      </c>
      <c r="H283" s="4">
        <v>0.0</v>
      </c>
      <c r="I283" s="4">
        <v>48.0</v>
      </c>
      <c r="J283" s="4">
        <v>31.0</v>
      </c>
      <c r="K283" s="4">
        <v>17.0</v>
      </c>
      <c r="L283" s="2" t="s">
        <v>63</v>
      </c>
      <c r="M283" s="5">
        <f>IFERROR(__xludf.DUMMYFUNCTION("""COMPUTED_VALUE"""),16.0)</f>
        <v>16</v>
      </c>
      <c r="N283" s="5">
        <f>IFERROR(__xludf.DUMMYFUNCTION("""COMPUTED_VALUE"""),7.0)</f>
        <v>7</v>
      </c>
      <c r="O283" s="5">
        <f>IFERROR(__xludf.DUMMYFUNCTION("""COMPUTED_VALUE"""),1.0)</f>
        <v>1</v>
      </c>
    </row>
    <row r="284">
      <c r="A284" s="1" t="s">
        <v>237</v>
      </c>
      <c r="B284" s="4">
        <v>27.0</v>
      </c>
      <c r="C284" s="1" t="s">
        <v>123</v>
      </c>
      <c r="D284" s="4">
        <v>14.0</v>
      </c>
      <c r="E284" s="4">
        <v>14.0</v>
      </c>
      <c r="F284" s="4">
        <v>7.0</v>
      </c>
      <c r="G284" s="4">
        <v>7.0</v>
      </c>
      <c r="H284" s="4">
        <v>0.0</v>
      </c>
      <c r="I284" s="4">
        <v>61.0</v>
      </c>
      <c r="J284" s="4">
        <v>51.0</v>
      </c>
      <c r="K284" s="4">
        <v>10.0</v>
      </c>
      <c r="L284" s="2" t="s">
        <v>242</v>
      </c>
      <c r="M284" s="5">
        <f>IFERROR(__xludf.DUMMYFUNCTION("""COMPUTED_VALUE"""),13.0)</f>
        <v>13</v>
      </c>
      <c r="N284" s="5">
        <f>IFERROR(__xludf.DUMMYFUNCTION("""COMPUTED_VALUE"""),7.0)</f>
        <v>7</v>
      </c>
      <c r="O284" s="5">
        <f>IFERROR(__xludf.DUMMYFUNCTION("""COMPUTED_VALUE"""),0.0)</f>
        <v>0</v>
      </c>
    </row>
    <row r="285">
      <c r="A285" s="1" t="s">
        <v>237</v>
      </c>
      <c r="B285" s="4">
        <v>28.0</v>
      </c>
      <c r="C285" s="1" t="s">
        <v>105</v>
      </c>
      <c r="D285" s="4">
        <v>14.0</v>
      </c>
      <c r="E285" s="4">
        <v>10.0</v>
      </c>
      <c r="F285" s="4">
        <v>7.0</v>
      </c>
      <c r="G285" s="4">
        <v>3.0</v>
      </c>
      <c r="H285" s="4">
        <v>0.0</v>
      </c>
      <c r="I285" s="4">
        <v>46.0</v>
      </c>
      <c r="J285" s="4">
        <v>38.0</v>
      </c>
      <c r="K285" s="4">
        <v>8.0</v>
      </c>
      <c r="L285" s="2" t="s">
        <v>19</v>
      </c>
      <c r="M285" s="5">
        <f>IFERROR(__xludf.DUMMYFUNCTION("""COMPUTED_VALUE"""),18.0)</f>
        <v>18</v>
      </c>
      <c r="N285" s="5">
        <f>IFERROR(__xludf.DUMMYFUNCTION("""COMPUTED_VALUE"""),6.0)</f>
        <v>6</v>
      </c>
      <c r="O285" s="5">
        <f>IFERROR(__xludf.DUMMYFUNCTION("""COMPUTED_VALUE"""),0.0)</f>
        <v>0</v>
      </c>
    </row>
    <row r="286">
      <c r="A286" s="1" t="s">
        <v>237</v>
      </c>
      <c r="B286" s="4">
        <v>29.0</v>
      </c>
      <c r="C286" s="1" t="s">
        <v>39</v>
      </c>
      <c r="D286" s="4">
        <v>12.0</v>
      </c>
      <c r="E286" s="4">
        <v>10.0</v>
      </c>
      <c r="F286" s="4">
        <v>6.0</v>
      </c>
      <c r="G286" s="4">
        <v>4.0</v>
      </c>
      <c r="H286" s="4">
        <v>0.0</v>
      </c>
      <c r="I286" s="4">
        <v>54.0</v>
      </c>
      <c r="J286" s="4">
        <v>28.0</v>
      </c>
      <c r="K286" s="4">
        <v>26.0</v>
      </c>
      <c r="L286" s="2" t="s">
        <v>70</v>
      </c>
      <c r="M286" s="5">
        <f>IFERROR(__xludf.DUMMYFUNCTION("""COMPUTED_VALUE"""),16.0)</f>
        <v>16</v>
      </c>
      <c r="N286" s="5">
        <f>IFERROR(__xludf.DUMMYFUNCTION("""COMPUTED_VALUE"""),7.0)</f>
        <v>7</v>
      </c>
      <c r="O286" s="5">
        <f>IFERROR(__xludf.DUMMYFUNCTION("""COMPUTED_VALUE"""),0.0)</f>
        <v>0</v>
      </c>
    </row>
    <row r="287">
      <c r="A287" s="1" t="s">
        <v>237</v>
      </c>
      <c r="B287" s="4">
        <v>30.0</v>
      </c>
      <c r="C287" s="1" t="s">
        <v>56</v>
      </c>
      <c r="D287" s="4">
        <v>12.0</v>
      </c>
      <c r="E287" s="4">
        <v>6.0</v>
      </c>
      <c r="F287" s="4">
        <v>6.0</v>
      </c>
      <c r="G287" s="4">
        <v>0.0</v>
      </c>
      <c r="H287" s="4">
        <v>0.0</v>
      </c>
      <c r="I287" s="4">
        <v>34.0</v>
      </c>
      <c r="J287" s="4">
        <v>8.0</v>
      </c>
      <c r="K287" s="4">
        <v>26.0</v>
      </c>
      <c r="L287" s="2" t="s">
        <v>38</v>
      </c>
      <c r="M287" s="5">
        <f>IFERROR(__xludf.DUMMYFUNCTION("""COMPUTED_VALUE"""),16.0)</f>
        <v>16</v>
      </c>
      <c r="N287" s="5">
        <f>IFERROR(__xludf.DUMMYFUNCTION("""COMPUTED_VALUE"""),8.0)</f>
        <v>8</v>
      </c>
      <c r="O287" s="5">
        <f>IFERROR(__xludf.DUMMYFUNCTION("""COMPUTED_VALUE"""),0.0)</f>
        <v>0</v>
      </c>
    </row>
    <row r="288">
      <c r="A288" s="1" t="s">
        <v>237</v>
      </c>
      <c r="B288" s="4">
        <v>31.0</v>
      </c>
      <c r="C288" s="1" t="s">
        <v>73</v>
      </c>
      <c r="D288" s="4">
        <v>12.0</v>
      </c>
      <c r="E288" s="4">
        <v>10.0</v>
      </c>
      <c r="F288" s="4">
        <v>6.0</v>
      </c>
      <c r="G288" s="4">
        <v>4.0</v>
      </c>
      <c r="H288" s="4">
        <v>0.0</v>
      </c>
      <c r="I288" s="4">
        <v>51.0</v>
      </c>
      <c r="J288" s="4">
        <v>29.0</v>
      </c>
      <c r="K288" s="4">
        <v>22.0</v>
      </c>
      <c r="L288" s="2" t="s">
        <v>243</v>
      </c>
      <c r="M288" s="5">
        <f>IFERROR(__xludf.DUMMYFUNCTION("""COMPUTED_VALUE"""),15.0)</f>
        <v>15</v>
      </c>
      <c r="N288" s="5">
        <f>IFERROR(__xludf.DUMMYFUNCTION("""COMPUTED_VALUE"""),4.0)</f>
        <v>4</v>
      </c>
      <c r="O288" s="5">
        <f>IFERROR(__xludf.DUMMYFUNCTION("""COMPUTED_VALUE"""),0.0)</f>
        <v>0</v>
      </c>
    </row>
    <row r="289">
      <c r="A289" s="1" t="s">
        <v>237</v>
      </c>
      <c r="B289" s="4">
        <v>32.0</v>
      </c>
      <c r="C289" s="1" t="s">
        <v>43</v>
      </c>
      <c r="D289" s="4">
        <v>12.0</v>
      </c>
      <c r="E289" s="4">
        <v>6.0</v>
      </c>
      <c r="F289" s="4">
        <v>6.0</v>
      </c>
      <c r="G289" s="4">
        <v>0.0</v>
      </c>
      <c r="H289" s="4">
        <v>0.0</v>
      </c>
      <c r="I289" s="4">
        <v>31.0</v>
      </c>
      <c r="J289" s="4">
        <v>10.0</v>
      </c>
      <c r="K289" s="4">
        <v>21.0</v>
      </c>
      <c r="L289" s="2" t="s">
        <v>244</v>
      </c>
      <c r="M289" s="5">
        <f>IFERROR(__xludf.DUMMYFUNCTION("""COMPUTED_VALUE"""),15.0)</f>
        <v>15</v>
      </c>
      <c r="N289" s="5">
        <f>IFERROR(__xludf.DUMMYFUNCTION("""COMPUTED_VALUE"""),5.0)</f>
        <v>5</v>
      </c>
      <c r="O289" s="5">
        <f>IFERROR(__xludf.DUMMYFUNCTION("""COMPUTED_VALUE"""),3.0)</f>
        <v>3</v>
      </c>
    </row>
    <row r="290">
      <c r="A290" s="1" t="s">
        <v>237</v>
      </c>
      <c r="B290" s="4">
        <v>33.0</v>
      </c>
      <c r="C290" s="1" t="s">
        <v>83</v>
      </c>
      <c r="D290" s="4">
        <v>11.0</v>
      </c>
      <c r="E290" s="4">
        <v>10.0</v>
      </c>
      <c r="F290" s="4">
        <v>5.0</v>
      </c>
      <c r="G290" s="4">
        <v>4.0</v>
      </c>
      <c r="H290" s="4">
        <v>1.0</v>
      </c>
      <c r="I290" s="4">
        <v>25.0</v>
      </c>
      <c r="J290" s="4">
        <v>30.0</v>
      </c>
      <c r="K290" s="4">
        <v>-5.0</v>
      </c>
      <c r="L290" s="2" t="s">
        <v>179</v>
      </c>
      <c r="M290" s="5">
        <f>IFERROR(__xludf.DUMMYFUNCTION("""COMPUTED_VALUE"""),10.0)</f>
        <v>10</v>
      </c>
      <c r="N290" s="5">
        <f>IFERROR(__xludf.DUMMYFUNCTION("""COMPUTED_VALUE"""),13.0)</f>
        <v>13</v>
      </c>
      <c r="O290" s="5">
        <f>IFERROR(__xludf.DUMMYFUNCTION("""COMPUTED_VALUE"""),2001.0)</f>
        <v>2001</v>
      </c>
    </row>
    <row r="291">
      <c r="A291" s="1" t="s">
        <v>237</v>
      </c>
      <c r="B291" s="4">
        <v>34.0</v>
      </c>
      <c r="C291" s="1" t="s">
        <v>149</v>
      </c>
      <c r="D291" s="4">
        <v>10.0</v>
      </c>
      <c r="E291" s="4">
        <v>7.0</v>
      </c>
      <c r="F291" s="4">
        <v>5.0</v>
      </c>
      <c r="G291" s="4">
        <v>2.0</v>
      </c>
      <c r="H291" s="4">
        <v>0.0</v>
      </c>
      <c r="I291" s="4">
        <v>36.0</v>
      </c>
      <c r="J291" s="4">
        <v>13.0</v>
      </c>
      <c r="K291" s="4">
        <v>23.0</v>
      </c>
      <c r="L291" s="2" t="s">
        <v>89</v>
      </c>
      <c r="M291" s="5">
        <f>IFERROR(__xludf.DUMMYFUNCTION("""COMPUTED_VALUE"""),12.0)</f>
        <v>12</v>
      </c>
      <c r="N291" s="5">
        <f>IFERROR(__xludf.DUMMYFUNCTION("""COMPUTED_VALUE"""),10.0)</f>
        <v>10</v>
      </c>
      <c r="O291" s="5">
        <f>IFERROR(__xludf.DUMMYFUNCTION("""COMPUTED_VALUE"""),2001.0)</f>
        <v>2001</v>
      </c>
    </row>
    <row r="292">
      <c r="A292" s="1" t="s">
        <v>237</v>
      </c>
      <c r="B292" s="4">
        <v>35.0</v>
      </c>
      <c r="C292" s="1" t="s">
        <v>50</v>
      </c>
      <c r="D292" s="4">
        <v>10.0</v>
      </c>
      <c r="E292" s="4">
        <v>10.0</v>
      </c>
      <c r="F292" s="4">
        <v>5.0</v>
      </c>
      <c r="G292" s="4">
        <v>5.0</v>
      </c>
      <c r="H292" s="4">
        <v>0.0</v>
      </c>
      <c r="I292" s="4">
        <v>50.0</v>
      </c>
      <c r="J292" s="4">
        <v>51.0</v>
      </c>
      <c r="K292" s="4">
        <v>-1.0</v>
      </c>
      <c r="L292" s="2" t="s">
        <v>51</v>
      </c>
      <c r="M292" s="5">
        <f>IFERROR(__xludf.DUMMYFUNCTION("""COMPUTED_VALUE"""),15.0)</f>
        <v>15</v>
      </c>
      <c r="N292" s="5">
        <f>IFERROR(__xludf.DUMMYFUNCTION("""COMPUTED_VALUE"""),9.0)</f>
        <v>9</v>
      </c>
      <c r="O292" s="5">
        <f>IFERROR(__xludf.DUMMYFUNCTION("""COMPUTED_VALUE"""),0.0)</f>
        <v>0</v>
      </c>
    </row>
    <row r="293">
      <c r="A293" s="1" t="s">
        <v>237</v>
      </c>
      <c r="B293" s="4">
        <v>36.0</v>
      </c>
      <c r="C293" s="1" t="s">
        <v>37</v>
      </c>
      <c r="D293" s="4">
        <v>10.0</v>
      </c>
      <c r="E293" s="4">
        <v>12.0</v>
      </c>
      <c r="F293" s="4">
        <v>5.0</v>
      </c>
      <c r="G293" s="4">
        <v>7.0</v>
      </c>
      <c r="H293" s="4">
        <v>0.0</v>
      </c>
      <c r="I293" s="4">
        <v>51.0</v>
      </c>
      <c r="J293" s="4">
        <v>59.0</v>
      </c>
      <c r="K293" s="4">
        <v>-8.0</v>
      </c>
      <c r="L293" s="2" t="s">
        <v>118</v>
      </c>
      <c r="M293" s="5">
        <f>IFERROR(__xludf.DUMMYFUNCTION("""COMPUTED_VALUE"""),9.0)</f>
        <v>9</v>
      </c>
      <c r="N293" s="5">
        <f>IFERROR(__xludf.DUMMYFUNCTION("""COMPUTED_VALUE"""),15.0)</f>
        <v>15</v>
      </c>
      <c r="O293" s="5">
        <f>IFERROR(__xludf.DUMMYFUNCTION("""COMPUTED_VALUE"""),2000.0)</f>
        <v>2000</v>
      </c>
    </row>
    <row r="294">
      <c r="A294" s="1" t="s">
        <v>237</v>
      </c>
      <c r="B294" s="4">
        <v>37.0</v>
      </c>
      <c r="C294" s="1" t="s">
        <v>117</v>
      </c>
      <c r="D294" s="4">
        <v>10.0</v>
      </c>
      <c r="E294" s="4">
        <v>10.0</v>
      </c>
      <c r="F294" s="4">
        <v>5.0</v>
      </c>
      <c r="G294" s="4">
        <v>5.0</v>
      </c>
      <c r="H294" s="4">
        <v>0.0</v>
      </c>
      <c r="I294" s="4">
        <v>24.0</v>
      </c>
      <c r="J294" s="4">
        <v>36.0</v>
      </c>
      <c r="K294" s="4">
        <v>-12.0</v>
      </c>
      <c r="L294" s="2" t="s">
        <v>104</v>
      </c>
      <c r="M294" s="5">
        <f>IFERROR(__xludf.DUMMYFUNCTION("""COMPUTED_VALUE"""),11.0)</f>
        <v>11</v>
      </c>
      <c r="N294" s="5">
        <f>IFERROR(__xludf.DUMMYFUNCTION("""COMPUTED_VALUE"""),11.0)</f>
        <v>11</v>
      </c>
      <c r="O294" s="5">
        <f>IFERROR(__xludf.DUMMYFUNCTION("""COMPUTED_VALUE"""),2000.0)</f>
        <v>2000</v>
      </c>
    </row>
    <row r="295">
      <c r="A295" s="1" t="s">
        <v>237</v>
      </c>
      <c r="B295" s="4">
        <v>38.0</v>
      </c>
      <c r="C295" s="1" t="s">
        <v>86</v>
      </c>
      <c r="D295" s="4">
        <v>10.0</v>
      </c>
      <c r="E295" s="4">
        <v>14.0</v>
      </c>
      <c r="F295" s="4">
        <v>5.0</v>
      </c>
      <c r="G295" s="4">
        <v>9.0</v>
      </c>
      <c r="H295" s="4">
        <v>0.0</v>
      </c>
      <c r="I295" s="4">
        <v>37.0</v>
      </c>
      <c r="J295" s="4">
        <v>61.0</v>
      </c>
      <c r="K295" s="4">
        <v>-24.0</v>
      </c>
      <c r="L295" s="2" t="s">
        <v>229</v>
      </c>
      <c r="M295" s="5">
        <f>IFERROR(__xludf.DUMMYFUNCTION("""COMPUTED_VALUE"""),6.0)</f>
        <v>6</v>
      </c>
      <c r="N295" s="5">
        <f>IFERROR(__xludf.DUMMYFUNCTION("""COMPUTED_VALUE"""),17.0)</f>
        <v>17</v>
      </c>
      <c r="O295" s="5">
        <f>IFERROR(__xludf.DUMMYFUNCTION("""COMPUTED_VALUE"""),2000.0)</f>
        <v>2000</v>
      </c>
    </row>
    <row r="296">
      <c r="A296" s="1" t="s">
        <v>237</v>
      </c>
      <c r="B296" s="4">
        <v>39.0</v>
      </c>
      <c r="C296" s="1" t="s">
        <v>36</v>
      </c>
      <c r="D296" s="4">
        <v>9.0</v>
      </c>
      <c r="E296" s="4">
        <v>7.0</v>
      </c>
      <c r="F296" s="4">
        <v>4.0</v>
      </c>
      <c r="G296" s="4">
        <v>2.0</v>
      </c>
      <c r="H296" s="4">
        <v>1.0</v>
      </c>
      <c r="I296" s="4">
        <v>15.0</v>
      </c>
      <c r="J296" s="4">
        <v>10.0</v>
      </c>
      <c r="K296" s="4">
        <v>5.0</v>
      </c>
      <c r="L296" s="2" t="s">
        <v>40</v>
      </c>
      <c r="M296" s="5">
        <f>IFERROR(__xludf.DUMMYFUNCTION("""COMPUTED_VALUE"""),17.0)</f>
        <v>17</v>
      </c>
      <c r="N296" s="5">
        <f>IFERROR(__xludf.DUMMYFUNCTION("""COMPUTED_VALUE"""),6.0)</f>
        <v>6</v>
      </c>
      <c r="O296" s="5">
        <f>IFERROR(__xludf.DUMMYFUNCTION("""COMPUTED_VALUE"""),1.0)</f>
        <v>1</v>
      </c>
    </row>
    <row r="297">
      <c r="A297" s="1" t="s">
        <v>237</v>
      </c>
      <c r="B297" s="4">
        <v>40.0</v>
      </c>
      <c r="C297" s="1" t="s">
        <v>121</v>
      </c>
      <c r="D297" s="4">
        <v>9.0</v>
      </c>
      <c r="E297" s="4">
        <v>10.0</v>
      </c>
      <c r="F297" s="4">
        <v>4.0</v>
      </c>
      <c r="G297" s="4">
        <v>5.0</v>
      </c>
      <c r="H297" s="4">
        <v>1.0</v>
      </c>
      <c r="I297" s="4">
        <v>33.0</v>
      </c>
      <c r="J297" s="4">
        <v>37.0</v>
      </c>
      <c r="K297" s="4">
        <v>-4.0</v>
      </c>
      <c r="L297" s="2" t="s">
        <v>200</v>
      </c>
      <c r="M297" s="5">
        <f>IFERROR(__xludf.DUMMYFUNCTION("""COMPUTED_VALUE"""),6.0)</f>
        <v>6</v>
      </c>
      <c r="N297" s="5">
        <f>IFERROR(__xludf.DUMMYFUNCTION("""COMPUTED_VALUE"""),16.0)</f>
        <v>16</v>
      </c>
      <c r="O297" s="5">
        <f>IFERROR(__xludf.DUMMYFUNCTION("""COMPUTED_VALUE"""),2001.0)</f>
        <v>2001</v>
      </c>
    </row>
    <row r="298">
      <c r="A298" s="1" t="s">
        <v>237</v>
      </c>
      <c r="B298" s="4">
        <v>41.0</v>
      </c>
      <c r="C298" s="1" t="s">
        <v>119</v>
      </c>
      <c r="D298" s="4">
        <v>9.0</v>
      </c>
      <c r="E298" s="4">
        <v>12.0</v>
      </c>
      <c r="F298" s="4">
        <v>4.0</v>
      </c>
      <c r="G298" s="4">
        <v>7.0</v>
      </c>
      <c r="H298" s="4">
        <v>1.0</v>
      </c>
      <c r="I298" s="4">
        <v>36.0</v>
      </c>
      <c r="J298" s="4">
        <v>48.0</v>
      </c>
      <c r="K298" s="4">
        <v>-12.0</v>
      </c>
      <c r="L298" s="2" t="s">
        <v>245</v>
      </c>
      <c r="M298" s="5">
        <f>IFERROR(__xludf.DUMMYFUNCTION("""COMPUTED_VALUE"""),8.0)</f>
        <v>8</v>
      </c>
      <c r="N298" s="5">
        <f>IFERROR(__xludf.DUMMYFUNCTION("""COMPUTED_VALUE"""),12.0)</f>
        <v>12</v>
      </c>
      <c r="O298" s="5">
        <f>IFERROR(__xludf.DUMMYFUNCTION("""COMPUTED_VALUE"""),2001.0)</f>
        <v>2001</v>
      </c>
    </row>
    <row r="299">
      <c r="A299" s="1" t="s">
        <v>237</v>
      </c>
      <c r="B299" s="4">
        <v>42.0</v>
      </c>
      <c r="C299" s="1" t="s">
        <v>90</v>
      </c>
      <c r="D299" s="4">
        <v>8.0</v>
      </c>
      <c r="E299" s="4">
        <v>7.0</v>
      </c>
      <c r="F299" s="4">
        <v>4.0</v>
      </c>
      <c r="G299" s="4">
        <v>3.0</v>
      </c>
      <c r="H299" s="4">
        <v>0.0</v>
      </c>
      <c r="I299" s="4">
        <v>32.0</v>
      </c>
      <c r="J299" s="4">
        <v>21.0</v>
      </c>
      <c r="K299" s="4">
        <v>11.0</v>
      </c>
      <c r="L299" s="2" t="s">
        <v>38</v>
      </c>
      <c r="M299" s="5">
        <f>IFERROR(__xludf.DUMMYFUNCTION("""COMPUTED_VALUE"""),16.0)</f>
        <v>16</v>
      </c>
      <c r="N299" s="5">
        <f>IFERROR(__xludf.DUMMYFUNCTION("""COMPUTED_VALUE"""),8.0)</f>
        <v>8</v>
      </c>
      <c r="O299" s="5">
        <f>IFERROR(__xludf.DUMMYFUNCTION("""COMPUTED_VALUE"""),0.0)</f>
        <v>0</v>
      </c>
    </row>
    <row r="300">
      <c r="A300" s="1" t="s">
        <v>237</v>
      </c>
      <c r="B300" s="4">
        <v>43.0</v>
      </c>
      <c r="C300" s="1" t="s">
        <v>114</v>
      </c>
      <c r="D300" s="4">
        <v>8.0</v>
      </c>
      <c r="E300" s="4">
        <v>4.0</v>
      </c>
      <c r="F300" s="4">
        <v>4.0</v>
      </c>
      <c r="G300" s="4">
        <v>0.0</v>
      </c>
      <c r="H300" s="4">
        <v>0.0</v>
      </c>
      <c r="I300" s="4">
        <v>23.0</v>
      </c>
      <c r="J300" s="4">
        <v>12.0</v>
      </c>
      <c r="K300" s="4">
        <v>11.0</v>
      </c>
      <c r="L300" s="2" t="s">
        <v>104</v>
      </c>
      <c r="M300" s="5">
        <f>IFERROR(__xludf.DUMMYFUNCTION("""COMPUTED_VALUE"""),11.0)</f>
        <v>11</v>
      </c>
      <c r="N300" s="5">
        <f>IFERROR(__xludf.DUMMYFUNCTION("""COMPUTED_VALUE"""),11.0)</f>
        <v>11</v>
      </c>
      <c r="O300" s="5">
        <f>IFERROR(__xludf.DUMMYFUNCTION("""COMPUTED_VALUE"""),2000.0)</f>
        <v>2000</v>
      </c>
    </row>
    <row r="301">
      <c r="A301" s="1" t="s">
        <v>237</v>
      </c>
      <c r="B301" s="4">
        <v>44.0</v>
      </c>
      <c r="C301" s="1" t="s">
        <v>144</v>
      </c>
      <c r="D301" s="4">
        <v>8.0</v>
      </c>
      <c r="E301" s="4">
        <v>4.0</v>
      </c>
      <c r="F301" s="4">
        <v>4.0</v>
      </c>
      <c r="G301" s="4">
        <v>0.0</v>
      </c>
      <c r="H301" s="4">
        <v>0.0</v>
      </c>
      <c r="I301" s="4">
        <v>16.0</v>
      </c>
      <c r="J301" s="4">
        <v>6.0</v>
      </c>
      <c r="K301" s="4">
        <v>10.0</v>
      </c>
      <c r="L301" s="2" t="s">
        <v>186</v>
      </c>
      <c r="M301" s="5">
        <f>IFERROR(__xludf.DUMMYFUNCTION("""COMPUTED_VALUE"""),10.0)</f>
        <v>10</v>
      </c>
      <c r="N301" s="5">
        <f>IFERROR(__xludf.DUMMYFUNCTION("""COMPUTED_VALUE"""),14.0)</f>
        <v>14</v>
      </c>
      <c r="O301" s="5">
        <f>IFERROR(__xludf.DUMMYFUNCTION("""COMPUTED_VALUE"""),2000.0)</f>
        <v>2000</v>
      </c>
    </row>
    <row r="302">
      <c r="A302" s="1" t="s">
        <v>237</v>
      </c>
      <c r="B302" s="4">
        <v>45.0</v>
      </c>
      <c r="C302" s="1" t="s">
        <v>113</v>
      </c>
      <c r="D302" s="4">
        <v>8.0</v>
      </c>
      <c r="E302" s="4">
        <v>7.0</v>
      </c>
      <c r="F302" s="4">
        <v>4.0</v>
      </c>
      <c r="G302" s="4">
        <v>3.0</v>
      </c>
      <c r="H302" s="4">
        <v>0.0</v>
      </c>
      <c r="I302" s="4">
        <v>21.0</v>
      </c>
      <c r="J302" s="4">
        <v>11.0</v>
      </c>
      <c r="K302" s="4">
        <v>10.0</v>
      </c>
      <c r="L302" s="2" t="s">
        <v>17</v>
      </c>
      <c r="M302" s="5">
        <f>IFERROR(__xludf.DUMMYFUNCTION("""COMPUTED_VALUE"""),18.0)</f>
        <v>18</v>
      </c>
      <c r="N302" s="5">
        <f>IFERROR(__xludf.DUMMYFUNCTION("""COMPUTED_VALUE"""),5.0)</f>
        <v>5</v>
      </c>
      <c r="O302" s="5">
        <f>IFERROR(__xludf.DUMMYFUNCTION("""COMPUTED_VALUE"""),0.0)</f>
        <v>0</v>
      </c>
    </row>
    <row r="303">
      <c r="A303" s="1" t="s">
        <v>237</v>
      </c>
      <c r="B303" s="4">
        <v>46.0</v>
      </c>
      <c r="C303" s="1" t="s">
        <v>69</v>
      </c>
      <c r="D303" s="4">
        <v>8.0</v>
      </c>
      <c r="E303" s="4">
        <v>7.0</v>
      </c>
      <c r="F303" s="4">
        <v>4.0</v>
      </c>
      <c r="G303" s="4">
        <v>3.0</v>
      </c>
      <c r="H303" s="4">
        <v>0.0</v>
      </c>
      <c r="I303" s="4">
        <v>24.0</v>
      </c>
      <c r="J303" s="4">
        <v>22.0</v>
      </c>
      <c r="K303" s="4">
        <v>2.0</v>
      </c>
      <c r="L303" s="2" t="s">
        <v>167</v>
      </c>
      <c r="M303" s="5">
        <f>IFERROR(__xludf.DUMMYFUNCTION("""COMPUTED_VALUE"""),15.0)</f>
        <v>15</v>
      </c>
      <c r="N303" s="5">
        <f>IFERROR(__xludf.DUMMYFUNCTION("""COMPUTED_VALUE"""),7.0)</f>
        <v>7</v>
      </c>
      <c r="O303" s="5">
        <f>IFERROR(__xludf.DUMMYFUNCTION("""COMPUTED_VALUE"""),0.0)</f>
        <v>0</v>
      </c>
    </row>
    <row r="304">
      <c r="A304" s="1" t="s">
        <v>237</v>
      </c>
      <c r="B304" s="4">
        <v>47.0</v>
      </c>
      <c r="C304" s="1" t="s">
        <v>16</v>
      </c>
      <c r="D304" s="4">
        <v>8.0</v>
      </c>
      <c r="E304" s="4">
        <v>14.0</v>
      </c>
      <c r="F304" s="4">
        <v>4.0</v>
      </c>
      <c r="G304" s="4">
        <v>10.0</v>
      </c>
      <c r="H304" s="4">
        <v>0.0</v>
      </c>
      <c r="I304" s="4">
        <v>49.0</v>
      </c>
      <c r="J304" s="4">
        <v>52.0</v>
      </c>
      <c r="K304" s="4">
        <v>-3.0</v>
      </c>
      <c r="L304" s="2" t="s">
        <v>95</v>
      </c>
      <c r="M304" s="5">
        <f>IFERROR(__xludf.DUMMYFUNCTION("""COMPUTED_VALUE"""),9.0)</f>
        <v>9</v>
      </c>
      <c r="N304" s="5">
        <f>IFERROR(__xludf.DUMMYFUNCTION("""COMPUTED_VALUE"""),14.0)</f>
        <v>14</v>
      </c>
      <c r="O304" s="5">
        <f>IFERROR(__xludf.DUMMYFUNCTION("""COMPUTED_VALUE"""),2000.0)</f>
        <v>2000</v>
      </c>
    </row>
    <row r="305">
      <c r="A305" s="1" t="s">
        <v>237</v>
      </c>
      <c r="B305" s="4">
        <v>48.0</v>
      </c>
      <c r="C305" s="1" t="s">
        <v>158</v>
      </c>
      <c r="D305" s="4">
        <v>8.0</v>
      </c>
      <c r="E305" s="4">
        <v>10.0</v>
      </c>
      <c r="F305" s="4">
        <v>4.0</v>
      </c>
      <c r="G305" s="4">
        <v>6.0</v>
      </c>
      <c r="H305" s="4">
        <v>0.0</v>
      </c>
      <c r="I305" s="4">
        <v>33.0</v>
      </c>
      <c r="J305" s="4">
        <v>39.0</v>
      </c>
      <c r="K305" s="4">
        <v>-6.0</v>
      </c>
      <c r="L305" s="2" t="s">
        <v>82</v>
      </c>
      <c r="M305" s="5">
        <f>IFERROR(__xludf.DUMMYFUNCTION("""COMPUTED_VALUE"""),11.0)</f>
        <v>11</v>
      </c>
      <c r="N305" s="5">
        <f>IFERROR(__xludf.DUMMYFUNCTION("""COMPUTED_VALUE"""),12.0)</f>
        <v>12</v>
      </c>
      <c r="O305" s="5">
        <f>IFERROR(__xludf.DUMMYFUNCTION("""COMPUTED_VALUE"""),2001.0)</f>
        <v>2001</v>
      </c>
    </row>
    <row r="306">
      <c r="A306" s="1" t="s">
        <v>237</v>
      </c>
      <c r="B306" s="4">
        <v>49.0</v>
      </c>
      <c r="C306" s="1" t="s">
        <v>159</v>
      </c>
      <c r="D306" s="4">
        <v>8.0</v>
      </c>
      <c r="E306" s="4">
        <v>10.0</v>
      </c>
      <c r="F306" s="4">
        <v>3.0</v>
      </c>
      <c r="G306" s="4">
        <v>5.0</v>
      </c>
      <c r="H306" s="4">
        <v>2.0</v>
      </c>
      <c r="I306" s="4">
        <v>40.0</v>
      </c>
      <c r="J306" s="4">
        <v>56.0</v>
      </c>
      <c r="K306" s="4">
        <v>-16.0</v>
      </c>
      <c r="L306" s="2" t="s">
        <v>246</v>
      </c>
      <c r="M306" s="5">
        <f>IFERROR(__xludf.DUMMYFUNCTION("""COMPUTED_VALUE"""),8.0)</f>
        <v>8</v>
      </c>
      <c r="N306" s="5">
        <f>IFERROR(__xludf.DUMMYFUNCTION("""COMPUTED_VALUE"""),13.0)</f>
        <v>13</v>
      </c>
      <c r="O306" s="5">
        <f>IFERROR(__xludf.DUMMYFUNCTION("""COMPUTED_VALUE"""),2002.0)</f>
        <v>2002</v>
      </c>
    </row>
    <row r="307">
      <c r="A307" s="1" t="s">
        <v>237</v>
      </c>
      <c r="B307" s="4">
        <v>50.0</v>
      </c>
      <c r="C307" s="1" t="s">
        <v>31</v>
      </c>
      <c r="D307" s="4">
        <v>7.0</v>
      </c>
      <c r="E307" s="4">
        <v>7.0</v>
      </c>
      <c r="F307" s="4">
        <v>3.0</v>
      </c>
      <c r="G307" s="4">
        <v>3.0</v>
      </c>
      <c r="H307" s="4">
        <v>1.0</v>
      </c>
      <c r="I307" s="4">
        <v>25.0</v>
      </c>
      <c r="J307" s="4">
        <v>19.0</v>
      </c>
      <c r="K307" s="4">
        <v>6.0</v>
      </c>
      <c r="L307" s="2" t="s">
        <v>177</v>
      </c>
      <c r="M307" s="5">
        <f>IFERROR(__xludf.DUMMYFUNCTION("""COMPUTED_VALUE"""),13.0)</f>
        <v>13</v>
      </c>
      <c r="N307" s="5">
        <f>IFERROR(__xludf.DUMMYFUNCTION("""COMPUTED_VALUE"""),10.0)</f>
        <v>10</v>
      </c>
      <c r="O307" s="5">
        <f>IFERROR(__xludf.DUMMYFUNCTION("""COMPUTED_VALUE"""),1.0)</f>
        <v>1</v>
      </c>
    </row>
    <row r="308">
      <c r="A308" s="1" t="s">
        <v>237</v>
      </c>
      <c r="B308" s="4">
        <v>51.0</v>
      </c>
      <c r="C308" s="1" t="s">
        <v>137</v>
      </c>
      <c r="D308" s="4">
        <v>7.0</v>
      </c>
      <c r="E308" s="4">
        <v>13.0</v>
      </c>
      <c r="F308" s="4">
        <v>3.0</v>
      </c>
      <c r="G308" s="4">
        <v>9.0</v>
      </c>
      <c r="H308" s="4">
        <v>1.0</v>
      </c>
      <c r="I308" s="4">
        <v>46.0</v>
      </c>
      <c r="J308" s="4">
        <v>72.0</v>
      </c>
      <c r="K308" s="4">
        <v>-26.0</v>
      </c>
      <c r="L308" s="2" t="s">
        <v>247</v>
      </c>
      <c r="M308" s="5">
        <f>IFERROR(__xludf.DUMMYFUNCTION("""COMPUTED_VALUE"""),9.0)</f>
        <v>9</v>
      </c>
      <c r="N308" s="5">
        <f>IFERROR(__xludf.DUMMYFUNCTION("""COMPUTED_VALUE"""),13.0)</f>
        <v>13</v>
      </c>
      <c r="O308" s="5">
        <f>IFERROR(__xludf.DUMMYFUNCTION("""COMPUTED_VALUE"""),2001.0)</f>
        <v>2001</v>
      </c>
    </row>
    <row r="309">
      <c r="A309" s="1" t="s">
        <v>237</v>
      </c>
      <c r="B309" s="4">
        <v>52.0</v>
      </c>
      <c r="C309" s="1" t="s">
        <v>110</v>
      </c>
      <c r="D309" s="4">
        <v>6.0</v>
      </c>
      <c r="E309" s="4">
        <v>3.0</v>
      </c>
      <c r="F309" s="4">
        <v>3.0</v>
      </c>
      <c r="G309" s="4">
        <v>0.0</v>
      </c>
      <c r="H309" s="4">
        <v>0.0</v>
      </c>
      <c r="I309" s="4">
        <v>24.0</v>
      </c>
      <c r="J309" s="4">
        <v>11.0</v>
      </c>
      <c r="K309" s="4">
        <v>13.0</v>
      </c>
      <c r="L309" s="2" t="s">
        <v>248</v>
      </c>
      <c r="M309" s="5">
        <f>IFERROR(__xludf.DUMMYFUNCTION("""COMPUTED_VALUE"""),9.0)</f>
        <v>9</v>
      </c>
      <c r="N309" s="5">
        <f>IFERROR(__xludf.DUMMYFUNCTION("""COMPUTED_VALUE"""),9.0)</f>
        <v>9</v>
      </c>
      <c r="O309" s="5">
        <f>IFERROR(__xludf.DUMMYFUNCTION("""COMPUTED_VALUE"""),2000.0)</f>
        <v>2000</v>
      </c>
    </row>
    <row r="310">
      <c r="A310" s="1" t="s">
        <v>237</v>
      </c>
      <c r="B310" s="4">
        <v>53.0</v>
      </c>
      <c r="C310" s="1" t="s">
        <v>131</v>
      </c>
      <c r="D310" s="4">
        <v>6.0</v>
      </c>
      <c r="E310" s="4">
        <v>4.0</v>
      </c>
      <c r="F310" s="4">
        <v>3.0</v>
      </c>
      <c r="G310" s="4">
        <v>1.0</v>
      </c>
      <c r="H310" s="4">
        <v>0.0</v>
      </c>
      <c r="I310" s="4">
        <v>17.0</v>
      </c>
      <c r="J310" s="4">
        <v>11.0</v>
      </c>
      <c r="K310" s="4">
        <v>6.0</v>
      </c>
      <c r="L310" s="2" t="s">
        <v>139</v>
      </c>
      <c r="M310" s="5">
        <f>IFERROR(__xludf.DUMMYFUNCTION("""COMPUTED_VALUE"""),6.0)</f>
        <v>6</v>
      </c>
      <c r="N310" s="5">
        <f>IFERROR(__xludf.DUMMYFUNCTION("""COMPUTED_VALUE"""),18.0)</f>
        <v>18</v>
      </c>
      <c r="O310" s="5">
        <f>IFERROR(__xludf.DUMMYFUNCTION("""COMPUTED_VALUE"""),2000.0)</f>
        <v>2000</v>
      </c>
    </row>
    <row r="311">
      <c r="A311" s="1" t="s">
        <v>237</v>
      </c>
      <c r="B311" s="4">
        <v>54.0</v>
      </c>
      <c r="C311" s="1" t="s">
        <v>141</v>
      </c>
      <c r="D311" s="4">
        <v>6.0</v>
      </c>
      <c r="E311" s="4">
        <v>6.0</v>
      </c>
      <c r="F311" s="4">
        <v>3.0</v>
      </c>
      <c r="G311" s="4">
        <v>3.0</v>
      </c>
      <c r="H311" s="4">
        <v>0.0</v>
      </c>
      <c r="I311" s="4">
        <v>16.0</v>
      </c>
      <c r="J311" s="4">
        <v>20.0</v>
      </c>
      <c r="K311" s="4">
        <v>-4.0</v>
      </c>
      <c r="L311" s="2" t="s">
        <v>186</v>
      </c>
      <c r="M311" s="5">
        <f>IFERROR(__xludf.DUMMYFUNCTION("""COMPUTED_VALUE"""),10.0)</f>
        <v>10</v>
      </c>
      <c r="N311" s="5">
        <f>IFERROR(__xludf.DUMMYFUNCTION("""COMPUTED_VALUE"""),14.0)</f>
        <v>14</v>
      </c>
      <c r="O311" s="5">
        <f>IFERROR(__xludf.DUMMYFUNCTION("""COMPUTED_VALUE"""),2000.0)</f>
        <v>2000</v>
      </c>
    </row>
    <row r="312">
      <c r="A312" s="1" t="s">
        <v>237</v>
      </c>
      <c r="B312" s="4">
        <v>55.0</v>
      </c>
      <c r="C312" s="1" t="s">
        <v>116</v>
      </c>
      <c r="D312" s="4">
        <v>6.0</v>
      </c>
      <c r="E312" s="4">
        <v>10.0</v>
      </c>
      <c r="F312" s="4">
        <v>2.0</v>
      </c>
      <c r="G312" s="4">
        <v>6.0</v>
      </c>
      <c r="H312" s="4">
        <v>2.0</v>
      </c>
      <c r="I312" s="4">
        <v>22.0</v>
      </c>
      <c r="J312" s="4">
        <v>30.0</v>
      </c>
      <c r="K312" s="4">
        <v>-8.0</v>
      </c>
      <c r="L312" s="2" t="s">
        <v>249</v>
      </c>
      <c r="M312" s="5">
        <f>IFERROR(__xludf.DUMMYFUNCTION("""COMPUTED_VALUE"""),7.0)</f>
        <v>7</v>
      </c>
      <c r="N312" s="5">
        <f>IFERROR(__xludf.DUMMYFUNCTION("""COMPUTED_VALUE"""),14.0)</f>
        <v>14</v>
      </c>
      <c r="O312" s="5">
        <f>IFERROR(__xludf.DUMMYFUNCTION("""COMPUTED_VALUE"""),2003.0)</f>
        <v>2003</v>
      </c>
    </row>
    <row r="313">
      <c r="A313" s="1" t="s">
        <v>237</v>
      </c>
      <c r="B313" s="4">
        <v>56.0</v>
      </c>
      <c r="C313" s="1" t="s">
        <v>92</v>
      </c>
      <c r="D313" s="4">
        <v>6.0</v>
      </c>
      <c r="E313" s="4">
        <v>10.0</v>
      </c>
      <c r="F313" s="4">
        <v>2.0</v>
      </c>
      <c r="G313" s="4">
        <v>6.0</v>
      </c>
      <c r="H313" s="4">
        <v>2.0</v>
      </c>
      <c r="I313" s="4">
        <v>26.0</v>
      </c>
      <c r="J313" s="4">
        <v>40.0</v>
      </c>
      <c r="K313" s="4">
        <v>-14.0</v>
      </c>
      <c r="L313" s="2" t="s">
        <v>250</v>
      </c>
      <c r="M313" s="5">
        <f>IFERROR(__xludf.DUMMYFUNCTION("""COMPUTED_VALUE"""),2.0)</f>
        <v>2</v>
      </c>
      <c r="N313" s="5">
        <f>IFERROR(__xludf.DUMMYFUNCTION("""COMPUTED_VALUE"""),20.0)</f>
        <v>20</v>
      </c>
      <c r="O313" s="5">
        <f>IFERROR(__xludf.DUMMYFUNCTION("""COMPUTED_VALUE"""),2002.0)</f>
        <v>2002</v>
      </c>
    </row>
    <row r="314">
      <c r="A314" s="1" t="s">
        <v>237</v>
      </c>
      <c r="B314" s="4">
        <v>57.0</v>
      </c>
      <c r="C314" s="1" t="s">
        <v>88</v>
      </c>
      <c r="D314" s="4">
        <v>6.0</v>
      </c>
      <c r="E314" s="4">
        <v>8.0</v>
      </c>
      <c r="F314" s="4">
        <v>3.0</v>
      </c>
      <c r="G314" s="4">
        <v>5.0</v>
      </c>
      <c r="H314" s="4">
        <v>0.0</v>
      </c>
      <c r="I314" s="4">
        <v>23.0</v>
      </c>
      <c r="J314" s="4">
        <v>38.0</v>
      </c>
      <c r="K314" s="4">
        <v>-15.0</v>
      </c>
      <c r="L314" s="2" t="s">
        <v>82</v>
      </c>
      <c r="M314" s="5">
        <f>IFERROR(__xludf.DUMMYFUNCTION("""COMPUTED_VALUE"""),11.0)</f>
        <v>11</v>
      </c>
      <c r="N314" s="5">
        <f>IFERROR(__xludf.DUMMYFUNCTION("""COMPUTED_VALUE"""),12.0)</f>
        <v>12</v>
      </c>
      <c r="O314" s="5">
        <f>IFERROR(__xludf.DUMMYFUNCTION("""COMPUTED_VALUE"""),2001.0)</f>
        <v>2001</v>
      </c>
    </row>
    <row r="315">
      <c r="A315" s="1" t="s">
        <v>237</v>
      </c>
      <c r="B315" s="4">
        <v>58.0</v>
      </c>
      <c r="C315" s="1" t="s">
        <v>29</v>
      </c>
      <c r="D315" s="4">
        <v>6.0</v>
      </c>
      <c r="E315" s="4">
        <v>10.0</v>
      </c>
      <c r="F315" s="4">
        <v>3.0</v>
      </c>
      <c r="G315" s="4">
        <v>7.0</v>
      </c>
      <c r="H315" s="4">
        <v>0.0</v>
      </c>
      <c r="I315" s="4">
        <v>44.0</v>
      </c>
      <c r="J315" s="4">
        <v>59.0</v>
      </c>
      <c r="K315" s="4">
        <v>-15.0</v>
      </c>
      <c r="L315" s="2" t="s">
        <v>118</v>
      </c>
      <c r="M315" s="5">
        <f>IFERROR(__xludf.DUMMYFUNCTION("""COMPUTED_VALUE"""),9.0)</f>
        <v>9</v>
      </c>
      <c r="N315" s="5">
        <f>IFERROR(__xludf.DUMMYFUNCTION("""COMPUTED_VALUE"""),15.0)</f>
        <v>15</v>
      </c>
      <c r="O315" s="5">
        <f>IFERROR(__xludf.DUMMYFUNCTION("""COMPUTED_VALUE"""),2000.0)</f>
        <v>2000</v>
      </c>
    </row>
    <row r="316">
      <c r="A316" s="1" t="s">
        <v>237</v>
      </c>
      <c r="B316" s="4">
        <v>59.0</v>
      </c>
      <c r="C316" s="1" t="s">
        <v>98</v>
      </c>
      <c r="D316" s="4">
        <v>5.0</v>
      </c>
      <c r="E316" s="4">
        <v>7.0</v>
      </c>
      <c r="F316" s="4">
        <v>2.0</v>
      </c>
      <c r="G316" s="4">
        <v>4.0</v>
      </c>
      <c r="H316" s="4">
        <v>1.0</v>
      </c>
      <c r="I316" s="4">
        <v>19.0</v>
      </c>
      <c r="J316" s="4">
        <v>26.0</v>
      </c>
      <c r="K316" s="4">
        <v>-7.0</v>
      </c>
      <c r="L316" s="2" t="s">
        <v>176</v>
      </c>
      <c r="M316" s="5">
        <f>IFERROR(__xludf.DUMMYFUNCTION("""COMPUTED_VALUE"""),11.0)</f>
        <v>11</v>
      </c>
      <c r="N316" s="5">
        <f>IFERROR(__xludf.DUMMYFUNCTION("""COMPUTED_VALUE"""),11.0)</f>
        <v>11</v>
      </c>
      <c r="O316" s="5">
        <f>IFERROR(__xludf.DUMMYFUNCTION("""COMPUTED_VALUE"""),2001.0)</f>
        <v>2001</v>
      </c>
    </row>
    <row r="317">
      <c r="A317" s="1" t="s">
        <v>237</v>
      </c>
      <c r="B317" s="4">
        <v>60.0</v>
      </c>
      <c r="C317" s="1" t="s">
        <v>108</v>
      </c>
      <c r="D317" s="4">
        <v>4.0</v>
      </c>
      <c r="E317" s="4">
        <v>4.0</v>
      </c>
      <c r="F317" s="4">
        <v>2.0</v>
      </c>
      <c r="G317" s="4">
        <v>2.0</v>
      </c>
      <c r="H317" s="4">
        <v>0.0</v>
      </c>
      <c r="I317" s="4">
        <v>21.0</v>
      </c>
      <c r="J317" s="4">
        <v>6.0</v>
      </c>
      <c r="K317" s="4">
        <v>15.0</v>
      </c>
      <c r="L317" s="2" t="s">
        <v>251</v>
      </c>
      <c r="M317" s="5">
        <f>IFERROR(__xludf.DUMMYFUNCTION("""COMPUTED_VALUE"""),16.0)</f>
        <v>16</v>
      </c>
      <c r="N317" s="5">
        <f>IFERROR(__xludf.DUMMYFUNCTION("""COMPUTED_VALUE"""),5.0)</f>
        <v>5</v>
      </c>
      <c r="O317" s="5">
        <f>IFERROR(__xludf.DUMMYFUNCTION("""COMPUTED_VALUE"""),0.0)</f>
        <v>0</v>
      </c>
    </row>
    <row r="318">
      <c r="A318" s="1" t="s">
        <v>237</v>
      </c>
      <c r="B318" s="4">
        <v>61.0</v>
      </c>
      <c r="C318" s="1" t="s">
        <v>130</v>
      </c>
      <c r="D318" s="4">
        <v>4.0</v>
      </c>
      <c r="E318" s="4">
        <v>4.0</v>
      </c>
      <c r="F318" s="4">
        <v>2.0</v>
      </c>
      <c r="G318" s="4">
        <v>2.0</v>
      </c>
      <c r="H318" s="4">
        <v>0.0</v>
      </c>
      <c r="I318" s="4">
        <v>17.0</v>
      </c>
      <c r="J318" s="4">
        <v>12.0</v>
      </c>
      <c r="K318" s="4">
        <v>5.0</v>
      </c>
      <c r="L318" s="2" t="s">
        <v>95</v>
      </c>
      <c r="M318" s="5">
        <f>IFERROR(__xludf.DUMMYFUNCTION("""COMPUTED_VALUE"""),9.0)</f>
        <v>9</v>
      </c>
      <c r="N318" s="5">
        <f>IFERROR(__xludf.DUMMYFUNCTION("""COMPUTED_VALUE"""),14.0)</f>
        <v>14</v>
      </c>
      <c r="O318" s="5">
        <f>IFERROR(__xludf.DUMMYFUNCTION("""COMPUTED_VALUE"""),2000.0)</f>
        <v>2000</v>
      </c>
    </row>
    <row r="319">
      <c r="A319" s="1" t="s">
        <v>237</v>
      </c>
      <c r="B319" s="4">
        <v>62.0</v>
      </c>
      <c r="C319" s="1" t="s">
        <v>101</v>
      </c>
      <c r="D319" s="4">
        <v>4.0</v>
      </c>
      <c r="E319" s="4">
        <v>6.0</v>
      </c>
      <c r="F319" s="4">
        <v>2.0</v>
      </c>
      <c r="G319" s="4">
        <v>4.0</v>
      </c>
      <c r="H319" s="4">
        <v>0.0</v>
      </c>
      <c r="I319" s="4">
        <v>22.0</v>
      </c>
      <c r="J319" s="4">
        <v>26.0</v>
      </c>
      <c r="K319" s="4">
        <v>-4.0</v>
      </c>
      <c r="L319" s="2" t="s">
        <v>170</v>
      </c>
      <c r="M319" s="5">
        <f>IFERROR(__xludf.DUMMYFUNCTION("""COMPUTED_VALUE"""),11.0)</f>
        <v>11</v>
      </c>
      <c r="N319" s="5">
        <f>IFERROR(__xludf.DUMMYFUNCTION("""COMPUTED_VALUE"""),13.0)</f>
        <v>13</v>
      </c>
      <c r="O319" s="5">
        <f>IFERROR(__xludf.DUMMYFUNCTION("""COMPUTED_VALUE"""),2000.0)</f>
        <v>2000</v>
      </c>
    </row>
    <row r="320">
      <c r="A320" s="1" t="s">
        <v>237</v>
      </c>
      <c r="B320" s="4">
        <v>63.0</v>
      </c>
      <c r="C320" s="1" t="s">
        <v>77</v>
      </c>
      <c r="D320" s="4">
        <v>4.0</v>
      </c>
      <c r="E320" s="4">
        <v>7.0</v>
      </c>
      <c r="F320" s="4">
        <v>2.0</v>
      </c>
      <c r="G320" s="4">
        <v>5.0</v>
      </c>
      <c r="H320" s="4">
        <v>0.0</v>
      </c>
      <c r="I320" s="4">
        <v>26.0</v>
      </c>
      <c r="J320" s="4">
        <v>33.0</v>
      </c>
      <c r="K320" s="4">
        <v>-7.0</v>
      </c>
      <c r="L320" s="2" t="s">
        <v>252</v>
      </c>
      <c r="M320" s="5">
        <f>IFERROR(__xludf.DUMMYFUNCTION("""COMPUTED_VALUE"""),4.0)</f>
        <v>4</v>
      </c>
      <c r="N320" s="5">
        <f>IFERROR(__xludf.DUMMYFUNCTION("""COMPUTED_VALUE"""),14.0)</f>
        <v>14</v>
      </c>
      <c r="O320" s="5">
        <f>IFERROR(__xludf.DUMMYFUNCTION("""COMPUTED_VALUE"""),2000.0)</f>
        <v>2000</v>
      </c>
    </row>
    <row r="321">
      <c r="A321" s="1" t="s">
        <v>237</v>
      </c>
      <c r="B321" s="4">
        <v>64.0</v>
      </c>
      <c r="C321" s="1" t="s">
        <v>71</v>
      </c>
      <c r="D321" s="4">
        <v>4.0</v>
      </c>
      <c r="E321" s="4">
        <v>10.0</v>
      </c>
      <c r="F321" s="4">
        <v>2.0</v>
      </c>
      <c r="G321" s="4">
        <v>8.0</v>
      </c>
      <c r="H321" s="4">
        <v>0.0</v>
      </c>
      <c r="I321" s="4">
        <v>22.0</v>
      </c>
      <c r="J321" s="4">
        <v>40.0</v>
      </c>
      <c r="K321" s="4">
        <v>-18.0</v>
      </c>
      <c r="L321" s="2" t="s">
        <v>186</v>
      </c>
      <c r="M321" s="5">
        <f>IFERROR(__xludf.DUMMYFUNCTION("""COMPUTED_VALUE"""),10.0)</f>
        <v>10</v>
      </c>
      <c r="N321" s="5">
        <f>IFERROR(__xludf.DUMMYFUNCTION("""COMPUTED_VALUE"""),14.0)</f>
        <v>14</v>
      </c>
      <c r="O321" s="5">
        <f>IFERROR(__xludf.DUMMYFUNCTION("""COMPUTED_VALUE"""),2000.0)</f>
        <v>2000</v>
      </c>
    </row>
    <row r="322">
      <c r="A322" s="1" t="s">
        <v>237</v>
      </c>
      <c r="B322" s="4">
        <v>65.0</v>
      </c>
      <c r="C322" s="1" t="s">
        <v>122</v>
      </c>
      <c r="D322" s="4">
        <v>4.0</v>
      </c>
      <c r="E322" s="4">
        <v>10.0</v>
      </c>
      <c r="F322" s="4">
        <v>2.0</v>
      </c>
      <c r="G322" s="4">
        <v>8.0</v>
      </c>
      <c r="H322" s="4">
        <v>0.0</v>
      </c>
      <c r="I322" s="4">
        <v>20.0</v>
      </c>
      <c r="J322" s="4">
        <v>64.0</v>
      </c>
      <c r="K322" s="4">
        <v>-44.0</v>
      </c>
      <c r="L322" s="2" t="s">
        <v>136</v>
      </c>
      <c r="M322" s="5">
        <f>IFERROR(__xludf.DUMMYFUNCTION("""COMPUTED_VALUE"""),4.0)</f>
        <v>4</v>
      </c>
      <c r="N322" s="5">
        <f>IFERROR(__xludf.DUMMYFUNCTION("""COMPUTED_VALUE"""),20.0)</f>
        <v>20</v>
      </c>
      <c r="O322" s="5">
        <f>IFERROR(__xludf.DUMMYFUNCTION("""COMPUTED_VALUE"""),2000.0)</f>
        <v>2000</v>
      </c>
    </row>
    <row r="323">
      <c r="A323" s="1" t="s">
        <v>237</v>
      </c>
      <c r="B323" s="4">
        <v>66.0</v>
      </c>
      <c r="C323" s="1" t="s">
        <v>52</v>
      </c>
      <c r="D323" s="4">
        <v>4.0</v>
      </c>
      <c r="E323" s="4">
        <v>14.0</v>
      </c>
      <c r="F323" s="4">
        <v>2.0</v>
      </c>
      <c r="G323" s="4">
        <v>12.0</v>
      </c>
      <c r="H323" s="4">
        <v>0.0</v>
      </c>
      <c r="I323" s="4">
        <v>21.0</v>
      </c>
      <c r="J323" s="4">
        <v>98.0</v>
      </c>
      <c r="K323" s="4">
        <v>-77.0</v>
      </c>
      <c r="L323" s="2" t="s">
        <v>118</v>
      </c>
      <c r="M323" s="5">
        <f>IFERROR(__xludf.DUMMYFUNCTION("""COMPUTED_VALUE"""),9.0)</f>
        <v>9</v>
      </c>
      <c r="N323" s="5">
        <f>IFERROR(__xludf.DUMMYFUNCTION("""COMPUTED_VALUE"""),15.0)</f>
        <v>15</v>
      </c>
      <c r="O323" s="5">
        <f>IFERROR(__xludf.DUMMYFUNCTION("""COMPUTED_VALUE"""),2000.0)</f>
        <v>2000</v>
      </c>
    </row>
    <row r="324">
      <c r="A324" s="1" t="s">
        <v>237</v>
      </c>
      <c r="B324" s="4">
        <v>67.0</v>
      </c>
      <c r="C324" s="1" t="s">
        <v>54</v>
      </c>
      <c r="D324" s="4">
        <v>3.0</v>
      </c>
      <c r="E324" s="4">
        <v>7.0</v>
      </c>
      <c r="F324" s="4">
        <v>1.0</v>
      </c>
      <c r="G324" s="4">
        <v>5.0</v>
      </c>
      <c r="H324" s="4">
        <v>1.0</v>
      </c>
      <c r="I324" s="4">
        <v>18.0</v>
      </c>
      <c r="J324" s="4">
        <v>31.0</v>
      </c>
      <c r="K324" s="4">
        <v>-13.0</v>
      </c>
      <c r="L324" s="2" t="s">
        <v>143</v>
      </c>
      <c r="M324" s="5">
        <f>IFERROR(__xludf.DUMMYFUNCTION("""COMPUTED_VALUE"""),7.0)</f>
        <v>7</v>
      </c>
      <c r="N324" s="5">
        <f>IFERROR(__xludf.DUMMYFUNCTION("""COMPUTED_VALUE"""),16.0)</f>
        <v>16</v>
      </c>
      <c r="O324" s="5">
        <f>IFERROR(__xludf.DUMMYFUNCTION("""COMPUTED_VALUE"""),2001.0)</f>
        <v>2001</v>
      </c>
    </row>
    <row r="325">
      <c r="A325" s="1" t="s">
        <v>237</v>
      </c>
      <c r="B325" s="4">
        <v>68.0</v>
      </c>
      <c r="C325" s="1" t="s">
        <v>85</v>
      </c>
      <c r="D325" s="4">
        <v>3.0</v>
      </c>
      <c r="E325" s="4">
        <v>10.0</v>
      </c>
      <c r="F325" s="4">
        <v>1.0</v>
      </c>
      <c r="G325" s="4">
        <v>8.0</v>
      </c>
      <c r="H325" s="4">
        <v>1.0</v>
      </c>
      <c r="I325" s="4">
        <v>18.0</v>
      </c>
      <c r="J325" s="4">
        <v>57.0</v>
      </c>
      <c r="K325" s="4">
        <v>-39.0</v>
      </c>
      <c r="L325" s="2" t="s">
        <v>253</v>
      </c>
      <c r="M325" s="5">
        <f>IFERROR(__xludf.DUMMYFUNCTION("""COMPUTED_VALUE"""),6.0)</f>
        <v>6</v>
      </c>
      <c r="N325" s="5">
        <f>IFERROR(__xludf.DUMMYFUNCTION("""COMPUTED_VALUE"""),13.0)</f>
        <v>13</v>
      </c>
      <c r="O325" s="5">
        <f>IFERROR(__xludf.DUMMYFUNCTION("""COMPUTED_VALUE"""),2001.0)</f>
        <v>2001</v>
      </c>
    </row>
    <row r="326">
      <c r="A326" s="1" t="s">
        <v>237</v>
      </c>
      <c r="B326" s="4">
        <v>69.0</v>
      </c>
      <c r="C326" s="1" t="s">
        <v>125</v>
      </c>
      <c r="D326" s="4">
        <v>2.0</v>
      </c>
      <c r="E326" s="4">
        <v>4.0</v>
      </c>
      <c r="F326" s="4">
        <v>1.0</v>
      </c>
      <c r="G326" s="4">
        <v>3.0</v>
      </c>
      <c r="H326" s="4">
        <v>0.0</v>
      </c>
      <c r="I326" s="4">
        <v>7.0</v>
      </c>
      <c r="J326" s="4">
        <v>18.0</v>
      </c>
      <c r="K326" s="4">
        <v>-11.0</v>
      </c>
      <c r="L326" s="2" t="s">
        <v>254</v>
      </c>
      <c r="M326" s="5">
        <f>IFERROR(__xludf.DUMMYFUNCTION("""COMPUTED_VALUE"""),6.0)</f>
        <v>6</v>
      </c>
      <c r="N326" s="5">
        <f>IFERROR(__xludf.DUMMYFUNCTION("""COMPUTED_VALUE"""),16.0)</f>
        <v>16</v>
      </c>
      <c r="O326" s="5">
        <f>IFERROR(__xludf.DUMMYFUNCTION("""COMPUTED_VALUE"""),2002.0)</f>
        <v>2002</v>
      </c>
    </row>
    <row r="327">
      <c r="A327" s="1" t="s">
        <v>237</v>
      </c>
      <c r="B327" s="4">
        <v>70.0</v>
      </c>
      <c r="C327" s="1" t="s">
        <v>150</v>
      </c>
      <c r="D327" s="4">
        <v>2.0</v>
      </c>
      <c r="E327" s="4">
        <v>6.0</v>
      </c>
      <c r="F327" s="4">
        <v>1.0</v>
      </c>
      <c r="G327" s="4">
        <v>5.0</v>
      </c>
      <c r="H327" s="4">
        <v>0.0</v>
      </c>
      <c r="I327" s="4">
        <v>15.0</v>
      </c>
      <c r="J327" s="4">
        <v>32.0</v>
      </c>
      <c r="K327" s="4">
        <v>-17.0</v>
      </c>
      <c r="L327" s="2" t="s">
        <v>133</v>
      </c>
      <c r="M327" s="5">
        <f>IFERROR(__xludf.DUMMYFUNCTION("""COMPUTED_VALUE"""),5.0)</f>
        <v>5</v>
      </c>
      <c r="N327" s="5">
        <f>IFERROR(__xludf.DUMMYFUNCTION("""COMPUTED_VALUE"""),16.0)</f>
        <v>16</v>
      </c>
      <c r="O327" s="5">
        <f>IFERROR(__xludf.DUMMYFUNCTION("""COMPUTED_VALUE"""),2000.0)</f>
        <v>2000</v>
      </c>
    </row>
    <row r="328">
      <c r="A328" s="1" t="s">
        <v>237</v>
      </c>
      <c r="B328" s="4">
        <v>71.0</v>
      </c>
      <c r="C328" s="1" t="s">
        <v>147</v>
      </c>
      <c r="D328" s="4">
        <v>2.0</v>
      </c>
      <c r="E328" s="4">
        <v>6.0</v>
      </c>
      <c r="F328" s="4">
        <v>1.0</v>
      </c>
      <c r="G328" s="4">
        <v>5.0</v>
      </c>
      <c r="H328" s="4">
        <v>0.0</v>
      </c>
      <c r="I328" s="4">
        <v>11.0</v>
      </c>
      <c r="J328" s="4">
        <v>29.0</v>
      </c>
      <c r="K328" s="4">
        <v>-18.0</v>
      </c>
      <c r="L328" s="2" t="s">
        <v>118</v>
      </c>
      <c r="M328" s="5">
        <f>IFERROR(__xludf.DUMMYFUNCTION("""COMPUTED_VALUE"""),9.0)</f>
        <v>9</v>
      </c>
      <c r="N328" s="5">
        <f>IFERROR(__xludf.DUMMYFUNCTION("""COMPUTED_VALUE"""),15.0)</f>
        <v>15</v>
      </c>
      <c r="O328" s="5">
        <f>IFERROR(__xludf.DUMMYFUNCTION("""COMPUTED_VALUE"""),2000.0)</f>
        <v>2000</v>
      </c>
    </row>
    <row r="329">
      <c r="A329" s="1" t="s">
        <v>237</v>
      </c>
      <c r="B329" s="4">
        <v>72.0</v>
      </c>
      <c r="C329" s="1" t="s">
        <v>79</v>
      </c>
      <c r="D329" s="4">
        <v>2.0</v>
      </c>
      <c r="E329" s="4">
        <v>10.0</v>
      </c>
      <c r="F329" s="4">
        <v>1.0</v>
      </c>
      <c r="G329" s="4">
        <v>9.0</v>
      </c>
      <c r="H329" s="4">
        <v>0.0</v>
      </c>
      <c r="I329" s="4">
        <v>26.0</v>
      </c>
      <c r="J329" s="4">
        <v>65.0</v>
      </c>
      <c r="K329" s="4">
        <v>-39.0</v>
      </c>
      <c r="L329" s="2" t="s">
        <v>115</v>
      </c>
      <c r="M329" s="5">
        <f>IFERROR(__xludf.DUMMYFUNCTION("""COMPUTED_VALUE"""),4.0)</f>
        <v>4</v>
      </c>
      <c r="N329" s="5">
        <f>IFERROR(__xludf.DUMMYFUNCTION("""COMPUTED_VALUE"""),17.0)</f>
        <v>17</v>
      </c>
      <c r="O329" s="5">
        <f>IFERROR(__xludf.DUMMYFUNCTION("""COMPUTED_VALUE"""),2000.0)</f>
        <v>2000</v>
      </c>
    </row>
    <row r="330">
      <c r="A330" s="1" t="s">
        <v>237</v>
      </c>
      <c r="B330" s="4">
        <v>73.0</v>
      </c>
      <c r="C330" s="1" t="s">
        <v>146</v>
      </c>
      <c r="D330" s="4">
        <v>2.0</v>
      </c>
      <c r="E330" s="4">
        <v>14.0</v>
      </c>
      <c r="F330" s="4">
        <v>1.0</v>
      </c>
      <c r="G330" s="4">
        <v>13.0</v>
      </c>
      <c r="H330" s="4">
        <v>0.0</v>
      </c>
      <c r="I330" s="4">
        <v>20.0</v>
      </c>
      <c r="J330" s="4">
        <v>75.0</v>
      </c>
      <c r="K330" s="4">
        <v>-55.0</v>
      </c>
      <c r="L330" s="2" t="s">
        <v>236</v>
      </c>
      <c r="M330" s="5">
        <f>IFERROR(__xludf.DUMMYFUNCTION("""COMPUTED_VALUE"""),4.0)</f>
        <v>4</v>
      </c>
      <c r="N330" s="5">
        <f>IFERROR(__xludf.DUMMYFUNCTION("""COMPUTED_VALUE"""),18.0)</f>
        <v>18</v>
      </c>
      <c r="O330" s="5">
        <f>IFERROR(__xludf.DUMMYFUNCTION("""COMPUTED_VALUE"""),2000.0)</f>
        <v>2000</v>
      </c>
    </row>
    <row r="331">
      <c r="A331" s="1" t="s">
        <v>237</v>
      </c>
      <c r="B331" s="4">
        <v>74.0</v>
      </c>
      <c r="C331" s="1" t="s">
        <v>135</v>
      </c>
      <c r="D331" s="4">
        <v>2.0</v>
      </c>
      <c r="E331" s="4">
        <v>10.0</v>
      </c>
      <c r="F331" s="4">
        <v>1.0</v>
      </c>
      <c r="G331" s="4">
        <v>9.0</v>
      </c>
      <c r="H331" s="4">
        <v>0.0</v>
      </c>
      <c r="I331" s="4">
        <v>24.0</v>
      </c>
      <c r="J331" s="4">
        <v>95.0</v>
      </c>
      <c r="K331" s="4">
        <v>-71.0</v>
      </c>
      <c r="L331" s="2" t="s">
        <v>255</v>
      </c>
      <c r="M331" s="5">
        <f>IFERROR(__xludf.DUMMYFUNCTION("""COMPUTED_VALUE"""),6.0)</f>
        <v>6</v>
      </c>
      <c r="N331" s="5">
        <f>IFERROR(__xludf.DUMMYFUNCTION("""COMPUTED_VALUE"""),15.0)</f>
        <v>15</v>
      </c>
      <c r="O331" s="5">
        <f>IFERROR(__xludf.DUMMYFUNCTION("""COMPUTED_VALUE"""),2000.0)</f>
        <v>2000</v>
      </c>
    </row>
    <row r="332">
      <c r="A332" s="1" t="s">
        <v>237</v>
      </c>
      <c r="B332" s="4">
        <v>75.0</v>
      </c>
      <c r="C332" s="1" t="s">
        <v>233</v>
      </c>
      <c r="D332" s="4">
        <v>2.0</v>
      </c>
      <c r="E332" s="4">
        <v>14.0</v>
      </c>
      <c r="F332" s="4">
        <v>1.0</v>
      </c>
      <c r="G332" s="4">
        <v>13.0</v>
      </c>
      <c r="H332" s="4">
        <v>0.0</v>
      </c>
      <c r="I332" s="4">
        <v>18.0</v>
      </c>
      <c r="J332" s="4">
        <v>141.0</v>
      </c>
      <c r="K332" s="4">
        <v>-123.0</v>
      </c>
      <c r="L332" s="2" t="s">
        <v>196</v>
      </c>
      <c r="M332" s="5">
        <f>IFERROR(__xludf.DUMMYFUNCTION("""COMPUTED_VALUE"""),3.0)</f>
        <v>3</v>
      </c>
      <c r="N332" s="5">
        <f>IFERROR(__xludf.DUMMYFUNCTION("""COMPUTED_VALUE"""),19.0)</f>
        <v>19</v>
      </c>
      <c r="O332" s="5">
        <f>IFERROR(__xludf.DUMMYFUNCTION("""COMPUTED_VALUE"""),2000.0)</f>
        <v>2000</v>
      </c>
    </row>
    <row r="333">
      <c r="A333" s="1" t="s">
        <v>237</v>
      </c>
      <c r="B333" s="4">
        <v>76.0</v>
      </c>
      <c r="C333" s="1" t="s">
        <v>152</v>
      </c>
      <c r="D333" s="4">
        <v>1.0</v>
      </c>
      <c r="E333" s="4">
        <v>10.0</v>
      </c>
      <c r="F333" s="4">
        <v>0.0</v>
      </c>
      <c r="G333" s="4">
        <v>9.0</v>
      </c>
      <c r="H333" s="4">
        <v>1.0</v>
      </c>
      <c r="I333" s="4">
        <v>19.0</v>
      </c>
      <c r="J333" s="4">
        <v>60.0</v>
      </c>
      <c r="K333" s="4">
        <v>-41.0</v>
      </c>
      <c r="L333" s="2" t="s">
        <v>198</v>
      </c>
      <c r="M333" s="5">
        <f>IFERROR(__xludf.DUMMYFUNCTION("""COMPUTED_VALUE"""),5.0)</f>
        <v>5</v>
      </c>
      <c r="N333" s="5">
        <f>IFERROR(__xludf.DUMMYFUNCTION("""COMPUTED_VALUE"""),15.0)</f>
        <v>15</v>
      </c>
      <c r="O333" s="5">
        <f>IFERROR(__xludf.DUMMYFUNCTION("""COMPUTED_VALUE"""),2001.0)</f>
        <v>2001</v>
      </c>
    </row>
    <row r="334">
      <c r="A334" s="1" t="s">
        <v>237</v>
      </c>
      <c r="B334" s="4">
        <v>77.0</v>
      </c>
      <c r="C334" s="1" t="s">
        <v>112</v>
      </c>
      <c r="D334" s="4">
        <v>1.0</v>
      </c>
      <c r="E334" s="4">
        <v>10.0</v>
      </c>
      <c r="F334" s="4">
        <v>0.0</v>
      </c>
      <c r="G334" s="4">
        <v>9.0</v>
      </c>
      <c r="H334" s="4">
        <v>1.0</v>
      </c>
      <c r="I334" s="4">
        <v>3.0</v>
      </c>
      <c r="J334" s="4">
        <v>96.0</v>
      </c>
      <c r="K334" s="4">
        <v>-93.0</v>
      </c>
      <c r="L334" s="2" t="s">
        <v>256</v>
      </c>
      <c r="M334" s="5">
        <f>IFERROR(__xludf.DUMMYFUNCTION("""COMPUTED_VALUE"""),0.0)</f>
        <v>0</v>
      </c>
      <c r="N334" s="5">
        <f>IFERROR(__xludf.DUMMYFUNCTION("""COMPUTED_VALUE"""),19.0)</f>
        <v>19</v>
      </c>
      <c r="O334" s="5">
        <f>IFERROR(__xludf.DUMMYFUNCTION("""COMPUTED_VALUE"""),1.0)</f>
        <v>1</v>
      </c>
    </row>
    <row r="335">
      <c r="A335" s="1" t="s">
        <v>237</v>
      </c>
      <c r="B335" s="4">
        <v>78.0</v>
      </c>
      <c r="C335" s="1" t="s">
        <v>142</v>
      </c>
      <c r="D335" s="4">
        <v>0.0</v>
      </c>
      <c r="E335" s="4">
        <v>0.0</v>
      </c>
      <c r="F335" s="4">
        <v>0.0</v>
      </c>
      <c r="G335" s="4">
        <v>0.0</v>
      </c>
      <c r="H335" s="4">
        <v>0.0</v>
      </c>
      <c r="I335" s="4">
        <v>0.0</v>
      </c>
      <c r="J335" s="4">
        <v>0.0</v>
      </c>
      <c r="K335" s="4">
        <v>0.0</v>
      </c>
      <c r="L335" s="2" t="s">
        <v>143</v>
      </c>
      <c r="M335" s="5">
        <f>IFERROR(__xludf.DUMMYFUNCTION("""COMPUTED_VALUE"""),7.0)</f>
        <v>7</v>
      </c>
      <c r="N335" s="5">
        <f>IFERROR(__xludf.DUMMYFUNCTION("""COMPUTED_VALUE"""),16.0)</f>
        <v>16</v>
      </c>
      <c r="O335" s="5">
        <f>IFERROR(__xludf.DUMMYFUNCTION("""COMPUTED_VALUE"""),2001.0)</f>
        <v>2001</v>
      </c>
    </row>
    <row r="336">
      <c r="A336" s="1" t="s">
        <v>237</v>
      </c>
      <c r="B336" s="4">
        <v>79.0</v>
      </c>
      <c r="C336" s="1" t="s">
        <v>126</v>
      </c>
      <c r="D336" s="4">
        <v>0.0</v>
      </c>
      <c r="E336" s="4">
        <v>4.0</v>
      </c>
      <c r="F336" s="4">
        <v>0.0</v>
      </c>
      <c r="G336" s="4">
        <v>4.0</v>
      </c>
      <c r="H336" s="4">
        <v>0.0</v>
      </c>
      <c r="I336" s="4">
        <v>2.0</v>
      </c>
      <c r="J336" s="4">
        <v>27.0</v>
      </c>
      <c r="K336" s="4">
        <v>-25.0</v>
      </c>
      <c r="L336" s="2" t="s">
        <v>257</v>
      </c>
      <c r="M336" s="5">
        <f>IFERROR(__xludf.DUMMYFUNCTION("""COMPUTED_VALUE"""),1.0)</f>
        <v>1</v>
      </c>
      <c r="N336" s="5">
        <f>IFERROR(__xludf.DUMMYFUNCTION("""COMPUTED_VALUE"""),19.0)</f>
        <v>19</v>
      </c>
      <c r="O336" s="5">
        <f>IFERROR(__xludf.DUMMYFUNCTION("""COMPUTED_VALUE"""),2001.0)</f>
        <v>2001</v>
      </c>
    </row>
    <row r="337">
      <c r="A337" s="1" t="s">
        <v>237</v>
      </c>
      <c r="B337" s="4">
        <v>80.0</v>
      </c>
      <c r="C337" s="1" t="s">
        <v>128</v>
      </c>
      <c r="D337" s="4">
        <v>0.0</v>
      </c>
      <c r="E337" s="4">
        <v>6.0</v>
      </c>
      <c r="F337" s="4">
        <v>0.0</v>
      </c>
      <c r="G337" s="4">
        <v>6.0</v>
      </c>
      <c r="H337" s="4">
        <v>0.0</v>
      </c>
      <c r="I337" s="4">
        <v>7.0</v>
      </c>
      <c r="J337" s="4">
        <v>34.0</v>
      </c>
      <c r="K337" s="4">
        <v>-27.0</v>
      </c>
      <c r="L337" s="2" t="s">
        <v>107</v>
      </c>
      <c r="M337" s="5">
        <f>IFERROR(__xludf.DUMMYFUNCTION("""COMPUTED_VALUE"""),5.0)</f>
        <v>5</v>
      </c>
      <c r="N337" s="5">
        <f>IFERROR(__xludf.DUMMYFUNCTION("""COMPUTED_VALUE"""),19.0)</f>
        <v>19</v>
      </c>
      <c r="O337" s="5">
        <f>IFERROR(__xludf.DUMMYFUNCTION("""COMPUTED_VALUE"""),2000.0)</f>
        <v>2000</v>
      </c>
    </row>
    <row r="338">
      <c r="A338" s="1" t="s">
        <v>237</v>
      </c>
      <c r="B338" s="4">
        <v>81.0</v>
      </c>
      <c r="C338" s="1" t="s">
        <v>103</v>
      </c>
      <c r="D338" s="4">
        <v>0.0</v>
      </c>
      <c r="E338" s="4">
        <v>7.0</v>
      </c>
      <c r="F338" s="4">
        <v>0.0</v>
      </c>
      <c r="G338" s="4">
        <v>7.0</v>
      </c>
      <c r="H338" s="4">
        <v>0.0</v>
      </c>
      <c r="I338" s="4">
        <v>8.0</v>
      </c>
      <c r="J338" s="4">
        <v>49.0</v>
      </c>
      <c r="K338" s="4">
        <v>-41.0</v>
      </c>
      <c r="L338" s="2" t="s">
        <v>258</v>
      </c>
      <c r="M338" s="5">
        <f>IFERROR(__xludf.DUMMYFUNCTION("""COMPUTED_VALUE"""),7.0)</f>
        <v>7</v>
      </c>
      <c r="N338" s="5">
        <f>IFERROR(__xludf.DUMMYFUNCTION("""COMPUTED_VALUE"""),11.0)</f>
        <v>11</v>
      </c>
      <c r="O338" s="5">
        <f>IFERROR(__xludf.DUMMYFUNCTION("""COMPUTED_VALUE"""),2000.0)</f>
        <v>2000</v>
      </c>
    </row>
    <row r="339">
      <c r="A339" s="1" t="s">
        <v>237</v>
      </c>
      <c r="B339" s="4">
        <v>82.0</v>
      </c>
      <c r="C339" s="1" t="s">
        <v>48</v>
      </c>
      <c r="D339" s="4">
        <v>0.0</v>
      </c>
      <c r="E339" s="4">
        <v>10.0</v>
      </c>
      <c r="F339" s="4">
        <v>0.0</v>
      </c>
      <c r="G339" s="4">
        <v>10.0</v>
      </c>
      <c r="H339" s="4">
        <v>0.0</v>
      </c>
      <c r="I339" s="4">
        <v>18.0</v>
      </c>
      <c r="J339" s="4">
        <v>91.0</v>
      </c>
      <c r="K339" s="4">
        <v>-73.0</v>
      </c>
      <c r="L339" s="2" t="s">
        <v>259</v>
      </c>
      <c r="M339" s="5">
        <f>IFERROR(__xludf.DUMMYFUNCTION("""COMPUTED_VALUE"""),2.0)</f>
        <v>2</v>
      </c>
      <c r="N339" s="5">
        <f>IFERROR(__xludf.DUMMYFUNCTION("""COMPUTED_VALUE"""),21.0)</f>
        <v>21</v>
      </c>
      <c r="O339" s="5">
        <f>IFERROR(__xludf.DUMMYFUNCTION("""COMPUTED_VALUE"""),2000.0)</f>
        <v>2000</v>
      </c>
    </row>
    <row r="340">
      <c r="A340" s="1" t="s">
        <v>237</v>
      </c>
      <c r="B340" s="4">
        <v>83.0</v>
      </c>
      <c r="C340" s="1" t="s">
        <v>161</v>
      </c>
      <c r="D340" s="4">
        <v>0.0</v>
      </c>
      <c r="E340" s="4">
        <v>13.0</v>
      </c>
      <c r="F340" s="4">
        <v>0.0</v>
      </c>
      <c r="G340" s="4">
        <v>13.0</v>
      </c>
      <c r="H340" s="4">
        <v>0.0</v>
      </c>
      <c r="I340" s="4">
        <v>17.0</v>
      </c>
      <c r="J340" s="4">
        <v>92.0</v>
      </c>
      <c r="K340" s="4">
        <v>-75.0</v>
      </c>
      <c r="L340" s="2" t="s">
        <v>260</v>
      </c>
      <c r="M340" s="5">
        <f>IFERROR(__xludf.DUMMYFUNCTION("""COMPUTED_VALUE"""),1.0)</f>
        <v>1</v>
      </c>
      <c r="N340" s="5">
        <f>IFERROR(__xludf.DUMMYFUNCTION("""COMPUTED_VALUE"""),21.0)</f>
        <v>21</v>
      </c>
      <c r="O340" s="5">
        <f>IFERROR(__xludf.DUMMYFUNCTION("""COMPUTED_VALUE"""),2001.0)</f>
        <v>2001</v>
      </c>
    </row>
    <row r="341">
      <c r="A341" s="1" t="s">
        <v>237</v>
      </c>
      <c r="B341" s="4">
        <v>84.0</v>
      </c>
      <c r="C341" s="1" t="s">
        <v>140</v>
      </c>
      <c r="D341" s="4">
        <v>0.0</v>
      </c>
      <c r="E341" s="4">
        <v>10.0</v>
      </c>
      <c r="F341" s="4">
        <v>0.0</v>
      </c>
      <c r="G341" s="4">
        <v>10.0</v>
      </c>
      <c r="H341" s="4">
        <v>0.0</v>
      </c>
      <c r="I341" s="4">
        <v>11.0</v>
      </c>
      <c r="J341" s="4">
        <v>89.0</v>
      </c>
      <c r="K341" s="4">
        <v>-78.0</v>
      </c>
      <c r="L341" s="2" t="s">
        <v>157</v>
      </c>
      <c r="M341" s="5">
        <f>IFERROR(__xludf.DUMMYFUNCTION("""COMPUTED_VALUE"""),3.0)</f>
        <v>3</v>
      </c>
      <c r="N341" s="5">
        <f>IFERROR(__xludf.DUMMYFUNCTION("""COMPUTED_VALUE"""),21.0)</f>
        <v>21</v>
      </c>
      <c r="O341" s="5">
        <f>IFERROR(__xludf.DUMMYFUNCTION("""COMPUTED_VALUE"""),2000.0)</f>
        <v>2000</v>
      </c>
    </row>
    <row r="342">
      <c r="A342" s="1" t="s">
        <v>237</v>
      </c>
      <c r="B342" s="4">
        <v>85.0</v>
      </c>
      <c r="C342" s="1" t="s">
        <v>138</v>
      </c>
      <c r="D342" s="4">
        <v>0.0</v>
      </c>
      <c r="E342" s="4">
        <v>14.0</v>
      </c>
      <c r="F342" s="4">
        <v>0.0</v>
      </c>
      <c r="G342" s="4">
        <v>14.0</v>
      </c>
      <c r="H342" s="4">
        <v>0.0</v>
      </c>
      <c r="I342" s="4">
        <v>8.0</v>
      </c>
      <c r="J342" s="4">
        <v>118.0</v>
      </c>
      <c r="K342" s="4">
        <v>-110.0</v>
      </c>
      <c r="L342" s="2" t="s">
        <v>230</v>
      </c>
      <c r="M342" s="5">
        <f>IFERROR(__xludf.DUMMYFUNCTION("""COMPUTED_VALUE"""),2.0)</f>
        <v>2</v>
      </c>
      <c r="N342" s="5">
        <f>IFERROR(__xludf.DUMMYFUNCTION("""COMPUTED_VALUE"""),22.0)</f>
        <v>22</v>
      </c>
      <c r="O342" s="5">
        <f>IFERROR(__xludf.DUMMYFUNCTION("""COMPUTED_VALUE"""),2000.0)</f>
        <v>2000</v>
      </c>
    </row>
    <row r="343">
      <c r="A343" s="1" t="s">
        <v>261</v>
      </c>
      <c r="B343" s="4">
        <v>1.0</v>
      </c>
      <c r="C343" s="1" t="s">
        <v>61</v>
      </c>
      <c r="D343" s="4">
        <v>44.0</v>
      </c>
      <c r="E343" s="4">
        <v>24.0</v>
      </c>
      <c r="F343" s="4">
        <v>22.0</v>
      </c>
      <c r="G343" s="4">
        <v>2.0</v>
      </c>
      <c r="H343" s="4">
        <v>0.0</v>
      </c>
      <c r="I343" s="4">
        <v>138.0</v>
      </c>
      <c r="J343" s="4">
        <v>35.0</v>
      </c>
      <c r="K343" s="4">
        <v>103.0</v>
      </c>
      <c r="L343" s="2" t="s">
        <v>262</v>
      </c>
      <c r="M343" s="5">
        <f>IFERROR(__xludf.DUMMYFUNCTION("""COMPUTED_VALUE"""),5.0)</f>
        <v>5</v>
      </c>
      <c r="N343" s="5">
        <f>IFERROR(__xludf.DUMMYFUNCTION("""COMPUTED_VALUE"""),0.0)</f>
        <v>0</v>
      </c>
      <c r="O343" s="5">
        <f>IFERROR(__xludf.DUMMYFUNCTION("""COMPUTED_VALUE"""),0.0)</f>
        <v>0</v>
      </c>
    </row>
    <row r="344">
      <c r="A344" s="1" t="s">
        <v>261</v>
      </c>
      <c r="B344" s="4">
        <v>2.0</v>
      </c>
      <c r="C344" s="1" t="s">
        <v>149</v>
      </c>
      <c r="D344" s="4">
        <v>42.0</v>
      </c>
      <c r="E344" s="4">
        <v>23.0</v>
      </c>
      <c r="F344" s="4">
        <v>21.0</v>
      </c>
      <c r="G344" s="4">
        <v>2.0</v>
      </c>
      <c r="H344" s="4">
        <v>0.0</v>
      </c>
      <c r="I344" s="4">
        <v>119.0</v>
      </c>
      <c r="J344" s="4">
        <v>37.0</v>
      </c>
      <c r="K344" s="4">
        <v>82.0</v>
      </c>
      <c r="L344" s="2" t="s">
        <v>263</v>
      </c>
      <c r="M344" s="5">
        <f>IFERROR(__xludf.DUMMYFUNCTION("""COMPUTED_VALUE"""),6.0)</f>
        <v>6</v>
      </c>
      <c r="N344" s="5">
        <f>IFERROR(__xludf.DUMMYFUNCTION("""COMPUTED_VALUE"""),0.0)</f>
        <v>0</v>
      </c>
      <c r="O344" s="5">
        <f>IFERROR(__xludf.DUMMYFUNCTION("""COMPUTED_VALUE"""),0.0)</f>
        <v>0</v>
      </c>
    </row>
    <row r="345">
      <c r="A345" s="1" t="s">
        <v>261</v>
      </c>
      <c r="B345" s="4">
        <v>3.0</v>
      </c>
      <c r="C345" s="1" t="s">
        <v>48</v>
      </c>
      <c r="D345" s="4">
        <v>33.0</v>
      </c>
      <c r="E345" s="4">
        <v>24.0</v>
      </c>
      <c r="F345" s="4">
        <v>16.0</v>
      </c>
      <c r="G345" s="4">
        <v>7.0</v>
      </c>
      <c r="H345" s="4">
        <v>1.0</v>
      </c>
      <c r="I345" s="4">
        <v>135.0</v>
      </c>
      <c r="J345" s="4">
        <v>99.0</v>
      </c>
      <c r="K345" s="4">
        <v>36.0</v>
      </c>
      <c r="L345" s="2" t="s">
        <v>264</v>
      </c>
      <c r="M345" s="5">
        <f>IFERROR(__xludf.DUMMYFUNCTION("""COMPUTED_VALUE"""),9.0)</f>
        <v>9</v>
      </c>
      <c r="N345" s="5">
        <f>IFERROR(__xludf.DUMMYFUNCTION("""COMPUTED_VALUE"""),0.0)</f>
        <v>0</v>
      </c>
      <c r="O345" s="5">
        <f>IFERROR(__xludf.DUMMYFUNCTION("""COMPUTED_VALUE"""),0.0)</f>
        <v>0</v>
      </c>
    </row>
    <row r="346">
      <c r="A346" s="1" t="s">
        <v>261</v>
      </c>
      <c r="B346" s="4">
        <v>4.0</v>
      </c>
      <c r="C346" s="1" t="s">
        <v>20</v>
      </c>
      <c r="D346" s="4">
        <v>32.0</v>
      </c>
      <c r="E346" s="4">
        <v>19.0</v>
      </c>
      <c r="F346" s="4">
        <v>16.0</v>
      </c>
      <c r="G346" s="4">
        <v>3.0</v>
      </c>
      <c r="H346" s="4">
        <v>0.0</v>
      </c>
      <c r="I346" s="4">
        <v>119.0</v>
      </c>
      <c r="J346" s="4">
        <v>26.0</v>
      </c>
      <c r="K346" s="4">
        <v>93.0</v>
      </c>
      <c r="L346" s="2" t="s">
        <v>265</v>
      </c>
      <c r="M346" s="5">
        <f>IFERROR(__xludf.DUMMYFUNCTION("""COMPUTED_VALUE"""),12.0)</f>
        <v>12</v>
      </c>
      <c r="N346" s="5">
        <f>IFERROR(__xludf.DUMMYFUNCTION("""COMPUTED_VALUE"""),0.0)</f>
        <v>0</v>
      </c>
      <c r="O346" s="5">
        <f>IFERROR(__xludf.DUMMYFUNCTION("""COMPUTED_VALUE"""),0.0)</f>
        <v>0</v>
      </c>
    </row>
    <row r="347">
      <c r="A347" s="1" t="s">
        <v>261</v>
      </c>
      <c r="B347" s="4">
        <v>5.0</v>
      </c>
      <c r="C347" s="1" t="s">
        <v>41</v>
      </c>
      <c r="D347" s="4">
        <v>30.0</v>
      </c>
      <c r="E347" s="4">
        <v>22.0</v>
      </c>
      <c r="F347" s="4">
        <v>15.0</v>
      </c>
      <c r="G347" s="4">
        <v>7.0</v>
      </c>
      <c r="H347" s="4">
        <v>0.0</v>
      </c>
      <c r="I347" s="4">
        <v>100.0</v>
      </c>
      <c r="J347" s="4">
        <v>58.0</v>
      </c>
      <c r="K347" s="4">
        <v>42.0</v>
      </c>
      <c r="L347" s="2" t="s">
        <v>266</v>
      </c>
      <c r="M347" s="5">
        <f>IFERROR(__xludf.DUMMYFUNCTION("""COMPUTED_VALUE"""),5.0)</f>
        <v>5</v>
      </c>
      <c r="N347" s="5">
        <f>IFERROR(__xludf.DUMMYFUNCTION("""COMPUTED_VALUE"""),1.0)</f>
        <v>1</v>
      </c>
      <c r="O347" s="5">
        <f>IFERROR(__xludf.DUMMYFUNCTION("""COMPUTED_VALUE"""),2000.0)</f>
        <v>2000</v>
      </c>
    </row>
    <row r="348">
      <c r="A348" s="1" t="s">
        <v>261</v>
      </c>
      <c r="B348" s="4">
        <v>6.0</v>
      </c>
      <c r="C348" s="1" t="s">
        <v>54</v>
      </c>
      <c r="D348" s="4">
        <v>30.0</v>
      </c>
      <c r="E348" s="4">
        <v>22.0</v>
      </c>
      <c r="F348" s="4">
        <v>15.0</v>
      </c>
      <c r="G348" s="4">
        <v>7.0</v>
      </c>
      <c r="H348" s="4">
        <v>0.0</v>
      </c>
      <c r="I348" s="4">
        <v>100.0</v>
      </c>
      <c r="J348" s="4">
        <v>63.0</v>
      </c>
      <c r="K348" s="4">
        <v>37.0</v>
      </c>
      <c r="L348" s="2" t="s">
        <v>267</v>
      </c>
      <c r="M348" s="5">
        <f>IFERROR(__xludf.DUMMYFUNCTION("""COMPUTED_VALUE"""),4.0)</f>
        <v>4</v>
      </c>
      <c r="N348" s="5">
        <f>IFERROR(__xludf.DUMMYFUNCTION("""COMPUTED_VALUE"""),2.0)</f>
        <v>2</v>
      </c>
      <c r="O348" s="5">
        <f>IFERROR(__xludf.DUMMYFUNCTION("""COMPUTED_VALUE"""),2000.0)</f>
        <v>2000</v>
      </c>
    </row>
    <row r="349">
      <c r="A349" s="1" t="s">
        <v>261</v>
      </c>
      <c r="B349" s="4">
        <v>7.0</v>
      </c>
      <c r="C349" s="1" t="s">
        <v>46</v>
      </c>
      <c r="D349" s="4">
        <v>29.0</v>
      </c>
      <c r="E349" s="4">
        <v>19.0</v>
      </c>
      <c r="F349" s="4">
        <v>14.0</v>
      </c>
      <c r="G349" s="4">
        <v>4.0</v>
      </c>
      <c r="H349" s="4">
        <v>1.0</v>
      </c>
      <c r="I349" s="4">
        <v>85.0</v>
      </c>
      <c r="J349" s="4">
        <v>42.0</v>
      </c>
      <c r="K349" s="4">
        <v>43.0</v>
      </c>
      <c r="L349" s="2" t="s">
        <v>268</v>
      </c>
      <c r="M349" s="5">
        <f>IFERROR(__xludf.DUMMYFUNCTION("""COMPUTED_VALUE"""),10.0)</f>
        <v>10</v>
      </c>
      <c r="N349" s="5">
        <f>IFERROR(__xludf.DUMMYFUNCTION("""COMPUTED_VALUE"""),2.0)</f>
        <v>2</v>
      </c>
      <c r="O349" s="5">
        <f>IFERROR(__xludf.DUMMYFUNCTION("""COMPUTED_VALUE"""),2000.0)</f>
        <v>2000</v>
      </c>
    </row>
    <row r="350">
      <c r="A350" s="1" t="s">
        <v>261</v>
      </c>
      <c r="B350" s="4">
        <v>8.0</v>
      </c>
      <c r="C350" s="1" t="s">
        <v>27</v>
      </c>
      <c r="D350" s="4">
        <v>28.0</v>
      </c>
      <c r="E350" s="4">
        <v>20.0</v>
      </c>
      <c r="F350" s="4">
        <v>14.0</v>
      </c>
      <c r="G350" s="4">
        <v>6.0</v>
      </c>
      <c r="H350" s="4">
        <v>0.0</v>
      </c>
      <c r="I350" s="4">
        <v>110.0</v>
      </c>
      <c r="J350" s="4">
        <v>53.0</v>
      </c>
      <c r="K350" s="4">
        <v>57.0</v>
      </c>
      <c r="L350" s="2" t="s">
        <v>269</v>
      </c>
      <c r="M350" s="5">
        <f>IFERROR(__xludf.DUMMYFUNCTION("""COMPUTED_VALUE"""),10.0)</f>
        <v>10</v>
      </c>
      <c r="N350" s="5">
        <f>IFERROR(__xludf.DUMMYFUNCTION("""COMPUTED_VALUE"""),0.0)</f>
        <v>0</v>
      </c>
      <c r="O350" s="5">
        <f>IFERROR(__xludf.DUMMYFUNCTION("""COMPUTED_VALUE"""),0.0)</f>
        <v>0</v>
      </c>
    </row>
    <row r="351">
      <c r="A351" s="1" t="s">
        <v>261</v>
      </c>
      <c r="B351" s="4">
        <v>9.0</v>
      </c>
      <c r="C351" s="1" t="s">
        <v>36</v>
      </c>
      <c r="D351" s="4">
        <v>28.0</v>
      </c>
      <c r="E351" s="4">
        <v>23.0</v>
      </c>
      <c r="F351" s="4">
        <v>14.0</v>
      </c>
      <c r="G351" s="4">
        <v>9.0</v>
      </c>
      <c r="H351" s="4">
        <v>0.0</v>
      </c>
      <c r="I351" s="4">
        <v>103.0</v>
      </c>
      <c r="J351" s="4">
        <v>61.0</v>
      </c>
      <c r="K351" s="4">
        <v>42.0</v>
      </c>
      <c r="L351" s="2" t="s">
        <v>270</v>
      </c>
      <c r="M351" s="5">
        <f>IFERROR(__xludf.DUMMYFUNCTION("""COMPUTED_VALUE"""),5.0)</f>
        <v>5</v>
      </c>
      <c r="N351" s="5">
        <f>IFERROR(__xludf.DUMMYFUNCTION("""COMPUTED_VALUE"""),2.0)</f>
        <v>2</v>
      </c>
      <c r="O351" s="5">
        <f>IFERROR(__xludf.DUMMYFUNCTION("""COMPUTED_VALUE"""),2000.0)</f>
        <v>2000</v>
      </c>
    </row>
    <row r="352">
      <c r="A352" s="1" t="s">
        <v>261</v>
      </c>
      <c r="B352" s="4">
        <v>10.0</v>
      </c>
      <c r="C352" s="1" t="s">
        <v>125</v>
      </c>
      <c r="D352" s="4">
        <v>28.0</v>
      </c>
      <c r="E352" s="4">
        <v>18.0</v>
      </c>
      <c r="F352" s="4">
        <v>14.0</v>
      </c>
      <c r="G352" s="4">
        <v>4.0</v>
      </c>
      <c r="H352" s="4">
        <v>0.0</v>
      </c>
      <c r="I352" s="4">
        <v>93.0</v>
      </c>
      <c r="J352" s="4">
        <v>52.0</v>
      </c>
      <c r="K352" s="4">
        <v>41.0</v>
      </c>
      <c r="L352" s="2" t="s">
        <v>271</v>
      </c>
      <c r="M352" s="5">
        <f>IFERROR(__xludf.DUMMYFUNCTION("""COMPUTED_VALUE"""),1.0)</f>
        <v>1</v>
      </c>
      <c r="N352" s="5">
        <f>IFERROR(__xludf.DUMMYFUNCTION("""COMPUTED_VALUE"""),1.0)</f>
        <v>1</v>
      </c>
      <c r="O352" s="5">
        <f>IFERROR(__xludf.DUMMYFUNCTION("""COMPUTED_VALUE"""),2000.0)</f>
        <v>2000</v>
      </c>
    </row>
    <row r="353">
      <c r="A353" s="1" t="s">
        <v>261</v>
      </c>
      <c r="B353" s="4">
        <v>11.0</v>
      </c>
      <c r="C353" s="1" t="s">
        <v>56</v>
      </c>
      <c r="D353" s="4">
        <v>28.0</v>
      </c>
      <c r="E353" s="4">
        <v>19.0</v>
      </c>
      <c r="F353" s="4">
        <v>14.0</v>
      </c>
      <c r="G353" s="4">
        <v>5.0</v>
      </c>
      <c r="H353" s="4">
        <v>0.0</v>
      </c>
      <c r="I353" s="4">
        <v>77.0</v>
      </c>
      <c r="J353" s="4">
        <v>39.0</v>
      </c>
      <c r="K353" s="4">
        <v>38.0</v>
      </c>
      <c r="L353" s="2" t="s">
        <v>263</v>
      </c>
      <c r="M353" s="5">
        <f>IFERROR(__xludf.DUMMYFUNCTION("""COMPUTED_VALUE"""),6.0)</f>
        <v>6</v>
      </c>
      <c r="N353" s="5">
        <f>IFERROR(__xludf.DUMMYFUNCTION("""COMPUTED_VALUE"""),0.0)</f>
        <v>0</v>
      </c>
      <c r="O353" s="5">
        <f>IFERROR(__xludf.DUMMYFUNCTION("""COMPUTED_VALUE"""),0.0)</f>
        <v>0</v>
      </c>
    </row>
    <row r="354">
      <c r="A354" s="1" t="s">
        <v>261</v>
      </c>
      <c r="B354" s="4">
        <v>12.0</v>
      </c>
      <c r="C354" s="1" t="s">
        <v>131</v>
      </c>
      <c r="D354" s="4">
        <v>26.0</v>
      </c>
      <c r="E354" s="4">
        <v>14.0</v>
      </c>
      <c r="F354" s="4">
        <v>13.0</v>
      </c>
      <c r="G354" s="4">
        <v>1.0</v>
      </c>
      <c r="H354" s="4">
        <v>0.0</v>
      </c>
      <c r="I354" s="4">
        <v>100.0</v>
      </c>
      <c r="J354" s="4">
        <v>35.0</v>
      </c>
      <c r="K354" s="4">
        <v>65.0</v>
      </c>
      <c r="L354" s="2" t="s">
        <v>272</v>
      </c>
      <c r="M354" s="5">
        <f>IFERROR(__xludf.DUMMYFUNCTION("""COMPUTED_VALUE"""),3.0)</f>
        <v>3</v>
      </c>
      <c r="N354" s="5">
        <f>IFERROR(__xludf.DUMMYFUNCTION("""COMPUTED_VALUE"""),0.0)</f>
        <v>0</v>
      </c>
      <c r="O354" s="5">
        <f>IFERROR(__xludf.DUMMYFUNCTION("""COMPUTED_VALUE"""),0.0)</f>
        <v>0</v>
      </c>
    </row>
    <row r="355">
      <c r="A355" s="1" t="s">
        <v>261</v>
      </c>
      <c r="B355" s="4">
        <v>13.0</v>
      </c>
      <c r="C355" s="1" t="s">
        <v>156</v>
      </c>
      <c r="D355" s="4">
        <v>26.0</v>
      </c>
      <c r="E355" s="4">
        <v>19.0</v>
      </c>
      <c r="F355" s="4">
        <v>13.0</v>
      </c>
      <c r="G355" s="4">
        <v>6.0</v>
      </c>
      <c r="H355" s="4">
        <v>0.0</v>
      </c>
      <c r="I355" s="4">
        <v>116.0</v>
      </c>
      <c r="J355" s="4">
        <v>54.0</v>
      </c>
      <c r="K355" s="4">
        <v>62.0</v>
      </c>
      <c r="L355" s="2" t="s">
        <v>273</v>
      </c>
      <c r="M355" s="5">
        <f>IFERROR(__xludf.DUMMYFUNCTION("""COMPUTED_VALUE"""),11.0)</f>
        <v>11</v>
      </c>
      <c r="N355" s="5">
        <f>IFERROR(__xludf.DUMMYFUNCTION("""COMPUTED_VALUE"""),3.0)</f>
        <v>3</v>
      </c>
      <c r="O355" s="5">
        <f>IFERROR(__xludf.DUMMYFUNCTION("""COMPUTED_VALUE"""),2000.0)</f>
        <v>2000</v>
      </c>
    </row>
    <row r="356">
      <c r="A356" s="1" t="s">
        <v>261</v>
      </c>
      <c r="B356" s="4">
        <v>14.0</v>
      </c>
      <c r="C356" s="1" t="s">
        <v>96</v>
      </c>
      <c r="D356" s="4">
        <v>26.0</v>
      </c>
      <c r="E356" s="4">
        <v>22.0</v>
      </c>
      <c r="F356" s="4">
        <v>13.0</v>
      </c>
      <c r="G356" s="4">
        <v>9.0</v>
      </c>
      <c r="H356" s="4">
        <v>0.0</v>
      </c>
      <c r="I356" s="4">
        <v>109.0</v>
      </c>
      <c r="J356" s="4">
        <v>69.0</v>
      </c>
      <c r="K356" s="4">
        <v>40.0</v>
      </c>
      <c r="L356" s="2" t="s">
        <v>267</v>
      </c>
      <c r="M356" s="5">
        <f>IFERROR(__xludf.DUMMYFUNCTION("""COMPUTED_VALUE"""),4.0)</f>
        <v>4</v>
      </c>
      <c r="N356" s="5">
        <f>IFERROR(__xludf.DUMMYFUNCTION("""COMPUTED_VALUE"""),2.0)</f>
        <v>2</v>
      </c>
      <c r="O356" s="5">
        <f>IFERROR(__xludf.DUMMYFUNCTION("""COMPUTED_VALUE"""),2000.0)</f>
        <v>2000</v>
      </c>
    </row>
    <row r="357">
      <c r="A357" s="1" t="s">
        <v>261</v>
      </c>
      <c r="B357" s="4">
        <v>15.0</v>
      </c>
      <c r="C357" s="1" t="s">
        <v>90</v>
      </c>
      <c r="D357" s="4">
        <v>26.0</v>
      </c>
      <c r="E357" s="4">
        <v>19.0</v>
      </c>
      <c r="F357" s="4">
        <v>13.0</v>
      </c>
      <c r="G357" s="4">
        <v>6.0</v>
      </c>
      <c r="H357" s="4">
        <v>0.0</v>
      </c>
      <c r="I357" s="4">
        <v>74.0</v>
      </c>
      <c r="J357" s="4">
        <v>43.0</v>
      </c>
      <c r="K357" s="4">
        <v>31.0</v>
      </c>
      <c r="L357" s="2" t="s">
        <v>274</v>
      </c>
      <c r="M357" s="5">
        <f>IFERROR(__xludf.DUMMYFUNCTION("""COMPUTED_VALUE"""),6.0)</f>
        <v>6</v>
      </c>
      <c r="N357" s="5">
        <f>IFERROR(__xludf.DUMMYFUNCTION("""COMPUTED_VALUE"""),1.0)</f>
        <v>1</v>
      </c>
      <c r="O357" s="5">
        <f>IFERROR(__xludf.DUMMYFUNCTION("""COMPUTED_VALUE"""),2000.0)</f>
        <v>2000</v>
      </c>
    </row>
    <row r="358">
      <c r="A358" s="1" t="s">
        <v>261</v>
      </c>
      <c r="B358" s="4">
        <v>16.0</v>
      </c>
      <c r="C358" s="1" t="s">
        <v>128</v>
      </c>
      <c r="D358" s="4">
        <v>25.0</v>
      </c>
      <c r="E358" s="4">
        <v>20.0</v>
      </c>
      <c r="F358" s="4">
        <v>12.0</v>
      </c>
      <c r="G358" s="4">
        <v>7.0</v>
      </c>
      <c r="H358" s="4">
        <v>1.0</v>
      </c>
      <c r="I358" s="4">
        <v>68.0</v>
      </c>
      <c r="J358" s="4">
        <v>34.0</v>
      </c>
      <c r="K358" s="4">
        <v>34.0</v>
      </c>
      <c r="L358" s="2" t="s">
        <v>275</v>
      </c>
      <c r="M358" s="5">
        <f>IFERROR(__xludf.DUMMYFUNCTION("""COMPUTED_VALUE"""),2.0)</f>
        <v>2</v>
      </c>
      <c r="N358" s="5">
        <f>IFERROR(__xludf.DUMMYFUNCTION("""COMPUTED_VALUE"""),3.0)</f>
        <v>3</v>
      </c>
      <c r="O358" s="5">
        <f>IFERROR(__xludf.DUMMYFUNCTION("""COMPUTED_VALUE"""),2001.0)</f>
        <v>2001</v>
      </c>
    </row>
    <row r="359">
      <c r="A359" s="1" t="s">
        <v>261</v>
      </c>
      <c r="B359" s="4">
        <v>17.0</v>
      </c>
      <c r="C359" s="1" t="s">
        <v>68</v>
      </c>
      <c r="D359" s="4">
        <v>25.0</v>
      </c>
      <c r="E359" s="4">
        <v>22.0</v>
      </c>
      <c r="F359" s="4">
        <v>12.0</v>
      </c>
      <c r="G359" s="4">
        <v>9.0</v>
      </c>
      <c r="H359" s="4">
        <v>1.0</v>
      </c>
      <c r="I359" s="4">
        <v>85.0</v>
      </c>
      <c r="J359" s="4">
        <v>64.0</v>
      </c>
      <c r="K359" s="4">
        <v>21.0</v>
      </c>
      <c r="L359" s="2" t="s">
        <v>276</v>
      </c>
      <c r="M359" s="5">
        <f>IFERROR(__xludf.DUMMYFUNCTION("""COMPUTED_VALUE"""),4.0)</f>
        <v>4</v>
      </c>
      <c r="N359" s="5">
        <f>IFERROR(__xludf.DUMMYFUNCTION("""COMPUTED_VALUE"""),3.0)</f>
        <v>3</v>
      </c>
      <c r="O359" s="5">
        <f>IFERROR(__xludf.DUMMYFUNCTION("""COMPUTED_VALUE"""),2001.0)</f>
        <v>2001</v>
      </c>
    </row>
    <row r="360">
      <c r="A360" s="1" t="s">
        <v>261</v>
      </c>
      <c r="B360" s="4">
        <v>18.0</v>
      </c>
      <c r="C360" s="1" t="s">
        <v>62</v>
      </c>
      <c r="D360" s="4">
        <v>25.0</v>
      </c>
      <c r="E360" s="4">
        <v>23.0</v>
      </c>
      <c r="F360" s="4">
        <v>12.0</v>
      </c>
      <c r="G360" s="4">
        <v>10.0</v>
      </c>
      <c r="H360" s="4">
        <v>1.0</v>
      </c>
      <c r="I360" s="4">
        <v>69.0</v>
      </c>
      <c r="J360" s="4">
        <v>55.0</v>
      </c>
      <c r="K360" s="4">
        <v>14.0</v>
      </c>
      <c r="L360" s="2" t="s">
        <v>277</v>
      </c>
      <c r="M360" s="5">
        <f>IFERROR(__xludf.DUMMYFUNCTION("""COMPUTED_VALUE"""),4.0)</f>
        <v>4</v>
      </c>
      <c r="N360" s="5">
        <f>IFERROR(__xludf.DUMMYFUNCTION("""COMPUTED_VALUE"""),4.0)</f>
        <v>4</v>
      </c>
      <c r="O360" s="5">
        <f>IFERROR(__xludf.DUMMYFUNCTION("""COMPUTED_VALUE"""),2001.0)</f>
        <v>2001</v>
      </c>
    </row>
    <row r="361">
      <c r="A361" s="1" t="s">
        <v>261</v>
      </c>
      <c r="B361" s="4">
        <v>19.0</v>
      </c>
      <c r="C361" s="1" t="s">
        <v>43</v>
      </c>
      <c r="D361" s="4">
        <v>24.0</v>
      </c>
      <c r="E361" s="4">
        <v>15.0</v>
      </c>
      <c r="F361" s="4">
        <v>12.0</v>
      </c>
      <c r="G361" s="4">
        <v>3.0</v>
      </c>
      <c r="H361" s="4">
        <v>0.0</v>
      </c>
      <c r="I361" s="4">
        <v>69.0</v>
      </c>
      <c r="J361" s="4">
        <v>29.0</v>
      </c>
      <c r="K361" s="4">
        <v>40.0</v>
      </c>
      <c r="L361" s="2" t="s">
        <v>272</v>
      </c>
      <c r="M361" s="5">
        <f>IFERROR(__xludf.DUMMYFUNCTION("""COMPUTED_VALUE"""),3.0)</f>
        <v>3</v>
      </c>
      <c r="N361" s="5">
        <f>IFERROR(__xludf.DUMMYFUNCTION("""COMPUTED_VALUE"""),0.0)</f>
        <v>0</v>
      </c>
      <c r="O361" s="5">
        <f>IFERROR(__xludf.DUMMYFUNCTION("""COMPUTED_VALUE"""),0.0)</f>
        <v>0</v>
      </c>
    </row>
    <row r="362">
      <c r="A362" s="1" t="s">
        <v>261</v>
      </c>
      <c r="B362" s="4">
        <v>20.0</v>
      </c>
      <c r="C362" s="1" t="s">
        <v>113</v>
      </c>
      <c r="D362" s="4">
        <v>23.0</v>
      </c>
      <c r="E362" s="4">
        <v>18.0</v>
      </c>
      <c r="F362" s="4">
        <v>11.0</v>
      </c>
      <c r="G362" s="4">
        <v>6.0</v>
      </c>
      <c r="H362" s="4">
        <v>1.0</v>
      </c>
      <c r="I362" s="4">
        <v>82.0</v>
      </c>
      <c r="J362" s="4">
        <v>42.0</v>
      </c>
      <c r="K362" s="4">
        <v>40.0</v>
      </c>
      <c r="L362" s="2" t="s">
        <v>278</v>
      </c>
      <c r="M362" s="5">
        <f>IFERROR(__xludf.DUMMYFUNCTION("""COMPUTED_VALUE"""),1.0)</f>
        <v>1</v>
      </c>
      <c r="N362" s="5">
        <f>IFERROR(__xludf.DUMMYFUNCTION("""COMPUTED_VALUE"""),5.0)</f>
        <v>5</v>
      </c>
      <c r="O362" s="5">
        <f>IFERROR(__xludf.DUMMYFUNCTION("""COMPUTED_VALUE"""),2001.0)</f>
        <v>2001</v>
      </c>
    </row>
    <row r="363">
      <c r="A363" s="1" t="s">
        <v>261</v>
      </c>
      <c r="B363" s="4">
        <v>21.0</v>
      </c>
      <c r="C363" s="1" t="s">
        <v>16</v>
      </c>
      <c r="D363" s="4">
        <v>22.0</v>
      </c>
      <c r="E363" s="4">
        <v>16.0</v>
      </c>
      <c r="F363" s="4">
        <v>11.0</v>
      </c>
      <c r="G363" s="4">
        <v>5.0</v>
      </c>
      <c r="H363" s="4">
        <v>0.0</v>
      </c>
      <c r="I363" s="4">
        <v>59.0</v>
      </c>
      <c r="J363" s="4">
        <v>34.0</v>
      </c>
      <c r="K363" s="4">
        <v>25.0</v>
      </c>
      <c r="L363" s="2" t="s">
        <v>279</v>
      </c>
      <c r="M363" s="5">
        <f>IFERROR(__xludf.DUMMYFUNCTION("""COMPUTED_VALUE"""),7.0)</f>
        <v>7</v>
      </c>
      <c r="N363" s="5">
        <f>IFERROR(__xludf.DUMMYFUNCTION("""COMPUTED_VALUE"""),2.0)</f>
        <v>2</v>
      </c>
      <c r="O363" s="5">
        <f>IFERROR(__xludf.DUMMYFUNCTION("""COMPUTED_VALUE"""),2000.0)</f>
        <v>2000</v>
      </c>
    </row>
    <row r="364">
      <c r="A364" s="1" t="s">
        <v>261</v>
      </c>
      <c r="B364" s="4">
        <v>22.0</v>
      </c>
      <c r="C364" s="1" t="s">
        <v>83</v>
      </c>
      <c r="D364" s="4">
        <v>22.0</v>
      </c>
      <c r="E364" s="4">
        <v>16.0</v>
      </c>
      <c r="F364" s="4">
        <v>11.0</v>
      </c>
      <c r="G364" s="4">
        <v>5.0</v>
      </c>
      <c r="H364" s="4">
        <v>0.0</v>
      </c>
      <c r="I364" s="4">
        <v>60.0</v>
      </c>
      <c r="J364" s="4">
        <v>35.0</v>
      </c>
      <c r="K364" s="4">
        <v>25.0</v>
      </c>
      <c r="L364" s="2" t="s">
        <v>272</v>
      </c>
      <c r="M364" s="5">
        <f>IFERROR(__xludf.DUMMYFUNCTION("""COMPUTED_VALUE"""),3.0)</f>
        <v>3</v>
      </c>
      <c r="N364" s="5">
        <f>IFERROR(__xludf.DUMMYFUNCTION("""COMPUTED_VALUE"""),0.0)</f>
        <v>0</v>
      </c>
      <c r="O364" s="5">
        <f>IFERROR(__xludf.DUMMYFUNCTION("""COMPUTED_VALUE"""),0.0)</f>
        <v>0</v>
      </c>
    </row>
    <row r="365">
      <c r="A365" s="1" t="s">
        <v>261</v>
      </c>
      <c r="B365" s="4">
        <v>23.0</v>
      </c>
      <c r="C365" s="1" t="s">
        <v>60</v>
      </c>
      <c r="D365" s="4">
        <v>22.0</v>
      </c>
      <c r="E365" s="4">
        <v>19.0</v>
      </c>
      <c r="F365" s="4">
        <v>11.0</v>
      </c>
      <c r="G365" s="4">
        <v>8.0</v>
      </c>
      <c r="H365" s="4">
        <v>0.0</v>
      </c>
      <c r="I365" s="4">
        <v>69.0</v>
      </c>
      <c r="J365" s="4">
        <v>52.0</v>
      </c>
      <c r="K365" s="4">
        <v>17.0</v>
      </c>
      <c r="L365" s="2" t="s">
        <v>280</v>
      </c>
      <c r="M365" s="5">
        <f>IFERROR(__xludf.DUMMYFUNCTION("""COMPUTED_VALUE"""),2.0)</f>
        <v>2</v>
      </c>
      <c r="N365" s="5">
        <f>IFERROR(__xludf.DUMMYFUNCTION("""COMPUTED_VALUE"""),2.0)</f>
        <v>2</v>
      </c>
      <c r="O365" s="5">
        <f>IFERROR(__xludf.DUMMYFUNCTION("""COMPUTED_VALUE"""),2000.0)</f>
        <v>2000</v>
      </c>
    </row>
    <row r="366">
      <c r="A366" s="1" t="s">
        <v>261</v>
      </c>
      <c r="B366" s="4">
        <v>24.0</v>
      </c>
      <c r="C366" s="1" t="s">
        <v>39</v>
      </c>
      <c r="D366" s="4">
        <v>22.0</v>
      </c>
      <c r="E366" s="4">
        <v>20.0</v>
      </c>
      <c r="F366" s="4">
        <v>11.0</v>
      </c>
      <c r="G366" s="4">
        <v>9.0</v>
      </c>
      <c r="H366" s="4">
        <v>0.0</v>
      </c>
      <c r="I366" s="4">
        <v>67.0</v>
      </c>
      <c r="J366" s="4">
        <v>56.0</v>
      </c>
      <c r="K366" s="4">
        <v>11.0</v>
      </c>
      <c r="L366" s="2" t="s">
        <v>281</v>
      </c>
      <c r="M366" s="5">
        <f>IFERROR(__xludf.DUMMYFUNCTION("""COMPUTED_VALUE"""),5.0)</f>
        <v>5</v>
      </c>
      <c r="N366" s="5">
        <f>IFERROR(__xludf.DUMMYFUNCTION("""COMPUTED_VALUE"""),3.0)</f>
        <v>3</v>
      </c>
      <c r="O366" s="5">
        <f>IFERROR(__xludf.DUMMYFUNCTION("""COMPUTED_VALUE"""),2000.0)</f>
        <v>2000</v>
      </c>
    </row>
    <row r="367">
      <c r="A367" s="1" t="s">
        <v>261</v>
      </c>
      <c r="B367" s="4">
        <v>25.0</v>
      </c>
      <c r="C367" s="1" t="s">
        <v>31</v>
      </c>
      <c r="D367" s="4">
        <v>22.0</v>
      </c>
      <c r="E367" s="4">
        <v>23.0</v>
      </c>
      <c r="F367" s="4">
        <v>11.0</v>
      </c>
      <c r="G367" s="4">
        <v>12.0</v>
      </c>
      <c r="H367" s="4">
        <v>0.0</v>
      </c>
      <c r="I367" s="4">
        <v>78.0</v>
      </c>
      <c r="J367" s="4">
        <v>71.0</v>
      </c>
      <c r="K367" s="4">
        <v>7.0</v>
      </c>
      <c r="L367" s="2" t="s">
        <v>282</v>
      </c>
      <c r="M367" s="5">
        <f>IFERROR(__xludf.DUMMYFUNCTION("""COMPUTED_VALUE"""),2.0)</f>
        <v>2</v>
      </c>
      <c r="N367" s="5">
        <f>IFERROR(__xludf.DUMMYFUNCTION("""COMPUTED_VALUE"""),4.0)</f>
        <v>4</v>
      </c>
      <c r="O367" s="5">
        <f>IFERROR(__xludf.DUMMYFUNCTION("""COMPUTED_VALUE"""),2000.0)</f>
        <v>2000</v>
      </c>
    </row>
    <row r="368">
      <c r="A368" s="1" t="s">
        <v>261</v>
      </c>
      <c r="B368" s="4">
        <v>26.0</v>
      </c>
      <c r="C368" s="1" t="s">
        <v>123</v>
      </c>
      <c r="D368" s="4">
        <v>21.0</v>
      </c>
      <c r="E368" s="4">
        <v>17.0</v>
      </c>
      <c r="F368" s="4">
        <v>10.0</v>
      </c>
      <c r="G368" s="4">
        <v>6.0</v>
      </c>
      <c r="H368" s="4">
        <v>1.0</v>
      </c>
      <c r="I368" s="4">
        <v>65.0</v>
      </c>
      <c r="J368" s="4">
        <v>67.0</v>
      </c>
      <c r="K368" s="4">
        <v>-2.0</v>
      </c>
      <c r="L368" s="2" t="s">
        <v>283</v>
      </c>
      <c r="M368" s="5">
        <f>IFERROR(__xludf.DUMMYFUNCTION("""COMPUTED_VALUE"""),4.0)</f>
        <v>4</v>
      </c>
      <c r="N368" s="5">
        <f>IFERROR(__xludf.DUMMYFUNCTION("""COMPUTED_VALUE"""),6.0)</f>
        <v>6</v>
      </c>
      <c r="O368" s="5">
        <f>IFERROR(__xludf.DUMMYFUNCTION("""COMPUTED_VALUE"""),2001.0)</f>
        <v>2001</v>
      </c>
    </row>
    <row r="369">
      <c r="A369" s="1" t="s">
        <v>261</v>
      </c>
      <c r="B369" s="4">
        <v>27.0</v>
      </c>
      <c r="C369" s="1" t="s">
        <v>75</v>
      </c>
      <c r="D369" s="4">
        <v>20.0</v>
      </c>
      <c r="E369" s="4">
        <v>14.0</v>
      </c>
      <c r="F369" s="4">
        <v>10.0</v>
      </c>
      <c r="G369" s="4">
        <v>4.0</v>
      </c>
      <c r="H369" s="4">
        <v>0.0</v>
      </c>
      <c r="I369" s="4">
        <v>82.0</v>
      </c>
      <c r="J369" s="4">
        <v>29.0</v>
      </c>
      <c r="K369" s="4">
        <v>53.0</v>
      </c>
      <c r="L369" s="2" t="s">
        <v>284</v>
      </c>
      <c r="M369" s="5">
        <f>IFERROR(__xludf.DUMMYFUNCTION("""COMPUTED_VALUE"""),6.0)</f>
        <v>6</v>
      </c>
      <c r="N369" s="5">
        <f>IFERROR(__xludf.DUMMYFUNCTION("""COMPUTED_VALUE"""),4.0)</f>
        <v>4</v>
      </c>
      <c r="O369" s="5">
        <f>IFERROR(__xludf.DUMMYFUNCTION("""COMPUTED_VALUE"""),2000.0)</f>
        <v>2000</v>
      </c>
    </row>
    <row r="370">
      <c r="A370" s="1" t="s">
        <v>261</v>
      </c>
      <c r="B370" s="4">
        <v>28.0</v>
      </c>
      <c r="C370" s="1" t="s">
        <v>33</v>
      </c>
      <c r="D370" s="4">
        <v>20.0</v>
      </c>
      <c r="E370" s="4">
        <v>12.0</v>
      </c>
      <c r="F370" s="4">
        <v>10.0</v>
      </c>
      <c r="G370" s="4">
        <v>2.0</v>
      </c>
      <c r="H370" s="4">
        <v>0.0</v>
      </c>
      <c r="I370" s="4">
        <v>78.0</v>
      </c>
      <c r="J370" s="4">
        <v>43.0</v>
      </c>
      <c r="K370" s="4">
        <v>35.0</v>
      </c>
      <c r="L370" s="2" t="s">
        <v>285</v>
      </c>
      <c r="M370" s="5">
        <f>IFERROR(__xludf.DUMMYFUNCTION("""COMPUTED_VALUE"""),0.0)</f>
        <v>0</v>
      </c>
      <c r="N370" s="5">
        <f>IFERROR(__xludf.DUMMYFUNCTION("""COMPUTED_VALUE"""),0.0)</f>
        <v>0</v>
      </c>
      <c r="O370" s="5">
        <f>IFERROR(__xludf.DUMMYFUNCTION("""COMPUTED_VALUE"""),0.0)</f>
        <v>0</v>
      </c>
    </row>
    <row r="371">
      <c r="A371" s="1" t="s">
        <v>261</v>
      </c>
      <c r="B371" s="4">
        <v>29.0</v>
      </c>
      <c r="C371" s="1" t="s">
        <v>25</v>
      </c>
      <c r="D371" s="4">
        <v>20.0</v>
      </c>
      <c r="E371" s="4">
        <v>16.0</v>
      </c>
      <c r="F371" s="4">
        <v>10.0</v>
      </c>
      <c r="G371" s="4">
        <v>6.0</v>
      </c>
      <c r="H371" s="4">
        <v>0.0</v>
      </c>
      <c r="I371" s="4">
        <v>75.0</v>
      </c>
      <c r="J371" s="4">
        <v>45.0</v>
      </c>
      <c r="K371" s="4">
        <v>30.0</v>
      </c>
      <c r="L371" s="2" t="s">
        <v>284</v>
      </c>
      <c r="M371" s="5">
        <f>IFERROR(__xludf.DUMMYFUNCTION("""COMPUTED_VALUE"""),6.0)</f>
        <v>6</v>
      </c>
      <c r="N371" s="5">
        <f>IFERROR(__xludf.DUMMYFUNCTION("""COMPUTED_VALUE"""),4.0)</f>
        <v>4</v>
      </c>
      <c r="O371" s="5">
        <f>IFERROR(__xludf.DUMMYFUNCTION("""COMPUTED_VALUE"""),2000.0)</f>
        <v>2000</v>
      </c>
    </row>
    <row r="372">
      <c r="A372" s="1" t="s">
        <v>261</v>
      </c>
      <c r="B372" s="4">
        <v>30.0</v>
      </c>
      <c r="C372" s="1" t="s">
        <v>45</v>
      </c>
      <c r="D372" s="4">
        <v>20.0</v>
      </c>
      <c r="E372" s="4">
        <v>18.0</v>
      </c>
      <c r="F372" s="4">
        <v>10.0</v>
      </c>
      <c r="G372" s="4">
        <v>8.0</v>
      </c>
      <c r="H372" s="4">
        <v>0.0</v>
      </c>
      <c r="I372" s="4">
        <v>83.0</v>
      </c>
      <c r="J372" s="4">
        <v>53.0</v>
      </c>
      <c r="K372" s="4">
        <v>30.0</v>
      </c>
      <c r="L372" s="2" t="s">
        <v>286</v>
      </c>
      <c r="M372" s="5">
        <f>IFERROR(__xludf.DUMMYFUNCTION("""COMPUTED_VALUE"""),8.0)</f>
        <v>8</v>
      </c>
      <c r="N372" s="5">
        <f>IFERROR(__xludf.DUMMYFUNCTION("""COMPUTED_VALUE"""),2.0)</f>
        <v>2</v>
      </c>
      <c r="O372" s="5">
        <f>IFERROR(__xludf.DUMMYFUNCTION("""COMPUTED_VALUE"""),2000.0)</f>
        <v>2000</v>
      </c>
    </row>
    <row r="373">
      <c r="A373" s="1" t="s">
        <v>261</v>
      </c>
      <c r="B373" s="4">
        <v>31.0</v>
      </c>
      <c r="C373" s="1" t="s">
        <v>79</v>
      </c>
      <c r="D373" s="4">
        <v>20.0</v>
      </c>
      <c r="E373" s="4">
        <v>15.0</v>
      </c>
      <c r="F373" s="4">
        <v>10.0</v>
      </c>
      <c r="G373" s="4">
        <v>5.0</v>
      </c>
      <c r="H373" s="4">
        <v>0.0</v>
      </c>
      <c r="I373" s="4">
        <v>71.0</v>
      </c>
      <c r="J373" s="4">
        <v>43.0</v>
      </c>
      <c r="K373" s="4">
        <v>28.0</v>
      </c>
      <c r="L373" s="2" t="s">
        <v>287</v>
      </c>
      <c r="M373" s="5">
        <f>IFERROR(__xludf.DUMMYFUNCTION("""COMPUTED_VALUE"""),9.0)</f>
        <v>9</v>
      </c>
      <c r="N373" s="5">
        <f>IFERROR(__xludf.DUMMYFUNCTION("""COMPUTED_VALUE"""),2.0)</f>
        <v>2</v>
      </c>
      <c r="O373" s="5">
        <f>IFERROR(__xludf.DUMMYFUNCTION("""COMPUTED_VALUE"""),2000.0)</f>
        <v>2000</v>
      </c>
    </row>
    <row r="374">
      <c r="A374" s="1" t="s">
        <v>261</v>
      </c>
      <c r="B374" s="4">
        <v>32.0</v>
      </c>
      <c r="C374" s="1" t="s">
        <v>18</v>
      </c>
      <c r="D374" s="4">
        <v>20.0</v>
      </c>
      <c r="E374" s="4">
        <v>15.0</v>
      </c>
      <c r="F374" s="4">
        <v>10.0</v>
      </c>
      <c r="G374" s="4">
        <v>5.0</v>
      </c>
      <c r="H374" s="4">
        <v>0.0</v>
      </c>
      <c r="I374" s="4">
        <v>59.0</v>
      </c>
      <c r="J374" s="4">
        <v>46.0</v>
      </c>
      <c r="K374" s="4">
        <v>13.0</v>
      </c>
      <c r="L374" s="2" t="s">
        <v>285</v>
      </c>
      <c r="M374" s="5">
        <f>IFERROR(__xludf.DUMMYFUNCTION("""COMPUTED_VALUE"""),0.0)</f>
        <v>0</v>
      </c>
      <c r="N374" s="5">
        <f>IFERROR(__xludf.DUMMYFUNCTION("""COMPUTED_VALUE"""),0.0)</f>
        <v>0</v>
      </c>
      <c r="O374" s="5">
        <f>IFERROR(__xludf.DUMMYFUNCTION("""COMPUTED_VALUE"""),0.0)</f>
        <v>0</v>
      </c>
    </row>
    <row r="375">
      <c r="A375" s="1" t="s">
        <v>261</v>
      </c>
      <c r="B375" s="4">
        <v>33.0</v>
      </c>
      <c r="C375" s="1" t="s">
        <v>81</v>
      </c>
      <c r="D375" s="4">
        <v>20.0</v>
      </c>
      <c r="E375" s="4">
        <v>19.0</v>
      </c>
      <c r="F375" s="4">
        <v>10.0</v>
      </c>
      <c r="G375" s="4">
        <v>9.0</v>
      </c>
      <c r="H375" s="4">
        <v>0.0</v>
      </c>
      <c r="I375" s="4">
        <v>56.0</v>
      </c>
      <c r="J375" s="4">
        <v>58.0</v>
      </c>
      <c r="K375" s="4">
        <v>-2.0</v>
      </c>
      <c r="L375" s="2" t="s">
        <v>270</v>
      </c>
      <c r="M375" s="5">
        <f>IFERROR(__xludf.DUMMYFUNCTION("""COMPUTED_VALUE"""),5.0)</f>
        <v>5</v>
      </c>
      <c r="N375" s="5">
        <f>IFERROR(__xludf.DUMMYFUNCTION("""COMPUTED_VALUE"""),2.0)</f>
        <v>2</v>
      </c>
      <c r="O375" s="5">
        <f>IFERROR(__xludf.DUMMYFUNCTION("""COMPUTED_VALUE"""),2000.0)</f>
        <v>2000</v>
      </c>
    </row>
    <row r="376">
      <c r="A376" s="1" t="s">
        <v>261</v>
      </c>
      <c r="B376" s="4">
        <v>34.0</v>
      </c>
      <c r="C376" s="1" t="s">
        <v>66</v>
      </c>
      <c r="D376" s="4">
        <v>19.0</v>
      </c>
      <c r="E376" s="4">
        <v>17.0</v>
      </c>
      <c r="F376" s="4">
        <v>9.0</v>
      </c>
      <c r="G376" s="4">
        <v>7.0</v>
      </c>
      <c r="H376" s="4">
        <v>1.0</v>
      </c>
      <c r="I376" s="4">
        <v>86.0</v>
      </c>
      <c r="J376" s="4">
        <v>54.0</v>
      </c>
      <c r="K376" s="4">
        <v>32.0</v>
      </c>
      <c r="L376" s="2" t="s">
        <v>288</v>
      </c>
      <c r="M376" s="5">
        <f>IFERROR(__xludf.DUMMYFUNCTION("""COMPUTED_VALUE"""),6.0)</f>
        <v>6</v>
      </c>
      <c r="N376" s="5">
        <f>IFERROR(__xludf.DUMMYFUNCTION("""COMPUTED_VALUE"""),4.0)</f>
        <v>4</v>
      </c>
      <c r="O376" s="5">
        <f>IFERROR(__xludf.DUMMYFUNCTION("""COMPUTED_VALUE"""),2001.0)</f>
        <v>2001</v>
      </c>
    </row>
    <row r="377">
      <c r="A377" s="1" t="s">
        <v>261</v>
      </c>
      <c r="B377" s="4">
        <v>35.0</v>
      </c>
      <c r="C377" s="1" t="s">
        <v>134</v>
      </c>
      <c r="D377" s="4">
        <v>18.0</v>
      </c>
      <c r="E377" s="4">
        <v>18.0</v>
      </c>
      <c r="F377" s="4">
        <v>9.0</v>
      </c>
      <c r="G377" s="4">
        <v>9.0</v>
      </c>
      <c r="H377" s="4">
        <v>0.0</v>
      </c>
      <c r="I377" s="4">
        <v>71.0</v>
      </c>
      <c r="J377" s="4">
        <v>53.0</v>
      </c>
      <c r="K377" s="4">
        <v>18.0</v>
      </c>
      <c r="L377" s="2" t="s">
        <v>289</v>
      </c>
      <c r="M377" s="5">
        <f>IFERROR(__xludf.DUMMYFUNCTION("""COMPUTED_VALUE"""),7.0)</f>
        <v>7</v>
      </c>
      <c r="N377" s="5">
        <f>IFERROR(__xludf.DUMMYFUNCTION("""COMPUTED_VALUE"""),5.0)</f>
        <v>5</v>
      </c>
      <c r="O377" s="5">
        <f>IFERROR(__xludf.DUMMYFUNCTION("""COMPUTED_VALUE"""),2000.0)</f>
        <v>2000</v>
      </c>
    </row>
    <row r="378">
      <c r="A378" s="1" t="s">
        <v>261</v>
      </c>
      <c r="B378" s="4">
        <v>36.0</v>
      </c>
      <c r="C378" s="1" t="s">
        <v>50</v>
      </c>
      <c r="D378" s="4">
        <v>18.0</v>
      </c>
      <c r="E378" s="4">
        <v>12.0</v>
      </c>
      <c r="F378" s="4">
        <v>9.0</v>
      </c>
      <c r="G378" s="4">
        <v>3.0</v>
      </c>
      <c r="H378" s="4">
        <v>0.0</v>
      </c>
      <c r="I378" s="4">
        <v>55.0</v>
      </c>
      <c r="J378" s="4">
        <v>42.0</v>
      </c>
      <c r="K378" s="4">
        <v>13.0</v>
      </c>
      <c r="L378" s="2" t="s">
        <v>290</v>
      </c>
      <c r="M378" s="5">
        <f>IFERROR(__xludf.DUMMYFUNCTION("""COMPUTED_VALUE"""),1.0)</f>
        <v>1</v>
      </c>
      <c r="N378" s="5">
        <f>IFERROR(__xludf.DUMMYFUNCTION("""COMPUTED_VALUE"""),2.0)</f>
        <v>2</v>
      </c>
      <c r="O378" s="5">
        <f>IFERROR(__xludf.DUMMYFUNCTION("""COMPUTED_VALUE"""),2000.0)</f>
        <v>2000</v>
      </c>
    </row>
    <row r="379">
      <c r="A379" s="1" t="s">
        <v>261</v>
      </c>
      <c r="B379" s="4">
        <v>37.0</v>
      </c>
      <c r="C379" s="1" t="s">
        <v>117</v>
      </c>
      <c r="D379" s="4">
        <v>18.0</v>
      </c>
      <c r="E379" s="4">
        <v>19.0</v>
      </c>
      <c r="F379" s="4">
        <v>9.0</v>
      </c>
      <c r="G379" s="4">
        <v>10.0</v>
      </c>
      <c r="H379" s="4">
        <v>0.0</v>
      </c>
      <c r="I379" s="4">
        <v>77.0</v>
      </c>
      <c r="J379" s="4">
        <v>66.0</v>
      </c>
      <c r="K379" s="4">
        <v>11.0</v>
      </c>
      <c r="L379" s="2" t="s">
        <v>291</v>
      </c>
      <c r="M379" s="5">
        <f>IFERROR(__xludf.DUMMYFUNCTION("""COMPUTED_VALUE"""),5.0)</f>
        <v>5</v>
      </c>
      <c r="N379" s="5">
        <f>IFERROR(__xludf.DUMMYFUNCTION("""COMPUTED_VALUE"""),5.0)</f>
        <v>5</v>
      </c>
      <c r="O379" s="5">
        <f>IFERROR(__xludf.DUMMYFUNCTION("""COMPUTED_VALUE"""),2000.0)</f>
        <v>2000</v>
      </c>
    </row>
    <row r="380">
      <c r="A380" s="1" t="s">
        <v>261</v>
      </c>
      <c r="B380" s="4">
        <v>38.0</v>
      </c>
      <c r="C380" s="1" t="s">
        <v>105</v>
      </c>
      <c r="D380" s="4">
        <v>18.0</v>
      </c>
      <c r="E380" s="4">
        <v>18.0</v>
      </c>
      <c r="F380" s="4">
        <v>9.0</v>
      </c>
      <c r="G380" s="4">
        <v>9.0</v>
      </c>
      <c r="H380" s="4">
        <v>0.0</v>
      </c>
      <c r="I380" s="4">
        <v>64.0</v>
      </c>
      <c r="J380" s="4">
        <v>64.0</v>
      </c>
      <c r="K380" s="4">
        <v>0.0</v>
      </c>
      <c r="L380" s="2" t="s">
        <v>291</v>
      </c>
      <c r="M380" s="5">
        <f>IFERROR(__xludf.DUMMYFUNCTION("""COMPUTED_VALUE"""),5.0)</f>
        <v>5</v>
      </c>
      <c r="N380" s="5">
        <f>IFERROR(__xludf.DUMMYFUNCTION("""COMPUTED_VALUE"""),5.0)</f>
        <v>5</v>
      </c>
      <c r="O380" s="5">
        <f>IFERROR(__xludf.DUMMYFUNCTION("""COMPUTED_VALUE"""),2000.0)</f>
        <v>2000</v>
      </c>
    </row>
    <row r="381">
      <c r="A381" s="1" t="s">
        <v>261</v>
      </c>
      <c r="B381" s="4">
        <v>39.0</v>
      </c>
      <c r="C381" s="1" t="s">
        <v>99</v>
      </c>
      <c r="D381" s="4">
        <v>18.0</v>
      </c>
      <c r="E381" s="4">
        <v>18.0</v>
      </c>
      <c r="F381" s="4">
        <v>9.0</v>
      </c>
      <c r="G381" s="4">
        <v>9.0</v>
      </c>
      <c r="H381" s="4">
        <v>0.0</v>
      </c>
      <c r="I381" s="4">
        <v>62.0</v>
      </c>
      <c r="J381" s="4">
        <v>69.0</v>
      </c>
      <c r="K381" s="4">
        <v>-7.0</v>
      </c>
      <c r="L381" s="2" t="s">
        <v>280</v>
      </c>
      <c r="M381" s="5">
        <f>IFERROR(__xludf.DUMMYFUNCTION("""COMPUTED_VALUE"""),2.0)</f>
        <v>2</v>
      </c>
      <c r="N381" s="5">
        <f>IFERROR(__xludf.DUMMYFUNCTION("""COMPUTED_VALUE"""),2.0)</f>
        <v>2</v>
      </c>
      <c r="O381" s="5">
        <f>IFERROR(__xludf.DUMMYFUNCTION("""COMPUTED_VALUE"""),2000.0)</f>
        <v>2000</v>
      </c>
    </row>
    <row r="382">
      <c r="A382" s="1" t="s">
        <v>261</v>
      </c>
      <c r="B382" s="4">
        <v>40.0</v>
      </c>
      <c r="C382" s="1" t="s">
        <v>88</v>
      </c>
      <c r="D382" s="4">
        <v>17.0</v>
      </c>
      <c r="E382" s="4">
        <v>20.0</v>
      </c>
      <c r="F382" s="4">
        <v>8.0</v>
      </c>
      <c r="G382" s="4">
        <v>11.0</v>
      </c>
      <c r="H382" s="4">
        <v>1.0</v>
      </c>
      <c r="I382" s="4">
        <v>58.0</v>
      </c>
      <c r="J382" s="4">
        <v>75.0</v>
      </c>
      <c r="K382" s="4">
        <v>-17.0</v>
      </c>
      <c r="L382" s="2" t="s">
        <v>292</v>
      </c>
      <c r="M382" s="5">
        <f>IFERROR(__xludf.DUMMYFUNCTION("""COMPUTED_VALUE"""),3.0)</f>
        <v>3</v>
      </c>
      <c r="N382" s="5">
        <f>IFERROR(__xludf.DUMMYFUNCTION("""COMPUTED_VALUE"""),6.0)</f>
        <v>6</v>
      </c>
      <c r="O382" s="5">
        <f>IFERROR(__xludf.DUMMYFUNCTION("""COMPUTED_VALUE"""),2000.0)</f>
        <v>2000</v>
      </c>
    </row>
    <row r="383">
      <c r="A383" s="1" t="s">
        <v>261</v>
      </c>
      <c r="B383" s="4">
        <v>41.0</v>
      </c>
      <c r="C383" s="1" t="s">
        <v>114</v>
      </c>
      <c r="D383" s="4">
        <v>16.0</v>
      </c>
      <c r="E383" s="4">
        <v>13.0</v>
      </c>
      <c r="F383" s="4">
        <v>8.0</v>
      </c>
      <c r="G383" s="4">
        <v>5.0</v>
      </c>
      <c r="H383" s="4">
        <v>0.0</v>
      </c>
      <c r="I383" s="4">
        <v>73.0</v>
      </c>
      <c r="J383" s="4">
        <v>47.0</v>
      </c>
      <c r="K383" s="4">
        <v>26.0</v>
      </c>
      <c r="L383" s="2" t="s">
        <v>266</v>
      </c>
      <c r="M383" s="5">
        <f>IFERROR(__xludf.DUMMYFUNCTION("""COMPUTED_VALUE"""),5.0)</f>
        <v>5</v>
      </c>
      <c r="N383" s="5">
        <f>IFERROR(__xludf.DUMMYFUNCTION("""COMPUTED_VALUE"""),1.0)</f>
        <v>1</v>
      </c>
      <c r="O383" s="5">
        <f>IFERROR(__xludf.DUMMYFUNCTION("""COMPUTED_VALUE"""),2000.0)</f>
        <v>2000</v>
      </c>
    </row>
    <row r="384">
      <c r="A384" s="1" t="s">
        <v>261</v>
      </c>
      <c r="B384" s="4">
        <v>42.0</v>
      </c>
      <c r="C384" s="1" t="s">
        <v>158</v>
      </c>
      <c r="D384" s="4">
        <v>16.0</v>
      </c>
      <c r="E384" s="4">
        <v>18.0</v>
      </c>
      <c r="F384" s="4">
        <v>8.0</v>
      </c>
      <c r="G384" s="4">
        <v>10.0</v>
      </c>
      <c r="H384" s="4">
        <v>0.0</v>
      </c>
      <c r="I384" s="4">
        <v>86.0</v>
      </c>
      <c r="J384" s="4">
        <v>79.0</v>
      </c>
      <c r="K384" s="4">
        <v>7.0</v>
      </c>
      <c r="L384" s="2" t="s">
        <v>291</v>
      </c>
      <c r="M384" s="5">
        <f>IFERROR(__xludf.DUMMYFUNCTION("""COMPUTED_VALUE"""),5.0)</f>
        <v>5</v>
      </c>
      <c r="N384" s="5">
        <f>IFERROR(__xludf.DUMMYFUNCTION("""COMPUTED_VALUE"""),5.0)</f>
        <v>5</v>
      </c>
      <c r="O384" s="5">
        <f>IFERROR(__xludf.DUMMYFUNCTION("""COMPUTED_VALUE"""),2000.0)</f>
        <v>2000</v>
      </c>
    </row>
    <row r="385">
      <c r="A385" s="1" t="s">
        <v>261</v>
      </c>
      <c r="B385" s="4">
        <v>43.0</v>
      </c>
      <c r="C385" s="1" t="s">
        <v>85</v>
      </c>
      <c r="D385" s="4">
        <v>16.0</v>
      </c>
      <c r="E385" s="4">
        <v>19.0</v>
      </c>
      <c r="F385" s="4">
        <v>8.0</v>
      </c>
      <c r="G385" s="4">
        <v>11.0</v>
      </c>
      <c r="H385" s="4">
        <v>0.0</v>
      </c>
      <c r="I385" s="4">
        <v>78.0</v>
      </c>
      <c r="J385" s="4">
        <v>85.0</v>
      </c>
      <c r="K385" s="4">
        <v>-7.0</v>
      </c>
      <c r="L385" s="2" t="s">
        <v>293</v>
      </c>
      <c r="M385" s="5">
        <f>IFERROR(__xludf.DUMMYFUNCTION("""COMPUTED_VALUE"""),0.0)</f>
        <v>0</v>
      </c>
      <c r="N385" s="5">
        <f>IFERROR(__xludf.DUMMYFUNCTION("""COMPUTED_VALUE"""),8.0)</f>
        <v>8</v>
      </c>
      <c r="O385" s="5">
        <f>IFERROR(__xludf.DUMMYFUNCTION("""COMPUTED_VALUE"""),0.0)</f>
        <v>0</v>
      </c>
    </row>
    <row r="386">
      <c r="A386" s="1" t="s">
        <v>261</v>
      </c>
      <c r="B386" s="4">
        <v>44.0</v>
      </c>
      <c r="C386" s="1" t="s">
        <v>122</v>
      </c>
      <c r="D386" s="4">
        <v>16.0</v>
      </c>
      <c r="E386" s="4">
        <v>19.0</v>
      </c>
      <c r="F386" s="4">
        <v>8.0</v>
      </c>
      <c r="G386" s="4">
        <v>11.0</v>
      </c>
      <c r="H386" s="4">
        <v>0.0</v>
      </c>
      <c r="I386" s="4">
        <v>64.0</v>
      </c>
      <c r="J386" s="4">
        <v>79.0</v>
      </c>
      <c r="K386" s="4">
        <v>-15.0</v>
      </c>
      <c r="L386" s="2" t="s">
        <v>282</v>
      </c>
      <c r="M386" s="5">
        <f>IFERROR(__xludf.DUMMYFUNCTION("""COMPUTED_VALUE"""),2.0)</f>
        <v>2</v>
      </c>
      <c r="N386" s="5">
        <f>IFERROR(__xludf.DUMMYFUNCTION("""COMPUTED_VALUE"""),4.0)</f>
        <v>4</v>
      </c>
      <c r="O386" s="5">
        <f>IFERROR(__xludf.DUMMYFUNCTION("""COMPUTED_VALUE"""),2000.0)</f>
        <v>2000</v>
      </c>
    </row>
    <row r="387">
      <c r="A387" s="1" t="s">
        <v>261</v>
      </c>
      <c r="B387" s="4">
        <v>45.0</v>
      </c>
      <c r="C387" s="1" t="s">
        <v>121</v>
      </c>
      <c r="D387" s="4">
        <v>16.0</v>
      </c>
      <c r="E387" s="4">
        <v>24.0</v>
      </c>
      <c r="F387" s="4">
        <v>7.0</v>
      </c>
      <c r="G387" s="4">
        <v>15.0</v>
      </c>
      <c r="H387" s="4">
        <v>2.0</v>
      </c>
      <c r="I387" s="4">
        <v>80.0</v>
      </c>
      <c r="J387" s="4">
        <v>112.0</v>
      </c>
      <c r="K387" s="4">
        <v>-32.0</v>
      </c>
      <c r="L387" s="2" t="s">
        <v>294</v>
      </c>
      <c r="M387" s="5">
        <f>IFERROR(__xludf.DUMMYFUNCTION("""COMPUTED_VALUE"""),4.0)</f>
        <v>4</v>
      </c>
      <c r="N387" s="5">
        <f>IFERROR(__xludf.DUMMYFUNCTION("""COMPUTED_VALUE"""),6.0)</f>
        <v>6</v>
      </c>
      <c r="O387" s="5">
        <f>IFERROR(__xludf.DUMMYFUNCTION("""COMPUTED_VALUE"""),2000.0)</f>
        <v>2000</v>
      </c>
    </row>
    <row r="388">
      <c r="A388" s="1" t="s">
        <v>261</v>
      </c>
      <c r="B388" s="4">
        <v>46.0</v>
      </c>
      <c r="C388" s="1" t="s">
        <v>101</v>
      </c>
      <c r="D388" s="4">
        <v>16.0</v>
      </c>
      <c r="E388" s="4">
        <v>20.0</v>
      </c>
      <c r="F388" s="4">
        <v>8.0</v>
      </c>
      <c r="G388" s="4">
        <v>12.0</v>
      </c>
      <c r="H388" s="4">
        <v>0.0</v>
      </c>
      <c r="I388" s="4">
        <v>62.0</v>
      </c>
      <c r="J388" s="4">
        <v>101.0</v>
      </c>
      <c r="K388" s="4">
        <v>-39.0</v>
      </c>
      <c r="L388" s="2" t="s">
        <v>282</v>
      </c>
      <c r="M388" s="5">
        <f>IFERROR(__xludf.DUMMYFUNCTION("""COMPUTED_VALUE"""),2.0)</f>
        <v>2</v>
      </c>
      <c r="N388" s="5">
        <f>IFERROR(__xludf.DUMMYFUNCTION("""COMPUTED_VALUE"""),4.0)</f>
        <v>4</v>
      </c>
      <c r="O388" s="5">
        <f>IFERROR(__xludf.DUMMYFUNCTION("""COMPUTED_VALUE"""),2000.0)</f>
        <v>2000</v>
      </c>
    </row>
    <row r="389">
      <c r="A389" s="1" t="s">
        <v>261</v>
      </c>
      <c r="B389" s="4">
        <v>47.0</v>
      </c>
      <c r="C389" s="1" t="s">
        <v>138</v>
      </c>
      <c r="D389" s="4">
        <v>16.0</v>
      </c>
      <c r="E389" s="4">
        <v>24.0</v>
      </c>
      <c r="F389" s="4">
        <v>8.0</v>
      </c>
      <c r="G389" s="4">
        <v>16.0</v>
      </c>
      <c r="H389" s="4">
        <v>0.0</v>
      </c>
      <c r="I389" s="4">
        <v>72.0</v>
      </c>
      <c r="J389" s="4">
        <v>126.0</v>
      </c>
      <c r="K389" s="4">
        <v>-54.0</v>
      </c>
      <c r="L389" s="2" t="s">
        <v>295</v>
      </c>
      <c r="M389" s="5">
        <f>IFERROR(__xludf.DUMMYFUNCTION("""COMPUTED_VALUE"""),2.0)</f>
        <v>2</v>
      </c>
      <c r="N389" s="5">
        <f>IFERROR(__xludf.DUMMYFUNCTION("""COMPUTED_VALUE"""),10.0)</f>
        <v>10</v>
      </c>
      <c r="O389" s="5">
        <f>IFERROR(__xludf.DUMMYFUNCTION("""COMPUTED_VALUE"""),2000.0)</f>
        <v>2000</v>
      </c>
    </row>
    <row r="390">
      <c r="A390" s="1" t="s">
        <v>261</v>
      </c>
      <c r="B390" s="4">
        <v>48.0</v>
      </c>
      <c r="C390" s="1" t="s">
        <v>24</v>
      </c>
      <c r="D390" s="4">
        <v>14.0</v>
      </c>
      <c r="E390" s="4">
        <v>11.0</v>
      </c>
      <c r="F390" s="4">
        <v>7.0</v>
      </c>
      <c r="G390" s="4">
        <v>4.0</v>
      </c>
      <c r="H390" s="4">
        <v>0.0</v>
      </c>
      <c r="I390" s="4">
        <v>54.0</v>
      </c>
      <c r="J390" s="4">
        <v>27.0</v>
      </c>
      <c r="K390" s="4">
        <v>27.0</v>
      </c>
      <c r="L390" s="2" t="s">
        <v>285</v>
      </c>
      <c r="M390" s="5">
        <f>IFERROR(__xludf.DUMMYFUNCTION("""COMPUTED_VALUE"""),0.0)</f>
        <v>0</v>
      </c>
      <c r="N390" s="5">
        <f>IFERROR(__xludf.DUMMYFUNCTION("""COMPUTED_VALUE"""),0.0)</f>
        <v>0</v>
      </c>
      <c r="O390" s="5">
        <f>IFERROR(__xludf.DUMMYFUNCTION("""COMPUTED_VALUE"""),0.0)</f>
        <v>0</v>
      </c>
    </row>
    <row r="391">
      <c r="A391" s="1" t="s">
        <v>261</v>
      </c>
      <c r="B391" s="4">
        <v>49.0</v>
      </c>
      <c r="C391" s="1" t="s">
        <v>142</v>
      </c>
      <c r="D391" s="4">
        <v>14.0</v>
      </c>
      <c r="E391" s="4">
        <v>12.0</v>
      </c>
      <c r="F391" s="4">
        <v>7.0</v>
      </c>
      <c r="G391" s="4">
        <v>5.0</v>
      </c>
      <c r="H391" s="4">
        <v>0.0</v>
      </c>
      <c r="I391" s="4">
        <v>32.0</v>
      </c>
      <c r="J391" s="4">
        <v>34.0</v>
      </c>
      <c r="K391" s="4">
        <v>-2.0</v>
      </c>
      <c r="L391" s="2" t="s">
        <v>296</v>
      </c>
      <c r="M391" s="5">
        <f>IFERROR(__xludf.DUMMYFUNCTION("""COMPUTED_VALUE"""),0.0)</f>
        <v>0</v>
      </c>
      <c r="N391" s="5">
        <f>IFERROR(__xludf.DUMMYFUNCTION("""COMPUTED_VALUE"""),1.0)</f>
        <v>1</v>
      </c>
      <c r="O391" s="5">
        <f>IFERROR(__xludf.DUMMYFUNCTION("""COMPUTED_VALUE"""),0.0)</f>
        <v>0</v>
      </c>
    </row>
    <row r="392">
      <c r="A392" s="1" t="s">
        <v>261</v>
      </c>
      <c r="B392" s="4">
        <v>50.0</v>
      </c>
      <c r="C392" s="1" t="s">
        <v>147</v>
      </c>
      <c r="D392" s="4">
        <v>14.0</v>
      </c>
      <c r="E392" s="4">
        <v>19.0</v>
      </c>
      <c r="F392" s="4">
        <v>7.0</v>
      </c>
      <c r="G392" s="4">
        <v>12.0</v>
      </c>
      <c r="H392" s="4">
        <v>0.0</v>
      </c>
      <c r="I392" s="4">
        <v>52.0</v>
      </c>
      <c r="J392" s="4">
        <v>92.0</v>
      </c>
      <c r="K392" s="4">
        <v>-40.0</v>
      </c>
      <c r="L392" s="2" t="s">
        <v>297</v>
      </c>
      <c r="M392" s="5">
        <f>IFERROR(__xludf.DUMMYFUNCTION("""COMPUTED_VALUE"""),3.0)</f>
        <v>3</v>
      </c>
      <c r="N392" s="5">
        <f>IFERROR(__xludf.DUMMYFUNCTION("""COMPUTED_VALUE"""),3.0)</f>
        <v>3</v>
      </c>
      <c r="O392" s="5">
        <f>IFERROR(__xludf.DUMMYFUNCTION("""COMPUTED_VALUE"""),2000.0)</f>
        <v>2000</v>
      </c>
    </row>
    <row r="393">
      <c r="A393" s="1" t="s">
        <v>261</v>
      </c>
      <c r="B393" s="4">
        <v>51.0</v>
      </c>
      <c r="C393" s="1" t="s">
        <v>141</v>
      </c>
      <c r="D393" s="4">
        <v>14.0</v>
      </c>
      <c r="E393" s="4">
        <v>22.0</v>
      </c>
      <c r="F393" s="4">
        <v>7.0</v>
      </c>
      <c r="G393" s="4">
        <v>15.0</v>
      </c>
      <c r="H393" s="4">
        <v>0.0</v>
      </c>
      <c r="I393" s="4">
        <v>64.0</v>
      </c>
      <c r="J393" s="4">
        <v>114.0</v>
      </c>
      <c r="K393" s="4">
        <v>-50.0</v>
      </c>
      <c r="L393" s="2" t="s">
        <v>298</v>
      </c>
      <c r="M393" s="5">
        <f>IFERROR(__xludf.DUMMYFUNCTION("""COMPUTED_VALUE"""),1.0)</f>
        <v>1</v>
      </c>
      <c r="N393" s="5">
        <f>IFERROR(__xludf.DUMMYFUNCTION("""COMPUTED_VALUE"""),5.0)</f>
        <v>5</v>
      </c>
      <c r="O393" s="5">
        <f>IFERROR(__xludf.DUMMYFUNCTION("""COMPUTED_VALUE"""),2000.0)</f>
        <v>2000</v>
      </c>
    </row>
    <row r="394">
      <c r="A394" s="1" t="s">
        <v>261</v>
      </c>
      <c r="B394" s="4">
        <v>52.0</v>
      </c>
      <c r="C394" s="1" t="s">
        <v>98</v>
      </c>
      <c r="D394" s="4">
        <v>13.0</v>
      </c>
      <c r="E394" s="4">
        <v>18.0</v>
      </c>
      <c r="F394" s="4">
        <v>6.0</v>
      </c>
      <c r="G394" s="4">
        <v>11.0</v>
      </c>
      <c r="H394" s="4">
        <v>1.0</v>
      </c>
      <c r="I394" s="4">
        <v>48.0</v>
      </c>
      <c r="J394" s="4">
        <v>61.0</v>
      </c>
      <c r="K394" s="4">
        <v>-13.0</v>
      </c>
      <c r="L394" s="2" t="s">
        <v>299</v>
      </c>
      <c r="M394" s="5">
        <f>IFERROR(__xludf.DUMMYFUNCTION("""COMPUTED_VALUE"""),1.0)</f>
        <v>1</v>
      </c>
      <c r="N394" s="5">
        <f>IFERROR(__xludf.DUMMYFUNCTION("""COMPUTED_VALUE"""),6.0)</f>
        <v>6</v>
      </c>
      <c r="O394" s="5">
        <f>IFERROR(__xludf.DUMMYFUNCTION("""COMPUTED_VALUE"""),2000.0)</f>
        <v>2000</v>
      </c>
    </row>
    <row r="395">
      <c r="A395" s="1" t="s">
        <v>261</v>
      </c>
      <c r="B395" s="4">
        <v>53.0</v>
      </c>
      <c r="C395" s="1" t="s">
        <v>119</v>
      </c>
      <c r="D395" s="4">
        <v>13.0</v>
      </c>
      <c r="E395" s="4">
        <v>17.0</v>
      </c>
      <c r="F395" s="4">
        <v>6.0</v>
      </c>
      <c r="G395" s="4">
        <v>10.0</v>
      </c>
      <c r="H395" s="4">
        <v>1.0</v>
      </c>
      <c r="I395" s="4">
        <v>29.0</v>
      </c>
      <c r="J395" s="4">
        <v>54.0</v>
      </c>
      <c r="K395" s="4">
        <v>-25.0</v>
      </c>
      <c r="L395" s="2" t="s">
        <v>296</v>
      </c>
      <c r="M395" s="5">
        <f>IFERROR(__xludf.DUMMYFUNCTION("""COMPUTED_VALUE"""),0.0)</f>
        <v>0</v>
      </c>
      <c r="N395" s="5">
        <f>IFERROR(__xludf.DUMMYFUNCTION("""COMPUTED_VALUE"""),1.0)</f>
        <v>1</v>
      </c>
      <c r="O395" s="5">
        <f>IFERROR(__xludf.DUMMYFUNCTION("""COMPUTED_VALUE"""),0.0)</f>
        <v>0</v>
      </c>
    </row>
    <row r="396">
      <c r="A396" s="1" t="s">
        <v>261</v>
      </c>
      <c r="B396" s="4">
        <v>54.0</v>
      </c>
      <c r="C396" s="1" t="s">
        <v>112</v>
      </c>
      <c r="D396" s="4">
        <v>13.0</v>
      </c>
      <c r="E396" s="4">
        <v>20.0</v>
      </c>
      <c r="F396" s="4">
        <v>6.0</v>
      </c>
      <c r="G396" s="4">
        <v>13.0</v>
      </c>
      <c r="H396" s="4">
        <v>1.0</v>
      </c>
      <c r="I396" s="4">
        <v>74.0</v>
      </c>
      <c r="J396" s="4">
        <v>106.0</v>
      </c>
      <c r="K396" s="4">
        <v>-32.0</v>
      </c>
      <c r="L396" s="2" t="s">
        <v>271</v>
      </c>
      <c r="M396" s="5">
        <f>IFERROR(__xludf.DUMMYFUNCTION("""COMPUTED_VALUE"""),1.0)</f>
        <v>1</v>
      </c>
      <c r="N396" s="5">
        <f>IFERROR(__xludf.DUMMYFUNCTION("""COMPUTED_VALUE"""),1.0)</f>
        <v>1</v>
      </c>
      <c r="O396" s="5">
        <f>IFERROR(__xludf.DUMMYFUNCTION("""COMPUTED_VALUE"""),2000.0)</f>
        <v>2000</v>
      </c>
    </row>
    <row r="397">
      <c r="A397" s="1" t="s">
        <v>261</v>
      </c>
      <c r="B397" s="4">
        <v>55.0</v>
      </c>
      <c r="C397" s="1" t="s">
        <v>135</v>
      </c>
      <c r="D397" s="4">
        <v>13.0</v>
      </c>
      <c r="E397" s="4">
        <v>20.0</v>
      </c>
      <c r="F397" s="4">
        <v>6.0</v>
      </c>
      <c r="G397" s="4">
        <v>13.0</v>
      </c>
      <c r="H397" s="4">
        <v>1.0</v>
      </c>
      <c r="I397" s="4">
        <v>62.0</v>
      </c>
      <c r="J397" s="4">
        <v>128.0</v>
      </c>
      <c r="K397" s="4">
        <v>-66.0</v>
      </c>
      <c r="L397" s="2" t="s">
        <v>300</v>
      </c>
      <c r="M397" s="5">
        <f>IFERROR(__xludf.DUMMYFUNCTION("""COMPUTED_VALUE"""),2.0)</f>
        <v>2</v>
      </c>
      <c r="N397" s="5">
        <f>IFERROR(__xludf.DUMMYFUNCTION("""COMPUTED_VALUE"""),8.0)</f>
        <v>8</v>
      </c>
      <c r="O397" s="5">
        <f>IFERROR(__xludf.DUMMYFUNCTION("""COMPUTED_VALUE"""),2000.0)</f>
        <v>2000</v>
      </c>
    </row>
    <row r="398">
      <c r="A398" s="1" t="s">
        <v>261</v>
      </c>
      <c r="B398" s="4">
        <v>56.0</v>
      </c>
      <c r="C398" s="1" t="s">
        <v>159</v>
      </c>
      <c r="D398" s="4">
        <v>12.0</v>
      </c>
      <c r="E398" s="4">
        <v>17.0</v>
      </c>
      <c r="F398" s="4">
        <v>6.0</v>
      </c>
      <c r="G398" s="4">
        <v>11.0</v>
      </c>
      <c r="H398" s="4">
        <v>0.0</v>
      </c>
      <c r="I398" s="4">
        <v>89.0</v>
      </c>
      <c r="J398" s="4">
        <v>80.0</v>
      </c>
      <c r="K398" s="4">
        <v>9.0</v>
      </c>
      <c r="L398" s="2" t="s">
        <v>301</v>
      </c>
      <c r="M398" s="5">
        <f>IFERROR(__xludf.DUMMYFUNCTION("""COMPUTED_VALUE"""),2.0)</f>
        <v>2</v>
      </c>
      <c r="N398" s="5">
        <f>IFERROR(__xludf.DUMMYFUNCTION("""COMPUTED_VALUE"""),6.0)</f>
        <v>6</v>
      </c>
      <c r="O398" s="5">
        <f>IFERROR(__xludf.DUMMYFUNCTION("""COMPUTED_VALUE"""),2000.0)</f>
        <v>2000</v>
      </c>
    </row>
    <row r="399">
      <c r="A399" s="1" t="s">
        <v>261</v>
      </c>
      <c r="B399" s="4">
        <v>57.0</v>
      </c>
      <c r="C399" s="1" t="s">
        <v>144</v>
      </c>
      <c r="D399" s="4">
        <v>12.0</v>
      </c>
      <c r="E399" s="4">
        <v>11.0</v>
      </c>
      <c r="F399" s="4">
        <v>6.0</v>
      </c>
      <c r="G399" s="4">
        <v>5.0</v>
      </c>
      <c r="H399" s="4">
        <v>0.0</v>
      </c>
      <c r="I399" s="4">
        <v>39.0</v>
      </c>
      <c r="J399" s="4">
        <v>36.0</v>
      </c>
      <c r="K399" s="4">
        <v>3.0</v>
      </c>
      <c r="L399" s="2" t="s">
        <v>302</v>
      </c>
      <c r="M399" s="5">
        <f>IFERROR(__xludf.DUMMYFUNCTION("""COMPUTED_VALUE"""),4.0)</f>
        <v>4</v>
      </c>
      <c r="N399" s="5">
        <f>IFERROR(__xludf.DUMMYFUNCTION("""COMPUTED_VALUE"""),0.0)</f>
        <v>0</v>
      </c>
      <c r="O399" s="5">
        <f>IFERROR(__xludf.DUMMYFUNCTION("""COMPUTED_VALUE"""),0.0)</f>
        <v>0</v>
      </c>
    </row>
    <row r="400">
      <c r="A400" s="1" t="s">
        <v>261</v>
      </c>
      <c r="B400" s="4">
        <v>58.0</v>
      </c>
      <c r="C400" s="1" t="s">
        <v>71</v>
      </c>
      <c r="D400" s="4">
        <v>11.0</v>
      </c>
      <c r="E400" s="4">
        <v>17.0</v>
      </c>
      <c r="F400" s="4">
        <v>5.0</v>
      </c>
      <c r="G400" s="4">
        <v>11.0</v>
      </c>
      <c r="H400" s="4">
        <v>1.0</v>
      </c>
      <c r="I400" s="4">
        <v>45.0</v>
      </c>
      <c r="J400" s="4">
        <v>80.0</v>
      </c>
      <c r="K400" s="4">
        <v>-35.0</v>
      </c>
      <c r="L400" s="2" t="s">
        <v>300</v>
      </c>
      <c r="M400" s="5">
        <f>IFERROR(__xludf.DUMMYFUNCTION("""COMPUTED_VALUE"""),2.0)</f>
        <v>2</v>
      </c>
      <c r="N400" s="5">
        <f>IFERROR(__xludf.DUMMYFUNCTION("""COMPUTED_VALUE"""),8.0)</f>
        <v>8</v>
      </c>
      <c r="O400" s="5">
        <f>IFERROR(__xludf.DUMMYFUNCTION("""COMPUTED_VALUE"""),2000.0)</f>
        <v>2000</v>
      </c>
    </row>
    <row r="401">
      <c r="A401" s="1" t="s">
        <v>261</v>
      </c>
      <c r="B401" s="4">
        <v>59.0</v>
      </c>
      <c r="C401" s="1" t="s">
        <v>69</v>
      </c>
      <c r="D401" s="4">
        <v>11.0</v>
      </c>
      <c r="E401" s="4">
        <v>21.0</v>
      </c>
      <c r="F401" s="4">
        <v>5.0</v>
      </c>
      <c r="G401" s="4">
        <v>15.0</v>
      </c>
      <c r="H401" s="4">
        <v>1.0</v>
      </c>
      <c r="I401" s="4">
        <v>54.0</v>
      </c>
      <c r="J401" s="4">
        <v>117.0</v>
      </c>
      <c r="K401" s="4">
        <v>-63.0</v>
      </c>
      <c r="L401" s="2" t="s">
        <v>303</v>
      </c>
      <c r="M401" s="5">
        <f>IFERROR(__xludf.DUMMYFUNCTION("""COMPUTED_VALUE"""),0.0)</f>
        <v>0</v>
      </c>
      <c r="N401" s="5">
        <f>IFERROR(__xludf.DUMMYFUNCTION("""COMPUTED_VALUE"""),6.0)</f>
        <v>6</v>
      </c>
      <c r="O401" s="5">
        <f>IFERROR(__xludf.DUMMYFUNCTION("""COMPUTED_VALUE"""),0.0)</f>
        <v>0</v>
      </c>
    </row>
    <row r="402">
      <c r="A402" s="1" t="s">
        <v>261</v>
      </c>
      <c r="B402" s="4">
        <v>60.0</v>
      </c>
      <c r="C402" s="1" t="s">
        <v>152</v>
      </c>
      <c r="D402" s="4">
        <v>10.0</v>
      </c>
      <c r="E402" s="4">
        <v>19.0</v>
      </c>
      <c r="F402" s="4">
        <v>5.0</v>
      </c>
      <c r="G402" s="4">
        <v>14.0</v>
      </c>
      <c r="H402" s="4">
        <v>0.0</v>
      </c>
      <c r="I402" s="4">
        <v>54.0</v>
      </c>
      <c r="J402" s="4">
        <v>66.0</v>
      </c>
      <c r="K402" s="4">
        <v>-12.0</v>
      </c>
      <c r="L402" s="2" t="s">
        <v>304</v>
      </c>
      <c r="M402" s="5">
        <f>IFERROR(__xludf.DUMMYFUNCTION("""COMPUTED_VALUE"""),1.0)</f>
        <v>1</v>
      </c>
      <c r="N402" s="5">
        <f>IFERROR(__xludf.DUMMYFUNCTION("""COMPUTED_VALUE"""),3.0)</f>
        <v>3</v>
      </c>
      <c r="O402" s="5">
        <f>IFERROR(__xludf.DUMMYFUNCTION("""COMPUTED_VALUE"""),2000.0)</f>
        <v>2000</v>
      </c>
    </row>
    <row r="403">
      <c r="A403" s="1" t="s">
        <v>261</v>
      </c>
      <c r="B403" s="4">
        <v>61.0</v>
      </c>
      <c r="C403" s="1" t="s">
        <v>130</v>
      </c>
      <c r="D403" s="4">
        <v>10.0</v>
      </c>
      <c r="E403" s="4">
        <v>15.0</v>
      </c>
      <c r="F403" s="4">
        <v>5.0</v>
      </c>
      <c r="G403" s="4">
        <v>10.0</v>
      </c>
      <c r="H403" s="4">
        <v>0.0</v>
      </c>
      <c r="I403" s="4">
        <v>36.0</v>
      </c>
      <c r="J403" s="4">
        <v>66.0</v>
      </c>
      <c r="K403" s="4">
        <v>-30.0</v>
      </c>
      <c r="L403" s="2" t="s">
        <v>305</v>
      </c>
      <c r="M403" s="5">
        <f>IFERROR(__xludf.DUMMYFUNCTION("""COMPUTED_VALUE"""),0.0)</f>
        <v>0</v>
      </c>
      <c r="N403" s="5">
        <f>IFERROR(__xludf.DUMMYFUNCTION("""COMPUTED_VALUE"""),3.0)</f>
        <v>3</v>
      </c>
      <c r="O403" s="5">
        <f>IFERROR(__xludf.DUMMYFUNCTION("""COMPUTED_VALUE"""),0.0)</f>
        <v>0</v>
      </c>
    </row>
    <row r="404">
      <c r="A404" s="1" t="s">
        <v>261</v>
      </c>
      <c r="B404" s="4">
        <v>62.0</v>
      </c>
      <c r="C404" s="1" t="s">
        <v>106</v>
      </c>
      <c r="D404" s="4">
        <v>10.0</v>
      </c>
      <c r="E404" s="4">
        <v>18.0</v>
      </c>
      <c r="F404" s="4">
        <v>5.0</v>
      </c>
      <c r="G404" s="4">
        <v>13.0</v>
      </c>
      <c r="H404" s="4">
        <v>0.0</v>
      </c>
      <c r="I404" s="4">
        <v>64.0</v>
      </c>
      <c r="J404" s="4">
        <v>95.0</v>
      </c>
      <c r="K404" s="4">
        <v>-31.0</v>
      </c>
      <c r="L404" s="2" t="s">
        <v>285</v>
      </c>
      <c r="M404" s="5">
        <f>IFERROR(__xludf.DUMMYFUNCTION("""COMPUTED_VALUE"""),0.0)</f>
        <v>0</v>
      </c>
      <c r="N404" s="5">
        <f>IFERROR(__xludf.DUMMYFUNCTION("""COMPUTED_VALUE"""),0.0)</f>
        <v>0</v>
      </c>
      <c r="O404" s="5">
        <f>IFERROR(__xludf.DUMMYFUNCTION("""COMPUTED_VALUE"""),0.0)</f>
        <v>0</v>
      </c>
    </row>
    <row r="405">
      <c r="A405" s="1" t="s">
        <v>261</v>
      </c>
      <c r="B405" s="4">
        <v>63.0</v>
      </c>
      <c r="C405" s="1" t="s">
        <v>73</v>
      </c>
      <c r="D405" s="4">
        <v>8.0</v>
      </c>
      <c r="E405" s="4">
        <v>5.0</v>
      </c>
      <c r="F405" s="4">
        <v>4.0</v>
      </c>
      <c r="G405" s="4">
        <v>1.0</v>
      </c>
      <c r="H405" s="4">
        <v>0.0</v>
      </c>
      <c r="I405" s="4">
        <v>28.0</v>
      </c>
      <c r="J405" s="4">
        <v>9.0</v>
      </c>
      <c r="K405" s="4">
        <v>19.0</v>
      </c>
      <c r="L405" s="2" t="s">
        <v>306</v>
      </c>
      <c r="M405" s="5">
        <f>IFERROR(__xludf.DUMMYFUNCTION("""COMPUTED_VALUE"""),4.0)</f>
        <v>4</v>
      </c>
      <c r="N405" s="5">
        <f>IFERROR(__xludf.DUMMYFUNCTION("""COMPUTED_VALUE"""),1.0)</f>
        <v>1</v>
      </c>
      <c r="O405" s="5">
        <f>IFERROR(__xludf.DUMMYFUNCTION("""COMPUTED_VALUE"""),2000.0)</f>
        <v>2000</v>
      </c>
    </row>
    <row r="406">
      <c r="A406" s="1" t="s">
        <v>261</v>
      </c>
      <c r="B406" s="4">
        <v>64.0</v>
      </c>
      <c r="C406" s="1" t="s">
        <v>64</v>
      </c>
      <c r="D406" s="4">
        <v>8.0</v>
      </c>
      <c r="E406" s="4">
        <v>15.0</v>
      </c>
      <c r="F406" s="4">
        <v>4.0</v>
      </c>
      <c r="G406" s="4">
        <v>11.0</v>
      </c>
      <c r="H406" s="4">
        <v>0.0</v>
      </c>
      <c r="I406" s="4">
        <v>59.0</v>
      </c>
      <c r="J406" s="4">
        <v>68.0</v>
      </c>
      <c r="K406" s="4">
        <v>-9.0</v>
      </c>
      <c r="L406" s="2" t="s">
        <v>222</v>
      </c>
      <c r="M406" s="5">
        <f>IFERROR(__xludf.DUMMYFUNCTION("""COMPUTED_VALUE"""),4.0)</f>
        <v>4</v>
      </c>
      <c r="N406" s="5">
        <f>IFERROR(__xludf.DUMMYFUNCTION("""COMPUTED_VALUE"""),11.0)</f>
        <v>11</v>
      </c>
      <c r="O406" s="5">
        <f>IFERROR(__xludf.DUMMYFUNCTION("""COMPUTED_VALUE"""),2000.0)</f>
        <v>2000</v>
      </c>
    </row>
    <row r="407">
      <c r="A407" s="1" t="s">
        <v>261</v>
      </c>
      <c r="B407" s="4">
        <v>65.0</v>
      </c>
      <c r="C407" s="1" t="s">
        <v>92</v>
      </c>
      <c r="D407" s="4">
        <v>8.0</v>
      </c>
      <c r="E407" s="4">
        <v>20.0</v>
      </c>
      <c r="F407" s="4">
        <v>4.0</v>
      </c>
      <c r="G407" s="4">
        <v>16.0</v>
      </c>
      <c r="H407" s="4">
        <v>0.0</v>
      </c>
      <c r="I407" s="4">
        <v>57.0</v>
      </c>
      <c r="J407" s="4">
        <v>113.0</v>
      </c>
      <c r="K407" s="4">
        <v>-56.0</v>
      </c>
      <c r="L407" s="2" t="s">
        <v>307</v>
      </c>
      <c r="M407" s="5">
        <f>IFERROR(__xludf.DUMMYFUNCTION("""COMPUTED_VALUE"""),2.0)</f>
        <v>2</v>
      </c>
      <c r="N407" s="5">
        <f>IFERROR(__xludf.DUMMYFUNCTION("""COMPUTED_VALUE"""),5.0)</f>
        <v>5</v>
      </c>
      <c r="O407" s="5">
        <f>IFERROR(__xludf.DUMMYFUNCTION("""COMPUTED_VALUE"""),2000.0)</f>
        <v>2000</v>
      </c>
    </row>
    <row r="408">
      <c r="A408" s="1" t="s">
        <v>261</v>
      </c>
      <c r="B408" s="4">
        <v>66.0</v>
      </c>
      <c r="C408" s="1" t="s">
        <v>150</v>
      </c>
      <c r="D408" s="4">
        <v>6.0</v>
      </c>
      <c r="E408" s="4">
        <v>11.0</v>
      </c>
      <c r="F408" s="4">
        <v>3.0</v>
      </c>
      <c r="G408" s="4">
        <v>8.0</v>
      </c>
      <c r="H408" s="4">
        <v>0.0</v>
      </c>
      <c r="I408" s="4">
        <v>34.0</v>
      </c>
      <c r="J408" s="4">
        <v>59.0</v>
      </c>
      <c r="K408" s="4">
        <v>-25.0</v>
      </c>
      <c r="L408" s="2" t="s">
        <v>282</v>
      </c>
      <c r="M408" s="5">
        <f>IFERROR(__xludf.DUMMYFUNCTION("""COMPUTED_VALUE"""),2.0)</f>
        <v>2</v>
      </c>
      <c r="N408" s="5">
        <f>IFERROR(__xludf.DUMMYFUNCTION("""COMPUTED_VALUE"""),4.0)</f>
        <v>4</v>
      </c>
      <c r="O408" s="5">
        <f>IFERROR(__xludf.DUMMYFUNCTION("""COMPUTED_VALUE"""),2000.0)</f>
        <v>2000</v>
      </c>
    </row>
    <row r="409">
      <c r="A409" s="1" t="s">
        <v>261</v>
      </c>
      <c r="B409" s="4">
        <v>67.0</v>
      </c>
      <c r="C409" s="1" t="s">
        <v>116</v>
      </c>
      <c r="D409" s="4">
        <v>6.0</v>
      </c>
      <c r="E409" s="4">
        <v>14.0</v>
      </c>
      <c r="F409" s="4">
        <v>3.0</v>
      </c>
      <c r="G409" s="4">
        <v>11.0</v>
      </c>
      <c r="H409" s="4">
        <v>0.0</v>
      </c>
      <c r="I409" s="4">
        <v>30.0</v>
      </c>
      <c r="J409" s="4">
        <v>56.0</v>
      </c>
      <c r="K409" s="4">
        <v>-26.0</v>
      </c>
      <c r="L409" s="2" t="s">
        <v>307</v>
      </c>
      <c r="M409" s="5">
        <f>IFERROR(__xludf.DUMMYFUNCTION("""COMPUTED_VALUE"""),2.0)</f>
        <v>2</v>
      </c>
      <c r="N409" s="5">
        <f>IFERROR(__xludf.DUMMYFUNCTION("""COMPUTED_VALUE"""),5.0)</f>
        <v>5</v>
      </c>
      <c r="O409" s="5">
        <f>IFERROR(__xludf.DUMMYFUNCTION("""COMPUTED_VALUE"""),2000.0)</f>
        <v>2000</v>
      </c>
    </row>
    <row r="410">
      <c r="A410" s="1" t="s">
        <v>261</v>
      </c>
      <c r="B410" s="4">
        <v>68.0</v>
      </c>
      <c r="C410" s="1" t="s">
        <v>77</v>
      </c>
      <c r="D410" s="4">
        <v>6.0</v>
      </c>
      <c r="E410" s="4">
        <v>13.0</v>
      </c>
      <c r="F410" s="4">
        <v>3.0</v>
      </c>
      <c r="G410" s="4">
        <v>10.0</v>
      </c>
      <c r="H410" s="4">
        <v>0.0</v>
      </c>
      <c r="I410" s="4">
        <v>21.0</v>
      </c>
      <c r="J410" s="4">
        <v>87.0</v>
      </c>
      <c r="K410" s="4">
        <v>-66.0</v>
      </c>
      <c r="L410" s="2" t="s">
        <v>280</v>
      </c>
      <c r="M410" s="5">
        <f>IFERROR(__xludf.DUMMYFUNCTION("""COMPUTED_VALUE"""),2.0)</f>
        <v>2</v>
      </c>
      <c r="N410" s="5">
        <f>IFERROR(__xludf.DUMMYFUNCTION("""COMPUTED_VALUE"""),2.0)</f>
        <v>2</v>
      </c>
      <c r="O410" s="5">
        <f>IFERROR(__xludf.DUMMYFUNCTION("""COMPUTED_VALUE"""),2000.0)</f>
        <v>2000</v>
      </c>
    </row>
    <row r="411">
      <c r="A411" s="1" t="s">
        <v>261</v>
      </c>
      <c r="B411" s="4">
        <v>69.0</v>
      </c>
      <c r="C411" s="1" t="s">
        <v>22</v>
      </c>
      <c r="D411" s="4">
        <v>4.0</v>
      </c>
      <c r="E411" s="4">
        <v>5.0</v>
      </c>
      <c r="F411" s="4">
        <v>2.0</v>
      </c>
      <c r="G411" s="4">
        <v>3.0</v>
      </c>
      <c r="H411" s="4">
        <v>0.0</v>
      </c>
      <c r="I411" s="4">
        <v>18.0</v>
      </c>
      <c r="J411" s="4">
        <v>21.0</v>
      </c>
      <c r="K411" s="4">
        <v>-3.0</v>
      </c>
      <c r="L411" s="2" t="s">
        <v>308</v>
      </c>
      <c r="M411" s="5">
        <f>IFERROR(__xludf.DUMMYFUNCTION("""COMPUTED_VALUE"""),1.0)</f>
        <v>1</v>
      </c>
      <c r="N411" s="5">
        <f>IFERROR(__xludf.DUMMYFUNCTION("""COMPUTED_VALUE"""),0.0)</f>
        <v>0</v>
      </c>
      <c r="O411" s="5">
        <f>IFERROR(__xludf.DUMMYFUNCTION("""COMPUTED_VALUE"""),0.0)</f>
        <v>0</v>
      </c>
    </row>
    <row r="412">
      <c r="A412" s="1" t="s">
        <v>261</v>
      </c>
      <c r="B412" s="4">
        <v>70.0</v>
      </c>
      <c r="C412" s="1" t="s">
        <v>146</v>
      </c>
      <c r="D412" s="4">
        <v>4.0</v>
      </c>
      <c r="E412" s="4">
        <v>9.0</v>
      </c>
      <c r="F412" s="4">
        <v>2.0</v>
      </c>
      <c r="G412" s="4">
        <v>7.0</v>
      </c>
      <c r="H412" s="4">
        <v>0.0</v>
      </c>
      <c r="I412" s="4">
        <v>11.0</v>
      </c>
      <c r="J412" s="4">
        <v>33.0</v>
      </c>
      <c r="K412" s="4">
        <v>-22.0</v>
      </c>
      <c r="L412" s="2" t="s">
        <v>285</v>
      </c>
      <c r="M412" s="5">
        <f>IFERROR(__xludf.DUMMYFUNCTION("""COMPUTED_VALUE"""),0.0)</f>
        <v>0</v>
      </c>
      <c r="N412" s="5">
        <f>IFERROR(__xludf.DUMMYFUNCTION("""COMPUTED_VALUE"""),0.0)</f>
        <v>0</v>
      </c>
      <c r="O412" s="5">
        <f>IFERROR(__xludf.DUMMYFUNCTION("""COMPUTED_VALUE"""),0.0)</f>
        <v>0</v>
      </c>
    </row>
    <row r="413">
      <c r="A413" s="1" t="s">
        <v>261</v>
      </c>
      <c r="B413" s="4">
        <v>71.0</v>
      </c>
      <c r="C413" s="1" t="s">
        <v>108</v>
      </c>
      <c r="D413" s="4">
        <v>4.0</v>
      </c>
      <c r="E413" s="4">
        <v>11.0</v>
      </c>
      <c r="F413" s="4">
        <v>2.0</v>
      </c>
      <c r="G413" s="4">
        <v>9.0</v>
      </c>
      <c r="H413" s="4">
        <v>0.0</v>
      </c>
      <c r="I413" s="4">
        <v>32.0</v>
      </c>
      <c r="J413" s="4">
        <v>60.0</v>
      </c>
      <c r="K413" s="4">
        <v>-28.0</v>
      </c>
      <c r="L413" s="2" t="s">
        <v>290</v>
      </c>
      <c r="M413" s="5">
        <f>IFERROR(__xludf.DUMMYFUNCTION("""COMPUTED_VALUE"""),1.0)</f>
        <v>1</v>
      </c>
      <c r="N413" s="5">
        <f>IFERROR(__xludf.DUMMYFUNCTION("""COMPUTED_VALUE"""),2.0)</f>
        <v>2</v>
      </c>
      <c r="O413" s="5">
        <f>IFERROR(__xludf.DUMMYFUNCTION("""COMPUTED_VALUE"""),2000.0)</f>
        <v>2000</v>
      </c>
    </row>
    <row r="414">
      <c r="A414" s="1" t="s">
        <v>261</v>
      </c>
      <c r="B414" s="4">
        <v>72.0</v>
      </c>
      <c r="C414" s="1" t="s">
        <v>37</v>
      </c>
      <c r="D414" s="4">
        <v>3.0</v>
      </c>
      <c r="E414" s="4">
        <v>8.0</v>
      </c>
      <c r="F414" s="4">
        <v>1.0</v>
      </c>
      <c r="G414" s="4">
        <v>6.0</v>
      </c>
      <c r="H414" s="4">
        <v>1.0</v>
      </c>
      <c r="I414" s="4">
        <v>13.0</v>
      </c>
      <c r="J414" s="4">
        <v>50.0</v>
      </c>
      <c r="K414" s="4">
        <v>-37.0</v>
      </c>
      <c r="L414" s="2" t="s">
        <v>305</v>
      </c>
      <c r="M414" s="5">
        <f>IFERROR(__xludf.DUMMYFUNCTION("""COMPUTED_VALUE"""),0.0)</f>
        <v>0</v>
      </c>
      <c r="N414" s="5">
        <f>IFERROR(__xludf.DUMMYFUNCTION("""COMPUTED_VALUE"""),3.0)</f>
        <v>3</v>
      </c>
      <c r="O414" s="5">
        <f>IFERROR(__xludf.DUMMYFUNCTION("""COMPUTED_VALUE"""),0.0)</f>
        <v>0</v>
      </c>
    </row>
    <row r="415">
      <c r="A415" s="1" t="s">
        <v>261</v>
      </c>
      <c r="B415" s="4">
        <v>73.0</v>
      </c>
      <c r="C415" s="1" t="s">
        <v>126</v>
      </c>
      <c r="D415" s="4">
        <v>3.0</v>
      </c>
      <c r="E415" s="4">
        <v>16.0</v>
      </c>
      <c r="F415" s="4">
        <v>1.0</v>
      </c>
      <c r="G415" s="4">
        <v>14.0</v>
      </c>
      <c r="H415" s="4">
        <v>1.0</v>
      </c>
      <c r="I415" s="4">
        <v>25.0</v>
      </c>
      <c r="J415" s="4">
        <v>99.0</v>
      </c>
      <c r="K415" s="4">
        <v>-74.0</v>
      </c>
      <c r="L415" s="2" t="s">
        <v>305</v>
      </c>
      <c r="M415" s="5">
        <f>IFERROR(__xludf.DUMMYFUNCTION("""COMPUTED_VALUE"""),0.0)</f>
        <v>0</v>
      </c>
      <c r="N415" s="5">
        <f>IFERROR(__xludf.DUMMYFUNCTION("""COMPUTED_VALUE"""),3.0)</f>
        <v>3</v>
      </c>
      <c r="O415" s="5">
        <f>IFERROR(__xludf.DUMMYFUNCTION("""COMPUTED_VALUE"""),0.0)</f>
        <v>0</v>
      </c>
    </row>
    <row r="416">
      <c r="A416" s="1" t="s">
        <v>261</v>
      </c>
      <c r="B416" s="4">
        <v>74.0</v>
      </c>
      <c r="C416" s="1" t="s">
        <v>34</v>
      </c>
      <c r="D416" s="4">
        <v>2.0</v>
      </c>
      <c r="E416" s="4">
        <v>4.0</v>
      </c>
      <c r="F416" s="4">
        <v>1.0</v>
      </c>
      <c r="G416" s="4">
        <v>3.0</v>
      </c>
      <c r="H416" s="4">
        <v>0.0</v>
      </c>
      <c r="I416" s="4">
        <v>12.0</v>
      </c>
      <c r="J416" s="4">
        <v>24.0</v>
      </c>
      <c r="K416" s="4">
        <v>-12.0</v>
      </c>
      <c r="L416" s="2" t="s">
        <v>309</v>
      </c>
      <c r="M416" s="5">
        <f>IFERROR(__xludf.DUMMYFUNCTION("""COMPUTED_VALUE"""),0.0)</f>
        <v>0</v>
      </c>
      <c r="N416" s="5">
        <f>IFERROR(__xludf.DUMMYFUNCTION("""COMPUTED_VALUE"""),2.0)</f>
        <v>2</v>
      </c>
      <c r="O416" s="5">
        <f>IFERROR(__xludf.DUMMYFUNCTION("""COMPUTED_VALUE"""),0.0)</f>
        <v>0</v>
      </c>
    </row>
    <row r="417">
      <c r="A417" s="1" t="s">
        <v>261</v>
      </c>
      <c r="B417" s="4">
        <v>75.0</v>
      </c>
      <c r="C417" s="1" t="s">
        <v>137</v>
      </c>
      <c r="D417" s="4">
        <v>2.0</v>
      </c>
      <c r="E417" s="4">
        <v>9.0</v>
      </c>
      <c r="F417" s="4">
        <v>1.0</v>
      </c>
      <c r="G417" s="4">
        <v>8.0</v>
      </c>
      <c r="H417" s="4">
        <v>0.0</v>
      </c>
      <c r="I417" s="4">
        <v>22.0</v>
      </c>
      <c r="J417" s="4">
        <v>48.0</v>
      </c>
      <c r="K417" s="4">
        <v>-26.0</v>
      </c>
      <c r="L417" s="2" t="s">
        <v>305</v>
      </c>
      <c r="M417" s="5">
        <f>IFERROR(__xludf.DUMMYFUNCTION("""COMPUTED_VALUE"""),0.0)</f>
        <v>0</v>
      </c>
      <c r="N417" s="5">
        <f>IFERROR(__xludf.DUMMYFUNCTION("""COMPUTED_VALUE"""),3.0)</f>
        <v>3</v>
      </c>
      <c r="O417" s="5">
        <f>IFERROR(__xludf.DUMMYFUNCTION("""COMPUTED_VALUE"""),0.0)</f>
        <v>0</v>
      </c>
    </row>
    <row r="418">
      <c r="A418" s="1" t="s">
        <v>261</v>
      </c>
      <c r="B418" s="4">
        <v>76.0</v>
      </c>
      <c r="C418" s="1" t="s">
        <v>52</v>
      </c>
      <c r="D418" s="4">
        <v>2.0</v>
      </c>
      <c r="E418" s="4">
        <v>13.0</v>
      </c>
      <c r="F418" s="4">
        <v>1.0</v>
      </c>
      <c r="G418" s="4">
        <v>12.0</v>
      </c>
      <c r="H418" s="4">
        <v>0.0</v>
      </c>
      <c r="I418" s="4">
        <v>18.0</v>
      </c>
      <c r="J418" s="4">
        <v>82.0</v>
      </c>
      <c r="K418" s="4">
        <v>-64.0</v>
      </c>
      <c r="L418" s="2" t="s">
        <v>293</v>
      </c>
      <c r="M418" s="5">
        <f>IFERROR(__xludf.DUMMYFUNCTION("""COMPUTED_VALUE"""),0.0)</f>
        <v>0</v>
      </c>
      <c r="N418" s="5">
        <f>IFERROR(__xludf.DUMMYFUNCTION("""COMPUTED_VALUE"""),8.0)</f>
        <v>8</v>
      </c>
      <c r="O418" s="5">
        <f>IFERROR(__xludf.DUMMYFUNCTION("""COMPUTED_VALUE"""),0.0)</f>
        <v>0</v>
      </c>
    </row>
    <row r="419">
      <c r="A419" s="1" t="s">
        <v>261</v>
      </c>
      <c r="B419" s="4">
        <v>77.0</v>
      </c>
      <c r="C419" s="1" t="s">
        <v>140</v>
      </c>
      <c r="D419" s="4">
        <v>2.0</v>
      </c>
      <c r="E419" s="4">
        <v>15.0</v>
      </c>
      <c r="F419" s="4">
        <v>1.0</v>
      </c>
      <c r="G419" s="4">
        <v>14.0</v>
      </c>
      <c r="H419" s="4">
        <v>0.0</v>
      </c>
      <c r="I419" s="4">
        <v>18.0</v>
      </c>
      <c r="J419" s="4">
        <v>134.0</v>
      </c>
      <c r="K419" s="4">
        <v>-116.0</v>
      </c>
      <c r="L419" s="2" t="s">
        <v>310</v>
      </c>
      <c r="M419" s="5">
        <f>IFERROR(__xludf.DUMMYFUNCTION("""COMPUTED_VALUE"""),0.0)</f>
        <v>0</v>
      </c>
      <c r="N419" s="5">
        <f>IFERROR(__xludf.DUMMYFUNCTION("""COMPUTED_VALUE"""),10.0)</f>
        <v>10</v>
      </c>
      <c r="O419" s="5">
        <f>IFERROR(__xludf.DUMMYFUNCTION("""COMPUTED_VALUE"""),0.0)</f>
        <v>0</v>
      </c>
    </row>
    <row r="420">
      <c r="A420" s="1" t="s">
        <v>261</v>
      </c>
      <c r="B420" s="4">
        <v>78.0</v>
      </c>
      <c r="C420" s="1" t="s">
        <v>233</v>
      </c>
      <c r="D420" s="4">
        <v>0.0</v>
      </c>
      <c r="E420" s="4">
        <v>0.0</v>
      </c>
      <c r="F420" s="4">
        <v>0.0</v>
      </c>
      <c r="G420" s="4">
        <v>0.0</v>
      </c>
      <c r="H420" s="4">
        <v>0.0</v>
      </c>
      <c r="I420" s="4">
        <v>0.0</v>
      </c>
      <c r="J420" s="4">
        <v>0.0</v>
      </c>
      <c r="K420" s="4">
        <v>0.0</v>
      </c>
      <c r="L420" s="2" t="s">
        <v>285</v>
      </c>
      <c r="M420" s="5">
        <f>IFERROR(__xludf.DUMMYFUNCTION("""COMPUTED_VALUE"""),0.0)</f>
        <v>0</v>
      </c>
      <c r="N420" s="5">
        <f>IFERROR(__xludf.DUMMYFUNCTION("""COMPUTED_VALUE"""),0.0)</f>
        <v>0</v>
      </c>
      <c r="O420" s="5">
        <f>IFERROR(__xludf.DUMMYFUNCTION("""COMPUTED_VALUE"""),0.0)</f>
        <v>0</v>
      </c>
    </row>
    <row r="421">
      <c r="A421" s="1" t="s">
        <v>261</v>
      </c>
      <c r="B421" s="4">
        <v>79.0</v>
      </c>
      <c r="C421" s="1" t="s">
        <v>94</v>
      </c>
      <c r="D421" s="4">
        <v>0.0</v>
      </c>
      <c r="E421" s="4">
        <v>0.0</v>
      </c>
      <c r="F421" s="4">
        <v>0.0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2" t="s">
        <v>285</v>
      </c>
      <c r="M421" s="5">
        <f>IFERROR(__xludf.DUMMYFUNCTION("""COMPUTED_VALUE"""),0.0)</f>
        <v>0</v>
      </c>
      <c r="N421" s="5">
        <f>IFERROR(__xludf.DUMMYFUNCTION("""COMPUTED_VALUE"""),0.0)</f>
        <v>0</v>
      </c>
      <c r="O421" s="5">
        <f>IFERROR(__xludf.DUMMYFUNCTION("""COMPUTED_VALUE"""),0.0)</f>
        <v>0</v>
      </c>
    </row>
    <row r="422">
      <c r="A422" s="1" t="s">
        <v>261</v>
      </c>
      <c r="B422" s="4">
        <v>80.0</v>
      </c>
      <c r="C422" s="1" t="s">
        <v>86</v>
      </c>
      <c r="D422" s="4">
        <v>0.0</v>
      </c>
      <c r="E422" s="4">
        <v>0.0</v>
      </c>
      <c r="F422" s="4">
        <v>0.0</v>
      </c>
      <c r="G422" s="4">
        <v>0.0</v>
      </c>
      <c r="H422" s="4">
        <v>0.0</v>
      </c>
      <c r="I422" s="4">
        <v>0.0</v>
      </c>
      <c r="J422" s="4">
        <v>0.0</v>
      </c>
      <c r="K422" s="4">
        <v>0.0</v>
      </c>
      <c r="L422" s="2" t="s">
        <v>285</v>
      </c>
      <c r="M422" s="5">
        <f>IFERROR(__xludf.DUMMYFUNCTION("""COMPUTED_VALUE"""),0.0)</f>
        <v>0</v>
      </c>
      <c r="N422" s="5">
        <f>IFERROR(__xludf.DUMMYFUNCTION("""COMPUTED_VALUE"""),0.0)</f>
        <v>0</v>
      </c>
      <c r="O422" s="5">
        <f>IFERROR(__xludf.DUMMYFUNCTION("""COMPUTED_VALUE"""),0.0)</f>
        <v>0</v>
      </c>
    </row>
    <row r="423">
      <c r="A423" s="1" t="s">
        <v>261</v>
      </c>
      <c r="B423" s="4">
        <v>81.0</v>
      </c>
      <c r="C423" s="1" t="s">
        <v>103</v>
      </c>
      <c r="D423" s="4">
        <v>0.0</v>
      </c>
      <c r="E423" s="4">
        <v>0.0</v>
      </c>
      <c r="F423" s="4">
        <v>0.0</v>
      </c>
      <c r="G423" s="4">
        <v>0.0</v>
      </c>
      <c r="H423" s="4">
        <v>0.0</v>
      </c>
      <c r="I423" s="4">
        <v>0.0</v>
      </c>
      <c r="J423" s="4">
        <v>0.0</v>
      </c>
      <c r="K423" s="4">
        <v>0.0</v>
      </c>
      <c r="L423" s="2" t="s">
        <v>285</v>
      </c>
      <c r="M423" s="5">
        <f>IFERROR(__xludf.DUMMYFUNCTION("""COMPUTED_VALUE"""),0.0)</f>
        <v>0</v>
      </c>
      <c r="N423" s="5">
        <f>IFERROR(__xludf.DUMMYFUNCTION("""COMPUTED_VALUE"""),0.0)</f>
        <v>0</v>
      </c>
      <c r="O423" s="5">
        <f>IFERROR(__xludf.DUMMYFUNCTION("""COMPUTED_VALUE"""),0.0)</f>
        <v>0</v>
      </c>
    </row>
    <row r="424">
      <c r="A424" s="1" t="s">
        <v>261</v>
      </c>
      <c r="B424" s="4">
        <v>82.0</v>
      </c>
      <c r="C424" s="1" t="s">
        <v>110</v>
      </c>
      <c r="D424" s="4">
        <v>0.0</v>
      </c>
      <c r="E424" s="4">
        <v>2.0</v>
      </c>
      <c r="F424" s="4">
        <v>0.0</v>
      </c>
      <c r="G424" s="4">
        <v>2.0</v>
      </c>
      <c r="H424" s="4">
        <v>0.0</v>
      </c>
      <c r="I424" s="4">
        <v>5.0</v>
      </c>
      <c r="J424" s="4">
        <v>9.0</v>
      </c>
      <c r="K424" s="4">
        <v>-4.0</v>
      </c>
      <c r="L424" s="2" t="s">
        <v>309</v>
      </c>
      <c r="M424" s="5">
        <f>IFERROR(__xludf.DUMMYFUNCTION("""COMPUTED_VALUE"""),0.0)</f>
        <v>0</v>
      </c>
      <c r="N424" s="5">
        <f>IFERROR(__xludf.DUMMYFUNCTION("""COMPUTED_VALUE"""),2.0)</f>
        <v>2</v>
      </c>
      <c r="O424" s="5">
        <f>IFERROR(__xludf.DUMMYFUNCTION("""COMPUTED_VALUE"""),0.0)</f>
        <v>0</v>
      </c>
    </row>
    <row r="425">
      <c r="A425" s="1" t="s">
        <v>261</v>
      </c>
      <c r="B425" s="4">
        <v>83.0</v>
      </c>
      <c r="C425" s="1" t="s">
        <v>58</v>
      </c>
      <c r="D425" s="4">
        <v>0.0</v>
      </c>
      <c r="E425" s="4">
        <v>4.0</v>
      </c>
      <c r="F425" s="4">
        <v>0.0</v>
      </c>
      <c r="G425" s="4">
        <v>4.0</v>
      </c>
      <c r="H425" s="4">
        <v>0.0</v>
      </c>
      <c r="I425" s="4">
        <v>3.0</v>
      </c>
      <c r="J425" s="4">
        <v>17.0</v>
      </c>
      <c r="K425" s="4">
        <v>-14.0</v>
      </c>
      <c r="L425" s="2" t="s">
        <v>296</v>
      </c>
      <c r="M425" s="5">
        <f>IFERROR(__xludf.DUMMYFUNCTION("""COMPUTED_VALUE"""),0.0)</f>
        <v>0</v>
      </c>
      <c r="N425" s="5">
        <f>IFERROR(__xludf.DUMMYFUNCTION("""COMPUTED_VALUE"""),1.0)</f>
        <v>1</v>
      </c>
      <c r="O425" s="5">
        <f>IFERROR(__xludf.DUMMYFUNCTION("""COMPUTED_VALUE"""),0.0)</f>
        <v>0</v>
      </c>
    </row>
    <row r="426">
      <c r="A426" s="1" t="s">
        <v>261</v>
      </c>
      <c r="B426" s="4">
        <v>84.0</v>
      </c>
      <c r="C426" s="1" t="s">
        <v>161</v>
      </c>
      <c r="D426" s="4">
        <v>0.0</v>
      </c>
      <c r="E426" s="4">
        <v>2.0</v>
      </c>
      <c r="F426" s="4">
        <v>0.0</v>
      </c>
      <c r="G426" s="4">
        <v>2.0</v>
      </c>
      <c r="H426" s="4">
        <v>0.0</v>
      </c>
      <c r="I426" s="4">
        <v>0.0</v>
      </c>
      <c r="J426" s="4">
        <v>16.0</v>
      </c>
      <c r="K426" s="4">
        <v>-16.0</v>
      </c>
      <c r="L426" s="2" t="s">
        <v>285</v>
      </c>
      <c r="M426" s="5">
        <f>IFERROR(__xludf.DUMMYFUNCTION("""COMPUTED_VALUE"""),0.0)</f>
        <v>0</v>
      </c>
      <c r="N426" s="5">
        <f>IFERROR(__xludf.DUMMYFUNCTION("""COMPUTED_VALUE"""),0.0)</f>
        <v>0</v>
      </c>
      <c r="O426" s="5">
        <f>IFERROR(__xludf.DUMMYFUNCTION("""COMPUTED_VALUE"""),0.0)</f>
        <v>0</v>
      </c>
    </row>
    <row r="427">
      <c r="A427" s="1" t="s">
        <v>261</v>
      </c>
      <c r="B427" s="4">
        <v>85.0</v>
      </c>
      <c r="C427" s="1" t="s">
        <v>29</v>
      </c>
      <c r="D427" s="4">
        <v>0.0</v>
      </c>
      <c r="E427" s="4">
        <v>19.0</v>
      </c>
      <c r="F427" s="4">
        <v>0.0</v>
      </c>
      <c r="G427" s="4">
        <v>19.0</v>
      </c>
      <c r="H427" s="4">
        <v>0.0</v>
      </c>
      <c r="I427" s="4">
        <v>22.0</v>
      </c>
      <c r="J427" s="4">
        <v>212.0</v>
      </c>
      <c r="K427" s="4">
        <v>-190.0</v>
      </c>
      <c r="L427" s="2" t="s">
        <v>197</v>
      </c>
      <c r="M427" s="5">
        <f>IFERROR(__xludf.DUMMYFUNCTION("""COMPUTED_VALUE"""),0.0)</f>
        <v>0</v>
      </c>
      <c r="N427" s="5">
        <f>IFERROR(__xludf.DUMMYFUNCTION("""COMPUTED_VALUE"""),12.0)</f>
        <v>12</v>
      </c>
      <c r="O427" s="5">
        <f>IFERROR(__xludf.DUMMYFUNCTION("""COMPUTED_VALUE"""),0.0)</f>
        <v>0</v>
      </c>
    </row>
    <row r="428">
      <c r="A428" s="1" t="s">
        <v>311</v>
      </c>
      <c r="B428" s="4">
        <v>1.0</v>
      </c>
      <c r="C428" s="1" t="s">
        <v>24</v>
      </c>
      <c r="D428" s="4">
        <v>28.0</v>
      </c>
      <c r="E428" s="4">
        <v>14.0</v>
      </c>
      <c r="F428" s="4">
        <v>14.0</v>
      </c>
      <c r="G428" s="4">
        <v>0.0</v>
      </c>
      <c r="H428" s="4">
        <v>0.0</v>
      </c>
      <c r="I428" s="4">
        <v>117.0</v>
      </c>
      <c r="J428" s="4">
        <v>9.0</v>
      </c>
      <c r="K428" s="4">
        <v>108.0</v>
      </c>
      <c r="L428" s="2" t="s">
        <v>169</v>
      </c>
      <c r="M428" s="5">
        <f>IFERROR(__xludf.DUMMYFUNCTION("""COMPUTED_VALUE"""),20.0)</f>
        <v>20</v>
      </c>
      <c r="N428" s="5">
        <f>IFERROR(__xludf.DUMMYFUNCTION("""COMPUTED_VALUE"""),4.0)</f>
        <v>4</v>
      </c>
      <c r="O428" s="5">
        <f>IFERROR(__xludf.DUMMYFUNCTION("""COMPUTED_VALUE"""),0.0)</f>
        <v>0</v>
      </c>
    </row>
    <row r="429">
      <c r="A429" s="1" t="s">
        <v>311</v>
      </c>
      <c r="B429" s="4">
        <v>2.0</v>
      </c>
      <c r="C429" s="1" t="s">
        <v>18</v>
      </c>
      <c r="D429" s="4">
        <v>24.0</v>
      </c>
      <c r="E429" s="4">
        <v>12.0</v>
      </c>
      <c r="F429" s="4">
        <v>12.0</v>
      </c>
      <c r="G429" s="4">
        <v>0.0</v>
      </c>
      <c r="H429" s="4">
        <v>0.0</v>
      </c>
      <c r="I429" s="4">
        <v>93.0</v>
      </c>
      <c r="J429" s="4">
        <v>19.0</v>
      </c>
      <c r="K429" s="4">
        <v>74.0</v>
      </c>
      <c r="L429" s="2" t="s">
        <v>169</v>
      </c>
      <c r="M429" s="5">
        <f>IFERROR(__xludf.DUMMYFUNCTION("""COMPUTED_VALUE"""),20.0)</f>
        <v>20</v>
      </c>
      <c r="N429" s="5">
        <f>IFERROR(__xludf.DUMMYFUNCTION("""COMPUTED_VALUE"""),4.0)</f>
        <v>4</v>
      </c>
      <c r="O429" s="5">
        <f>IFERROR(__xludf.DUMMYFUNCTION("""COMPUTED_VALUE"""),0.0)</f>
        <v>0</v>
      </c>
    </row>
    <row r="430">
      <c r="A430" s="1" t="s">
        <v>311</v>
      </c>
      <c r="B430" s="4">
        <v>3.0</v>
      </c>
      <c r="C430" s="1" t="s">
        <v>58</v>
      </c>
      <c r="D430" s="4">
        <v>22.0</v>
      </c>
      <c r="E430" s="4">
        <v>14.0</v>
      </c>
      <c r="F430" s="4">
        <v>11.0</v>
      </c>
      <c r="G430" s="4">
        <v>3.0</v>
      </c>
      <c r="H430" s="4">
        <v>0.0</v>
      </c>
      <c r="I430" s="4">
        <v>83.0</v>
      </c>
      <c r="J430" s="4">
        <v>27.0</v>
      </c>
      <c r="K430" s="4">
        <v>56.0</v>
      </c>
      <c r="L430" s="2" t="s">
        <v>19</v>
      </c>
      <c r="M430" s="5">
        <f>IFERROR(__xludf.DUMMYFUNCTION("""COMPUTED_VALUE"""),18.0)</f>
        <v>18</v>
      </c>
      <c r="N430" s="5">
        <f>IFERROR(__xludf.DUMMYFUNCTION("""COMPUTED_VALUE"""),6.0)</f>
        <v>6</v>
      </c>
      <c r="O430" s="5">
        <f>IFERROR(__xludf.DUMMYFUNCTION("""COMPUTED_VALUE"""),0.0)</f>
        <v>0</v>
      </c>
    </row>
    <row r="431">
      <c r="A431" s="1" t="s">
        <v>311</v>
      </c>
      <c r="B431" s="4">
        <v>4.0</v>
      </c>
      <c r="C431" s="1" t="s">
        <v>79</v>
      </c>
      <c r="D431" s="4">
        <v>20.0</v>
      </c>
      <c r="E431" s="4">
        <v>10.0</v>
      </c>
      <c r="F431" s="4">
        <v>10.0</v>
      </c>
      <c r="G431" s="4">
        <v>0.0</v>
      </c>
      <c r="H431" s="4">
        <v>0.0</v>
      </c>
      <c r="I431" s="4">
        <v>94.0</v>
      </c>
      <c r="J431" s="4">
        <v>7.0</v>
      </c>
      <c r="K431" s="4">
        <v>87.0</v>
      </c>
      <c r="L431" s="2" t="s">
        <v>32</v>
      </c>
      <c r="M431" s="5">
        <f>IFERROR(__xludf.DUMMYFUNCTION("""COMPUTED_VALUE"""),21.0)</f>
        <v>21</v>
      </c>
      <c r="N431" s="5">
        <f>IFERROR(__xludf.DUMMYFUNCTION("""COMPUTED_VALUE"""),3.0)</f>
        <v>3</v>
      </c>
      <c r="O431" s="5">
        <f>IFERROR(__xludf.DUMMYFUNCTION("""COMPUTED_VALUE"""),0.0)</f>
        <v>0</v>
      </c>
    </row>
    <row r="432">
      <c r="A432" s="1" t="s">
        <v>311</v>
      </c>
      <c r="B432" s="4">
        <v>5.0</v>
      </c>
      <c r="C432" s="1" t="s">
        <v>45</v>
      </c>
      <c r="D432" s="4">
        <v>20.0</v>
      </c>
      <c r="E432" s="4">
        <v>10.0</v>
      </c>
      <c r="F432" s="4">
        <v>10.0</v>
      </c>
      <c r="G432" s="4">
        <v>0.0</v>
      </c>
      <c r="H432" s="4">
        <v>0.0</v>
      </c>
      <c r="I432" s="4">
        <v>65.0</v>
      </c>
      <c r="J432" s="4">
        <v>5.0</v>
      </c>
      <c r="K432" s="4">
        <v>60.0</v>
      </c>
      <c r="L432" s="2" t="s">
        <v>169</v>
      </c>
      <c r="M432" s="5">
        <f>IFERROR(__xludf.DUMMYFUNCTION("""COMPUTED_VALUE"""),20.0)</f>
        <v>20</v>
      </c>
      <c r="N432" s="5">
        <f>IFERROR(__xludf.DUMMYFUNCTION("""COMPUTED_VALUE"""),4.0)</f>
        <v>4</v>
      </c>
      <c r="O432" s="5">
        <f>IFERROR(__xludf.DUMMYFUNCTION("""COMPUTED_VALUE"""),0.0)</f>
        <v>0</v>
      </c>
    </row>
    <row r="433">
      <c r="A433" s="1" t="s">
        <v>311</v>
      </c>
      <c r="B433" s="4">
        <v>6.0</v>
      </c>
      <c r="C433" s="1" t="s">
        <v>20</v>
      </c>
      <c r="D433" s="4">
        <v>20.0</v>
      </c>
      <c r="E433" s="4">
        <v>12.0</v>
      </c>
      <c r="F433" s="4">
        <v>10.0</v>
      </c>
      <c r="G433" s="4">
        <v>2.0</v>
      </c>
      <c r="H433" s="4">
        <v>0.0</v>
      </c>
      <c r="I433" s="4">
        <v>72.0</v>
      </c>
      <c r="J433" s="4">
        <v>13.0</v>
      </c>
      <c r="K433" s="4">
        <v>59.0</v>
      </c>
      <c r="L433" s="2" t="s">
        <v>207</v>
      </c>
      <c r="M433" s="5">
        <f>IFERROR(__xludf.DUMMYFUNCTION("""COMPUTED_VALUE"""),19.0)</f>
        <v>19</v>
      </c>
      <c r="N433" s="5">
        <f>IFERROR(__xludf.DUMMYFUNCTION("""COMPUTED_VALUE"""),5.0)</f>
        <v>5</v>
      </c>
      <c r="O433" s="5">
        <f>IFERROR(__xludf.DUMMYFUNCTION("""COMPUTED_VALUE"""),0.0)</f>
        <v>0</v>
      </c>
    </row>
    <row r="434">
      <c r="A434" s="1" t="s">
        <v>311</v>
      </c>
      <c r="B434" s="4">
        <v>7.0</v>
      </c>
      <c r="C434" s="1" t="s">
        <v>25</v>
      </c>
      <c r="D434" s="4">
        <v>19.0</v>
      </c>
      <c r="E434" s="4">
        <v>12.0</v>
      </c>
      <c r="F434" s="4">
        <v>9.0</v>
      </c>
      <c r="G434" s="4">
        <v>2.0</v>
      </c>
      <c r="H434" s="4">
        <v>1.0</v>
      </c>
      <c r="I434" s="4">
        <v>71.0</v>
      </c>
      <c r="J434" s="4">
        <v>29.0</v>
      </c>
      <c r="K434" s="4">
        <v>42.0</v>
      </c>
      <c r="L434" s="2" t="s">
        <v>89</v>
      </c>
      <c r="M434" s="5">
        <f>IFERROR(__xludf.DUMMYFUNCTION("""COMPUTED_VALUE"""),12.0)</f>
        <v>12</v>
      </c>
      <c r="N434" s="5">
        <f>IFERROR(__xludf.DUMMYFUNCTION("""COMPUTED_VALUE"""),10.0)</f>
        <v>10</v>
      </c>
      <c r="O434" s="5">
        <f>IFERROR(__xludf.DUMMYFUNCTION("""COMPUTED_VALUE"""),2001.0)</f>
        <v>2001</v>
      </c>
    </row>
    <row r="435">
      <c r="A435" s="1" t="s">
        <v>311</v>
      </c>
      <c r="B435" s="4">
        <v>8.0</v>
      </c>
      <c r="C435" s="1" t="s">
        <v>66</v>
      </c>
      <c r="D435" s="4">
        <v>18.0</v>
      </c>
      <c r="E435" s="4">
        <v>12.0</v>
      </c>
      <c r="F435" s="4">
        <v>9.0</v>
      </c>
      <c r="G435" s="4">
        <v>3.0</v>
      </c>
      <c r="H435" s="4">
        <v>0.0</v>
      </c>
      <c r="I435" s="4">
        <v>69.0</v>
      </c>
      <c r="J435" s="4">
        <v>22.0</v>
      </c>
      <c r="K435" s="4">
        <v>47.0</v>
      </c>
      <c r="L435" s="2" t="s">
        <v>169</v>
      </c>
      <c r="M435" s="5">
        <f>IFERROR(__xludf.DUMMYFUNCTION("""COMPUTED_VALUE"""),20.0)</f>
        <v>20</v>
      </c>
      <c r="N435" s="5">
        <f>IFERROR(__xludf.DUMMYFUNCTION("""COMPUTED_VALUE"""),4.0)</f>
        <v>4</v>
      </c>
      <c r="O435" s="5">
        <f>IFERROR(__xludf.DUMMYFUNCTION("""COMPUTED_VALUE"""),0.0)</f>
        <v>0</v>
      </c>
    </row>
    <row r="436">
      <c r="A436" s="1" t="s">
        <v>311</v>
      </c>
      <c r="B436" s="4">
        <v>9.0</v>
      </c>
      <c r="C436" s="1" t="s">
        <v>33</v>
      </c>
      <c r="D436" s="4">
        <v>18.0</v>
      </c>
      <c r="E436" s="4">
        <v>10.0</v>
      </c>
      <c r="F436" s="4">
        <v>9.0</v>
      </c>
      <c r="G436" s="4">
        <v>1.0</v>
      </c>
      <c r="H436" s="4">
        <v>0.0</v>
      </c>
      <c r="I436" s="4">
        <v>43.0</v>
      </c>
      <c r="J436" s="4">
        <v>18.0</v>
      </c>
      <c r="K436" s="4">
        <v>25.0</v>
      </c>
      <c r="L436" s="2" t="s">
        <v>57</v>
      </c>
      <c r="M436" s="5">
        <f>IFERROR(__xludf.DUMMYFUNCTION("""COMPUTED_VALUE"""),17.0)</f>
        <v>17</v>
      </c>
      <c r="N436" s="5">
        <f>IFERROR(__xludf.DUMMYFUNCTION("""COMPUTED_VALUE"""),7.0)</f>
        <v>7</v>
      </c>
      <c r="O436" s="5">
        <f>IFERROR(__xludf.DUMMYFUNCTION("""COMPUTED_VALUE"""),0.0)</f>
        <v>0</v>
      </c>
    </row>
    <row r="437">
      <c r="A437" s="1" t="s">
        <v>311</v>
      </c>
      <c r="B437" s="4">
        <v>10.0</v>
      </c>
      <c r="C437" s="1" t="s">
        <v>34</v>
      </c>
      <c r="D437" s="4">
        <v>18.0</v>
      </c>
      <c r="E437" s="4">
        <v>12.0</v>
      </c>
      <c r="F437" s="4">
        <v>9.0</v>
      </c>
      <c r="G437" s="4">
        <v>3.0</v>
      </c>
      <c r="H437" s="4">
        <v>0.0</v>
      </c>
      <c r="I437" s="4">
        <v>64.0</v>
      </c>
      <c r="J437" s="4">
        <v>39.0</v>
      </c>
      <c r="K437" s="4">
        <v>25.0</v>
      </c>
      <c r="L437" s="2" t="s">
        <v>312</v>
      </c>
      <c r="M437" s="5">
        <f>IFERROR(__xludf.DUMMYFUNCTION("""COMPUTED_VALUE"""),18.0)</f>
        <v>18</v>
      </c>
      <c r="N437" s="5">
        <f>IFERROR(__xludf.DUMMYFUNCTION("""COMPUTED_VALUE"""),4.0)</f>
        <v>4</v>
      </c>
      <c r="O437" s="5">
        <f>IFERROR(__xludf.DUMMYFUNCTION("""COMPUTED_VALUE"""),2.0)</f>
        <v>2</v>
      </c>
    </row>
    <row r="438">
      <c r="A438" s="1" t="s">
        <v>311</v>
      </c>
      <c r="B438" s="4">
        <v>11.0</v>
      </c>
      <c r="C438" s="1" t="s">
        <v>86</v>
      </c>
      <c r="D438" s="4">
        <v>18.0</v>
      </c>
      <c r="E438" s="4">
        <v>14.0</v>
      </c>
      <c r="F438" s="4">
        <v>9.0</v>
      </c>
      <c r="G438" s="4">
        <v>5.0</v>
      </c>
      <c r="H438" s="4">
        <v>0.0</v>
      </c>
      <c r="I438" s="4">
        <v>57.0</v>
      </c>
      <c r="J438" s="4">
        <v>33.0</v>
      </c>
      <c r="K438" s="4">
        <v>24.0</v>
      </c>
      <c r="L438" s="2" t="s">
        <v>178</v>
      </c>
      <c r="M438" s="5">
        <f>IFERROR(__xludf.DUMMYFUNCTION("""COMPUTED_VALUE"""),11.0)</f>
        <v>11</v>
      </c>
      <c r="N438" s="5">
        <f>IFERROR(__xludf.DUMMYFUNCTION("""COMPUTED_VALUE"""),11.0)</f>
        <v>11</v>
      </c>
      <c r="O438" s="5">
        <f>IFERROR(__xludf.DUMMYFUNCTION("""COMPUTED_VALUE"""),2002.0)</f>
        <v>2002</v>
      </c>
    </row>
    <row r="439">
      <c r="A439" s="1" t="s">
        <v>311</v>
      </c>
      <c r="B439" s="4">
        <v>12.0</v>
      </c>
      <c r="C439" s="1" t="s">
        <v>22</v>
      </c>
      <c r="D439" s="4">
        <v>18.0</v>
      </c>
      <c r="E439" s="4">
        <v>14.0</v>
      </c>
      <c r="F439" s="4">
        <v>9.0</v>
      </c>
      <c r="G439" s="4">
        <v>5.0</v>
      </c>
      <c r="H439" s="4">
        <v>0.0</v>
      </c>
      <c r="I439" s="4">
        <v>59.0</v>
      </c>
      <c r="J439" s="4">
        <v>50.0</v>
      </c>
      <c r="K439" s="4">
        <v>9.0</v>
      </c>
      <c r="L439" s="2" t="s">
        <v>218</v>
      </c>
      <c r="M439" s="5">
        <f>IFERROR(__xludf.DUMMYFUNCTION("""COMPUTED_VALUE"""),12.0)</f>
        <v>12</v>
      </c>
      <c r="N439" s="5">
        <f>IFERROR(__xludf.DUMMYFUNCTION("""COMPUTED_VALUE"""),11.0)</f>
        <v>11</v>
      </c>
      <c r="O439" s="5">
        <f>IFERROR(__xludf.DUMMYFUNCTION("""COMPUTED_VALUE"""),2000.0)</f>
        <v>2000</v>
      </c>
    </row>
    <row r="440">
      <c r="A440" s="1" t="s">
        <v>311</v>
      </c>
      <c r="B440" s="4">
        <v>13.0</v>
      </c>
      <c r="C440" s="1" t="s">
        <v>50</v>
      </c>
      <c r="D440" s="4">
        <v>16.0</v>
      </c>
      <c r="E440" s="4">
        <v>12.0</v>
      </c>
      <c r="F440" s="4">
        <v>8.0</v>
      </c>
      <c r="G440" s="4">
        <v>4.0</v>
      </c>
      <c r="H440" s="4">
        <v>0.0</v>
      </c>
      <c r="I440" s="4">
        <v>56.0</v>
      </c>
      <c r="J440" s="4">
        <v>30.0</v>
      </c>
      <c r="K440" s="4">
        <v>26.0</v>
      </c>
      <c r="L440" s="2" t="s">
        <v>182</v>
      </c>
      <c r="M440" s="5">
        <f>IFERROR(__xludf.DUMMYFUNCTION("""COMPUTED_VALUE"""),12.0)</f>
        <v>12</v>
      </c>
      <c r="N440" s="5">
        <f>IFERROR(__xludf.DUMMYFUNCTION("""COMPUTED_VALUE"""),11.0)</f>
        <v>11</v>
      </c>
      <c r="O440" s="5">
        <f>IFERROR(__xludf.DUMMYFUNCTION("""COMPUTED_VALUE"""),2001.0)</f>
        <v>2001</v>
      </c>
    </row>
    <row r="441">
      <c r="A441" s="1" t="s">
        <v>311</v>
      </c>
      <c r="B441" s="4">
        <v>14.0</v>
      </c>
      <c r="C441" s="1" t="s">
        <v>39</v>
      </c>
      <c r="D441" s="4">
        <v>16.0</v>
      </c>
      <c r="E441" s="4">
        <v>8.0</v>
      </c>
      <c r="F441" s="4">
        <v>8.0</v>
      </c>
      <c r="G441" s="4">
        <v>0.0</v>
      </c>
      <c r="H441" s="4">
        <v>0.0</v>
      </c>
      <c r="I441" s="4">
        <v>38.0</v>
      </c>
      <c r="J441" s="4">
        <v>12.0</v>
      </c>
      <c r="K441" s="4">
        <v>26.0</v>
      </c>
      <c r="L441" s="2" t="s">
        <v>207</v>
      </c>
      <c r="M441" s="5">
        <f>IFERROR(__xludf.DUMMYFUNCTION("""COMPUTED_VALUE"""),19.0)</f>
        <v>19</v>
      </c>
      <c r="N441" s="5">
        <f>IFERROR(__xludf.DUMMYFUNCTION("""COMPUTED_VALUE"""),5.0)</f>
        <v>5</v>
      </c>
      <c r="O441" s="5">
        <f>IFERROR(__xludf.DUMMYFUNCTION("""COMPUTED_VALUE"""),0.0)</f>
        <v>0</v>
      </c>
    </row>
    <row r="442">
      <c r="A442" s="1" t="s">
        <v>311</v>
      </c>
      <c r="B442" s="4">
        <v>15.0</v>
      </c>
      <c r="C442" s="1" t="s">
        <v>75</v>
      </c>
      <c r="D442" s="4">
        <v>16.0</v>
      </c>
      <c r="E442" s="4">
        <v>10.0</v>
      </c>
      <c r="F442" s="4">
        <v>8.0</v>
      </c>
      <c r="G442" s="4">
        <v>2.0</v>
      </c>
      <c r="H442" s="4">
        <v>0.0</v>
      </c>
      <c r="I442" s="4">
        <v>43.0</v>
      </c>
      <c r="J442" s="4">
        <v>20.0</v>
      </c>
      <c r="K442" s="4">
        <v>23.0</v>
      </c>
      <c r="L442" s="2" t="s">
        <v>313</v>
      </c>
      <c r="M442" s="5">
        <f>IFERROR(__xludf.DUMMYFUNCTION("""COMPUTED_VALUE"""),16.0)</f>
        <v>16</v>
      </c>
      <c r="N442" s="5">
        <f>IFERROR(__xludf.DUMMYFUNCTION("""COMPUTED_VALUE"""),4.0)</f>
        <v>4</v>
      </c>
      <c r="O442" s="5">
        <f>IFERROR(__xludf.DUMMYFUNCTION("""COMPUTED_VALUE"""),1.0)</f>
        <v>1</v>
      </c>
    </row>
    <row r="443">
      <c r="A443" s="1" t="s">
        <v>311</v>
      </c>
      <c r="B443" s="4">
        <v>16.0</v>
      </c>
      <c r="C443" s="1" t="s">
        <v>61</v>
      </c>
      <c r="D443" s="4">
        <v>15.0</v>
      </c>
      <c r="E443" s="4">
        <v>8.0</v>
      </c>
      <c r="F443" s="4">
        <v>7.0</v>
      </c>
      <c r="G443" s="4">
        <v>0.0</v>
      </c>
      <c r="H443" s="4">
        <v>1.0</v>
      </c>
      <c r="I443" s="4">
        <v>53.0</v>
      </c>
      <c r="J443" s="4">
        <v>9.0</v>
      </c>
      <c r="K443" s="4">
        <v>44.0</v>
      </c>
      <c r="L443" s="2" t="s">
        <v>314</v>
      </c>
      <c r="M443" s="5">
        <f>IFERROR(__xludf.DUMMYFUNCTION("""COMPUTED_VALUE"""),18.0)</f>
        <v>18</v>
      </c>
      <c r="N443" s="5">
        <f>IFERROR(__xludf.DUMMYFUNCTION("""COMPUTED_VALUE"""),2.0)</f>
        <v>2</v>
      </c>
      <c r="O443" s="5">
        <f>IFERROR(__xludf.DUMMYFUNCTION("""COMPUTED_VALUE"""),2.0)</f>
        <v>2</v>
      </c>
    </row>
    <row r="444">
      <c r="A444" s="1" t="s">
        <v>311</v>
      </c>
      <c r="B444" s="4">
        <v>17.0</v>
      </c>
      <c r="C444" s="1" t="s">
        <v>36</v>
      </c>
      <c r="D444" s="4">
        <v>14.0</v>
      </c>
      <c r="E444" s="4">
        <v>7.0</v>
      </c>
      <c r="F444" s="4">
        <v>7.0</v>
      </c>
      <c r="G444" s="4">
        <v>0.0</v>
      </c>
      <c r="H444" s="4">
        <v>0.0</v>
      </c>
      <c r="I444" s="4">
        <v>52.0</v>
      </c>
      <c r="J444" s="4">
        <v>8.0</v>
      </c>
      <c r="K444" s="4">
        <v>44.0</v>
      </c>
      <c r="L444" s="2" t="s">
        <v>315</v>
      </c>
      <c r="M444" s="5">
        <f>IFERROR(__xludf.DUMMYFUNCTION("""COMPUTED_VALUE"""),22.0)</f>
        <v>22</v>
      </c>
      <c r="N444" s="5">
        <f>IFERROR(__xludf.DUMMYFUNCTION("""COMPUTED_VALUE"""),0.0)</f>
        <v>0</v>
      </c>
      <c r="O444" s="5">
        <f>IFERROR(__xludf.DUMMYFUNCTION("""COMPUTED_VALUE"""),2.0)</f>
        <v>2</v>
      </c>
    </row>
    <row r="445">
      <c r="A445" s="1" t="s">
        <v>311</v>
      </c>
      <c r="B445" s="4">
        <v>18.0</v>
      </c>
      <c r="C445" s="1" t="s">
        <v>81</v>
      </c>
      <c r="D445" s="4">
        <v>14.0</v>
      </c>
      <c r="E445" s="4">
        <v>9.0</v>
      </c>
      <c r="F445" s="4">
        <v>7.0</v>
      </c>
      <c r="G445" s="4">
        <v>2.0</v>
      </c>
      <c r="H445" s="4">
        <v>0.0</v>
      </c>
      <c r="I445" s="4">
        <v>57.0</v>
      </c>
      <c r="J445" s="4">
        <v>19.0</v>
      </c>
      <c r="K445" s="4">
        <v>38.0</v>
      </c>
      <c r="L445" s="2" t="s">
        <v>19</v>
      </c>
      <c r="M445" s="5">
        <f>IFERROR(__xludf.DUMMYFUNCTION("""COMPUTED_VALUE"""),18.0)</f>
        <v>18</v>
      </c>
      <c r="N445" s="5">
        <f>IFERROR(__xludf.DUMMYFUNCTION("""COMPUTED_VALUE"""),6.0)</f>
        <v>6</v>
      </c>
      <c r="O445" s="5">
        <f>IFERROR(__xludf.DUMMYFUNCTION("""COMPUTED_VALUE"""),0.0)</f>
        <v>0</v>
      </c>
    </row>
    <row r="446">
      <c r="A446" s="1" t="s">
        <v>311</v>
      </c>
      <c r="B446" s="4">
        <v>19.0</v>
      </c>
      <c r="C446" s="1" t="s">
        <v>73</v>
      </c>
      <c r="D446" s="4">
        <v>14.0</v>
      </c>
      <c r="E446" s="4">
        <v>10.0</v>
      </c>
      <c r="F446" s="4">
        <v>7.0</v>
      </c>
      <c r="G446" s="4">
        <v>3.0</v>
      </c>
      <c r="H446" s="4">
        <v>0.0</v>
      </c>
      <c r="I446" s="4">
        <v>42.0</v>
      </c>
      <c r="J446" s="4">
        <v>20.0</v>
      </c>
      <c r="K446" s="4">
        <v>22.0</v>
      </c>
      <c r="L446" s="2" t="s">
        <v>316</v>
      </c>
      <c r="M446" s="5">
        <f>IFERROR(__xludf.DUMMYFUNCTION("""COMPUTED_VALUE"""),13.0)</f>
        <v>13</v>
      </c>
      <c r="N446" s="5">
        <f>IFERROR(__xludf.DUMMYFUNCTION("""COMPUTED_VALUE"""),3.0)</f>
        <v>3</v>
      </c>
      <c r="O446" s="5">
        <f>IFERROR(__xludf.DUMMYFUNCTION("""COMPUTED_VALUE"""),1.0)</f>
        <v>1</v>
      </c>
    </row>
    <row r="447">
      <c r="A447" s="1" t="s">
        <v>311</v>
      </c>
      <c r="B447" s="4">
        <v>20.0</v>
      </c>
      <c r="C447" s="1" t="s">
        <v>46</v>
      </c>
      <c r="D447" s="4">
        <v>14.0</v>
      </c>
      <c r="E447" s="4">
        <v>10.0</v>
      </c>
      <c r="F447" s="4">
        <v>7.0</v>
      </c>
      <c r="G447" s="4">
        <v>3.0</v>
      </c>
      <c r="H447" s="4">
        <v>0.0</v>
      </c>
      <c r="I447" s="4">
        <v>40.0</v>
      </c>
      <c r="J447" s="4">
        <v>32.0</v>
      </c>
      <c r="K447" s="4">
        <v>8.0</v>
      </c>
      <c r="L447" s="2" t="s">
        <v>21</v>
      </c>
      <c r="M447" s="5">
        <f>IFERROR(__xludf.DUMMYFUNCTION("""COMPUTED_VALUE"""),15.0)</f>
        <v>15</v>
      </c>
      <c r="N447" s="5">
        <f>IFERROR(__xludf.DUMMYFUNCTION("""COMPUTED_VALUE"""),8.0)</f>
        <v>8</v>
      </c>
      <c r="O447" s="5">
        <f>IFERROR(__xludf.DUMMYFUNCTION("""COMPUTED_VALUE"""),0.0)</f>
        <v>0</v>
      </c>
    </row>
    <row r="448">
      <c r="A448" s="1" t="s">
        <v>311</v>
      </c>
      <c r="B448" s="4">
        <v>21.0</v>
      </c>
      <c r="C448" s="1" t="s">
        <v>71</v>
      </c>
      <c r="D448" s="4">
        <v>13.0</v>
      </c>
      <c r="E448" s="4">
        <v>10.0</v>
      </c>
      <c r="F448" s="4">
        <v>6.0</v>
      </c>
      <c r="G448" s="4">
        <v>3.0</v>
      </c>
      <c r="H448" s="4">
        <v>1.0</v>
      </c>
      <c r="I448" s="4">
        <v>35.0</v>
      </c>
      <c r="J448" s="4">
        <v>24.0</v>
      </c>
      <c r="K448" s="4">
        <v>11.0</v>
      </c>
      <c r="L448" s="2" t="s">
        <v>26</v>
      </c>
      <c r="M448" s="5">
        <f>IFERROR(__xludf.DUMMYFUNCTION("""COMPUTED_VALUE"""),13.0)</f>
        <v>13</v>
      </c>
      <c r="N448" s="5">
        <f>IFERROR(__xludf.DUMMYFUNCTION("""COMPUTED_VALUE"""),9.0)</f>
        <v>9</v>
      </c>
      <c r="O448" s="5">
        <f>IFERROR(__xludf.DUMMYFUNCTION("""COMPUTED_VALUE"""),2.0)</f>
        <v>2</v>
      </c>
    </row>
    <row r="449">
      <c r="A449" s="1" t="s">
        <v>311</v>
      </c>
      <c r="B449" s="4">
        <v>22.0</v>
      </c>
      <c r="C449" s="1" t="s">
        <v>99</v>
      </c>
      <c r="D449" s="4">
        <v>13.0</v>
      </c>
      <c r="E449" s="4">
        <v>10.0</v>
      </c>
      <c r="F449" s="4">
        <v>6.0</v>
      </c>
      <c r="G449" s="4">
        <v>3.0</v>
      </c>
      <c r="H449" s="4">
        <v>1.0</v>
      </c>
      <c r="I449" s="4">
        <v>41.0</v>
      </c>
      <c r="J449" s="4">
        <v>35.0</v>
      </c>
      <c r="K449" s="4">
        <v>6.0</v>
      </c>
      <c r="L449" s="2" t="s">
        <v>317</v>
      </c>
      <c r="M449" s="5">
        <f>IFERROR(__xludf.DUMMYFUNCTION("""COMPUTED_VALUE"""),14.0)</f>
        <v>14</v>
      </c>
      <c r="N449" s="5">
        <f>IFERROR(__xludf.DUMMYFUNCTION("""COMPUTED_VALUE"""),7.0)</f>
        <v>7</v>
      </c>
      <c r="O449" s="5">
        <f>IFERROR(__xludf.DUMMYFUNCTION("""COMPUTED_VALUE"""),2.0)</f>
        <v>2</v>
      </c>
    </row>
    <row r="450">
      <c r="A450" s="1" t="s">
        <v>311</v>
      </c>
      <c r="B450" s="4">
        <v>23.0</v>
      </c>
      <c r="C450" s="1" t="s">
        <v>149</v>
      </c>
      <c r="D450" s="4">
        <v>12.0</v>
      </c>
      <c r="E450" s="4">
        <v>7.0</v>
      </c>
      <c r="F450" s="4">
        <v>6.0</v>
      </c>
      <c r="G450" s="4">
        <v>1.0</v>
      </c>
      <c r="H450" s="4">
        <v>0.0</v>
      </c>
      <c r="I450" s="4">
        <v>44.0</v>
      </c>
      <c r="J450" s="4">
        <v>8.0</v>
      </c>
      <c r="K450" s="4">
        <v>36.0</v>
      </c>
      <c r="L450" s="2" t="s">
        <v>40</v>
      </c>
      <c r="M450" s="5">
        <f>IFERROR(__xludf.DUMMYFUNCTION("""COMPUTED_VALUE"""),17.0)</f>
        <v>17</v>
      </c>
      <c r="N450" s="5">
        <f>IFERROR(__xludf.DUMMYFUNCTION("""COMPUTED_VALUE"""),6.0)</f>
        <v>6</v>
      </c>
      <c r="O450" s="5">
        <f>IFERROR(__xludf.DUMMYFUNCTION("""COMPUTED_VALUE"""),1.0)</f>
        <v>1</v>
      </c>
    </row>
    <row r="451">
      <c r="A451" s="1" t="s">
        <v>311</v>
      </c>
      <c r="B451" s="4">
        <v>24.0</v>
      </c>
      <c r="C451" s="1" t="s">
        <v>43</v>
      </c>
      <c r="D451" s="4">
        <v>12.0</v>
      </c>
      <c r="E451" s="4">
        <v>6.0</v>
      </c>
      <c r="F451" s="4">
        <v>6.0</v>
      </c>
      <c r="G451" s="4">
        <v>0.0</v>
      </c>
      <c r="H451" s="4">
        <v>0.0</v>
      </c>
      <c r="I451" s="4">
        <v>34.0</v>
      </c>
      <c r="J451" s="4">
        <v>4.0</v>
      </c>
      <c r="K451" s="4">
        <v>30.0</v>
      </c>
      <c r="L451" s="2" t="s">
        <v>318</v>
      </c>
      <c r="M451" s="5">
        <f>IFERROR(__xludf.DUMMYFUNCTION("""COMPUTED_VALUE"""),21.0)</f>
        <v>21</v>
      </c>
      <c r="N451" s="5">
        <f>IFERROR(__xludf.DUMMYFUNCTION("""COMPUTED_VALUE"""),1.0)</f>
        <v>1</v>
      </c>
      <c r="O451" s="5">
        <f>IFERROR(__xludf.DUMMYFUNCTION("""COMPUTED_VALUE"""),1.0)</f>
        <v>1</v>
      </c>
    </row>
    <row r="452">
      <c r="A452" s="1" t="s">
        <v>311</v>
      </c>
      <c r="B452" s="4">
        <v>25.0</v>
      </c>
      <c r="C452" s="1" t="s">
        <v>152</v>
      </c>
      <c r="D452" s="4">
        <v>12.0</v>
      </c>
      <c r="E452" s="4">
        <v>8.0</v>
      </c>
      <c r="F452" s="4">
        <v>6.0</v>
      </c>
      <c r="G452" s="4">
        <v>2.0</v>
      </c>
      <c r="H452" s="4">
        <v>0.0</v>
      </c>
      <c r="I452" s="4">
        <v>41.0</v>
      </c>
      <c r="J452" s="4">
        <v>18.0</v>
      </c>
      <c r="K452" s="4">
        <v>23.0</v>
      </c>
      <c r="L452" s="2" t="s">
        <v>97</v>
      </c>
      <c r="M452" s="5">
        <f>IFERROR(__xludf.DUMMYFUNCTION("""COMPUTED_VALUE"""),10.0)</f>
        <v>10</v>
      </c>
      <c r="N452" s="5">
        <f>IFERROR(__xludf.DUMMYFUNCTION("""COMPUTED_VALUE"""),13.0)</f>
        <v>13</v>
      </c>
      <c r="O452" s="5">
        <f>IFERROR(__xludf.DUMMYFUNCTION("""COMPUTED_VALUE"""),2000.0)</f>
        <v>2000</v>
      </c>
    </row>
    <row r="453">
      <c r="A453" s="1" t="s">
        <v>311</v>
      </c>
      <c r="B453" s="4">
        <v>26.0</v>
      </c>
      <c r="C453" s="1" t="s">
        <v>27</v>
      </c>
      <c r="D453" s="4">
        <v>12.0</v>
      </c>
      <c r="E453" s="4">
        <v>10.0</v>
      </c>
      <c r="F453" s="4">
        <v>6.0</v>
      </c>
      <c r="G453" s="4">
        <v>4.0</v>
      </c>
      <c r="H453" s="4">
        <v>0.0</v>
      </c>
      <c r="I453" s="4">
        <v>40.0</v>
      </c>
      <c r="J453" s="4">
        <v>27.0</v>
      </c>
      <c r="K453" s="4">
        <v>13.0</v>
      </c>
      <c r="L453" s="2" t="s">
        <v>176</v>
      </c>
      <c r="M453" s="5">
        <f>IFERROR(__xludf.DUMMYFUNCTION("""COMPUTED_VALUE"""),11.0)</f>
        <v>11</v>
      </c>
      <c r="N453" s="5">
        <f>IFERROR(__xludf.DUMMYFUNCTION("""COMPUTED_VALUE"""),11.0)</f>
        <v>11</v>
      </c>
      <c r="O453" s="5">
        <f>IFERROR(__xludf.DUMMYFUNCTION("""COMPUTED_VALUE"""),2001.0)</f>
        <v>2001</v>
      </c>
    </row>
    <row r="454">
      <c r="A454" s="1" t="s">
        <v>311</v>
      </c>
      <c r="B454" s="4">
        <v>27.0</v>
      </c>
      <c r="C454" s="1" t="s">
        <v>48</v>
      </c>
      <c r="D454" s="4">
        <v>12.0</v>
      </c>
      <c r="E454" s="4">
        <v>12.0</v>
      </c>
      <c r="F454" s="4">
        <v>5.0</v>
      </c>
      <c r="G454" s="4">
        <v>5.0</v>
      </c>
      <c r="H454" s="4">
        <v>2.0</v>
      </c>
      <c r="I454" s="4">
        <v>45.0</v>
      </c>
      <c r="J454" s="4">
        <v>41.0</v>
      </c>
      <c r="K454" s="4">
        <v>4.0</v>
      </c>
      <c r="L454" s="2" t="s">
        <v>319</v>
      </c>
      <c r="M454" s="5">
        <f>IFERROR(__xludf.DUMMYFUNCTION("""COMPUTED_VALUE"""),14.0)</f>
        <v>14</v>
      </c>
      <c r="N454" s="5">
        <f>IFERROR(__xludf.DUMMYFUNCTION("""COMPUTED_VALUE"""),6.0)</f>
        <v>6</v>
      </c>
      <c r="O454" s="5">
        <f>IFERROR(__xludf.DUMMYFUNCTION("""COMPUTED_VALUE"""),2.0)</f>
        <v>2</v>
      </c>
    </row>
    <row r="455">
      <c r="A455" s="1" t="s">
        <v>311</v>
      </c>
      <c r="B455" s="4">
        <v>28.0</v>
      </c>
      <c r="C455" s="1" t="s">
        <v>134</v>
      </c>
      <c r="D455" s="4">
        <v>12.0</v>
      </c>
      <c r="E455" s="4">
        <v>12.0</v>
      </c>
      <c r="F455" s="4">
        <v>5.0</v>
      </c>
      <c r="G455" s="4">
        <v>5.0</v>
      </c>
      <c r="H455" s="4">
        <v>2.0</v>
      </c>
      <c r="I455" s="4">
        <v>34.0</v>
      </c>
      <c r="J455" s="4">
        <v>35.0</v>
      </c>
      <c r="K455" s="4">
        <v>-1.0</v>
      </c>
      <c r="L455" s="2" t="s">
        <v>320</v>
      </c>
      <c r="M455" s="5">
        <f>IFERROR(__xludf.DUMMYFUNCTION("""COMPUTED_VALUE"""),10.0)</f>
        <v>10</v>
      </c>
      <c r="N455" s="5">
        <f>IFERROR(__xludf.DUMMYFUNCTION("""COMPUTED_VALUE"""),11.0)</f>
        <v>11</v>
      </c>
      <c r="O455" s="5">
        <f>IFERROR(__xludf.DUMMYFUNCTION("""COMPUTED_VALUE"""),2003.0)</f>
        <v>2003</v>
      </c>
    </row>
    <row r="456">
      <c r="A456" s="1" t="s">
        <v>311</v>
      </c>
      <c r="B456" s="4">
        <v>29.0</v>
      </c>
      <c r="C456" s="1" t="s">
        <v>94</v>
      </c>
      <c r="D456" s="4">
        <v>12.0</v>
      </c>
      <c r="E456" s="4">
        <v>14.0</v>
      </c>
      <c r="F456" s="4">
        <v>6.0</v>
      </c>
      <c r="G456" s="4">
        <v>8.0</v>
      </c>
      <c r="H456" s="4">
        <v>0.0</v>
      </c>
      <c r="I456" s="4">
        <v>45.0</v>
      </c>
      <c r="J456" s="4">
        <v>53.0</v>
      </c>
      <c r="K456" s="4">
        <v>-8.0</v>
      </c>
      <c r="L456" s="2" t="s">
        <v>173</v>
      </c>
      <c r="M456" s="5">
        <f>IFERROR(__xludf.DUMMYFUNCTION("""COMPUTED_VALUE"""),8.0)</f>
        <v>8</v>
      </c>
      <c r="N456" s="5">
        <f>IFERROR(__xludf.DUMMYFUNCTION("""COMPUTED_VALUE"""),15.0)</f>
        <v>15</v>
      </c>
      <c r="O456" s="5">
        <f>IFERROR(__xludf.DUMMYFUNCTION("""COMPUTED_VALUE"""),2001.0)</f>
        <v>2001</v>
      </c>
    </row>
    <row r="457">
      <c r="A457" s="1" t="s">
        <v>311</v>
      </c>
      <c r="B457" s="4">
        <v>30.0</v>
      </c>
      <c r="C457" s="1" t="s">
        <v>54</v>
      </c>
      <c r="D457" s="4">
        <v>10.0</v>
      </c>
      <c r="E457" s="4">
        <v>7.0</v>
      </c>
      <c r="F457" s="4">
        <v>5.0</v>
      </c>
      <c r="G457" s="4">
        <v>2.0</v>
      </c>
      <c r="H457" s="4">
        <v>0.0</v>
      </c>
      <c r="I457" s="4">
        <v>51.0</v>
      </c>
      <c r="J457" s="4">
        <v>18.0</v>
      </c>
      <c r="K457" s="4">
        <v>33.0</v>
      </c>
      <c r="L457" s="2" t="s">
        <v>63</v>
      </c>
      <c r="M457" s="5">
        <f>IFERROR(__xludf.DUMMYFUNCTION("""COMPUTED_VALUE"""),16.0)</f>
        <v>16</v>
      </c>
      <c r="N457" s="5">
        <f>IFERROR(__xludf.DUMMYFUNCTION("""COMPUTED_VALUE"""),7.0)</f>
        <v>7</v>
      </c>
      <c r="O457" s="5">
        <f>IFERROR(__xludf.DUMMYFUNCTION("""COMPUTED_VALUE"""),1.0)</f>
        <v>1</v>
      </c>
    </row>
    <row r="458">
      <c r="A458" s="1" t="s">
        <v>311</v>
      </c>
      <c r="B458" s="4">
        <v>31.0</v>
      </c>
      <c r="C458" s="1" t="s">
        <v>41</v>
      </c>
      <c r="D458" s="4">
        <v>10.0</v>
      </c>
      <c r="E458" s="4">
        <v>8.0</v>
      </c>
      <c r="F458" s="4">
        <v>5.0</v>
      </c>
      <c r="G458" s="4">
        <v>3.0</v>
      </c>
      <c r="H458" s="4">
        <v>0.0</v>
      </c>
      <c r="I458" s="4">
        <v>32.0</v>
      </c>
      <c r="J458" s="4">
        <v>15.0</v>
      </c>
      <c r="K458" s="4">
        <v>17.0</v>
      </c>
      <c r="L458" s="2" t="s">
        <v>44</v>
      </c>
      <c r="M458" s="5">
        <f>IFERROR(__xludf.DUMMYFUNCTION("""COMPUTED_VALUE"""),15.0)</f>
        <v>15</v>
      </c>
      <c r="N458" s="5">
        <f>IFERROR(__xludf.DUMMYFUNCTION("""COMPUTED_VALUE"""),7.0)</f>
        <v>7</v>
      </c>
      <c r="O458" s="5">
        <f>IFERROR(__xludf.DUMMYFUNCTION("""COMPUTED_VALUE"""),1.0)</f>
        <v>1</v>
      </c>
    </row>
    <row r="459">
      <c r="A459" s="1" t="s">
        <v>311</v>
      </c>
      <c r="B459" s="4">
        <v>32.0</v>
      </c>
      <c r="C459" s="1" t="s">
        <v>64</v>
      </c>
      <c r="D459" s="4">
        <v>10.0</v>
      </c>
      <c r="E459" s="4">
        <v>10.0</v>
      </c>
      <c r="F459" s="4">
        <v>5.0</v>
      </c>
      <c r="G459" s="4">
        <v>5.0</v>
      </c>
      <c r="H459" s="4">
        <v>0.0</v>
      </c>
      <c r="I459" s="4">
        <v>36.0</v>
      </c>
      <c r="J459" s="4">
        <v>22.0</v>
      </c>
      <c r="K459" s="4">
        <v>14.0</v>
      </c>
      <c r="L459" s="2" t="s">
        <v>321</v>
      </c>
      <c r="M459" s="5">
        <f>IFERROR(__xludf.DUMMYFUNCTION("""COMPUTED_VALUE"""),9.0)</f>
        <v>9</v>
      </c>
      <c r="N459" s="5">
        <f>IFERROR(__xludf.DUMMYFUNCTION("""COMPUTED_VALUE"""),14.0)</f>
        <v>14</v>
      </c>
      <c r="O459" s="5">
        <f>IFERROR(__xludf.DUMMYFUNCTION("""COMPUTED_VALUE"""),2001.0)</f>
        <v>2001</v>
      </c>
    </row>
    <row r="460">
      <c r="A460" s="1" t="s">
        <v>311</v>
      </c>
      <c r="B460" s="4">
        <v>33.0</v>
      </c>
      <c r="C460" s="1" t="s">
        <v>16</v>
      </c>
      <c r="D460" s="4">
        <v>10.0</v>
      </c>
      <c r="E460" s="4">
        <v>8.0</v>
      </c>
      <c r="F460" s="4">
        <v>5.0</v>
      </c>
      <c r="G460" s="4">
        <v>3.0</v>
      </c>
      <c r="H460" s="4">
        <v>0.0</v>
      </c>
      <c r="I460" s="4">
        <v>30.0</v>
      </c>
      <c r="J460" s="4">
        <v>17.0</v>
      </c>
      <c r="K460" s="4">
        <v>13.0</v>
      </c>
      <c r="L460" s="2" t="s">
        <v>95</v>
      </c>
      <c r="M460" s="5">
        <f>IFERROR(__xludf.DUMMYFUNCTION("""COMPUTED_VALUE"""),9.0)</f>
        <v>9</v>
      </c>
      <c r="N460" s="5">
        <f>IFERROR(__xludf.DUMMYFUNCTION("""COMPUTED_VALUE"""),14.0)</f>
        <v>14</v>
      </c>
      <c r="O460" s="5">
        <f>IFERROR(__xludf.DUMMYFUNCTION("""COMPUTED_VALUE"""),2000.0)</f>
        <v>2000</v>
      </c>
    </row>
    <row r="461">
      <c r="A461" s="1" t="s">
        <v>311</v>
      </c>
      <c r="B461" s="4">
        <v>34.0</v>
      </c>
      <c r="C461" s="1" t="s">
        <v>158</v>
      </c>
      <c r="D461" s="4">
        <v>10.0</v>
      </c>
      <c r="E461" s="4">
        <v>10.0</v>
      </c>
      <c r="F461" s="4">
        <v>5.0</v>
      </c>
      <c r="G461" s="4">
        <v>5.0</v>
      </c>
      <c r="H461" s="4">
        <v>0.0</v>
      </c>
      <c r="I461" s="4">
        <v>36.0</v>
      </c>
      <c r="J461" s="4">
        <v>26.0</v>
      </c>
      <c r="K461" s="4">
        <v>10.0</v>
      </c>
      <c r="L461" s="2" t="s">
        <v>177</v>
      </c>
      <c r="M461" s="5">
        <f>IFERROR(__xludf.DUMMYFUNCTION("""COMPUTED_VALUE"""),13.0)</f>
        <v>13</v>
      </c>
      <c r="N461" s="5">
        <f>IFERROR(__xludf.DUMMYFUNCTION("""COMPUTED_VALUE"""),10.0)</f>
        <v>10</v>
      </c>
      <c r="O461" s="5">
        <f>IFERROR(__xludf.DUMMYFUNCTION("""COMPUTED_VALUE"""),1.0)</f>
        <v>1</v>
      </c>
    </row>
    <row r="462">
      <c r="A462" s="1" t="s">
        <v>311</v>
      </c>
      <c r="B462" s="4">
        <v>35.0</v>
      </c>
      <c r="C462" s="1" t="s">
        <v>116</v>
      </c>
      <c r="D462" s="4">
        <v>9.0</v>
      </c>
      <c r="E462" s="4">
        <v>8.0</v>
      </c>
      <c r="F462" s="4">
        <v>4.0</v>
      </c>
      <c r="G462" s="4">
        <v>3.0</v>
      </c>
      <c r="H462" s="4">
        <v>1.0</v>
      </c>
      <c r="I462" s="4">
        <v>32.0</v>
      </c>
      <c r="J462" s="4">
        <v>18.0</v>
      </c>
      <c r="K462" s="4">
        <v>14.0</v>
      </c>
      <c r="L462" s="2" t="s">
        <v>322</v>
      </c>
      <c r="M462" s="5">
        <f>IFERROR(__xludf.DUMMYFUNCTION("""COMPUTED_VALUE"""),17.0)</f>
        <v>17</v>
      </c>
      <c r="N462" s="5">
        <f>IFERROR(__xludf.DUMMYFUNCTION("""COMPUTED_VALUE"""),6.0)</f>
        <v>6</v>
      </c>
      <c r="O462" s="5">
        <f>IFERROR(__xludf.DUMMYFUNCTION("""COMPUTED_VALUE"""),2.0)</f>
        <v>2</v>
      </c>
    </row>
    <row r="463">
      <c r="A463" s="1" t="s">
        <v>311</v>
      </c>
      <c r="B463" s="4">
        <v>36.0</v>
      </c>
      <c r="C463" s="1" t="s">
        <v>117</v>
      </c>
      <c r="D463" s="4">
        <v>9.0</v>
      </c>
      <c r="E463" s="4">
        <v>10.0</v>
      </c>
      <c r="F463" s="4">
        <v>4.0</v>
      </c>
      <c r="G463" s="4">
        <v>5.0</v>
      </c>
      <c r="H463" s="4">
        <v>1.0</v>
      </c>
      <c r="I463" s="4">
        <v>28.0</v>
      </c>
      <c r="J463" s="4">
        <v>39.0</v>
      </c>
      <c r="K463" s="4">
        <v>-11.0</v>
      </c>
      <c r="L463" s="2" t="s">
        <v>173</v>
      </c>
      <c r="M463" s="5">
        <f>IFERROR(__xludf.DUMMYFUNCTION("""COMPUTED_VALUE"""),8.0)</f>
        <v>8</v>
      </c>
      <c r="N463" s="5">
        <f>IFERROR(__xludf.DUMMYFUNCTION("""COMPUTED_VALUE"""),15.0)</f>
        <v>15</v>
      </c>
      <c r="O463" s="5">
        <f>IFERROR(__xludf.DUMMYFUNCTION("""COMPUTED_VALUE"""),2001.0)</f>
        <v>2001</v>
      </c>
    </row>
    <row r="464">
      <c r="A464" s="1" t="s">
        <v>311</v>
      </c>
      <c r="B464" s="4">
        <v>37.0</v>
      </c>
      <c r="C464" s="1" t="s">
        <v>131</v>
      </c>
      <c r="D464" s="4">
        <v>8.0</v>
      </c>
      <c r="E464" s="4">
        <v>4.0</v>
      </c>
      <c r="F464" s="4">
        <v>4.0</v>
      </c>
      <c r="G464" s="4">
        <v>0.0</v>
      </c>
      <c r="H464" s="4">
        <v>0.0</v>
      </c>
      <c r="I464" s="4">
        <v>39.0</v>
      </c>
      <c r="J464" s="4">
        <v>5.0</v>
      </c>
      <c r="K464" s="4">
        <v>34.0</v>
      </c>
      <c r="L464" s="2" t="s">
        <v>35</v>
      </c>
      <c r="M464" s="5">
        <f>IFERROR(__xludf.DUMMYFUNCTION("""COMPUTED_VALUE"""),20.0)</f>
        <v>20</v>
      </c>
      <c r="N464" s="5">
        <f>IFERROR(__xludf.DUMMYFUNCTION("""COMPUTED_VALUE"""),3.0)</f>
        <v>3</v>
      </c>
      <c r="O464" s="5">
        <f>IFERROR(__xludf.DUMMYFUNCTION("""COMPUTED_VALUE"""),1.0)</f>
        <v>1</v>
      </c>
    </row>
    <row r="465">
      <c r="A465" s="1" t="s">
        <v>311</v>
      </c>
      <c r="B465" s="4">
        <v>38.0</v>
      </c>
      <c r="C465" s="1" t="s">
        <v>98</v>
      </c>
      <c r="D465" s="4">
        <v>8.0</v>
      </c>
      <c r="E465" s="4">
        <v>7.0</v>
      </c>
      <c r="F465" s="4">
        <v>4.0</v>
      </c>
      <c r="G465" s="4">
        <v>3.0</v>
      </c>
      <c r="H465" s="4">
        <v>0.0</v>
      </c>
      <c r="I465" s="4">
        <v>45.0</v>
      </c>
      <c r="J465" s="4">
        <v>25.0</v>
      </c>
      <c r="K465" s="4">
        <v>20.0</v>
      </c>
      <c r="L465" s="2" t="s">
        <v>323</v>
      </c>
      <c r="M465" s="5">
        <f>IFERROR(__xludf.DUMMYFUNCTION("""COMPUTED_VALUE"""),10.0)</f>
        <v>10</v>
      </c>
      <c r="N465" s="5">
        <f>IFERROR(__xludf.DUMMYFUNCTION("""COMPUTED_VALUE"""),12.0)</f>
        <v>12</v>
      </c>
      <c r="O465" s="5">
        <f>IFERROR(__xludf.DUMMYFUNCTION("""COMPUTED_VALUE"""),2001.0)</f>
        <v>2001</v>
      </c>
    </row>
    <row r="466">
      <c r="A466" s="1" t="s">
        <v>311</v>
      </c>
      <c r="B466" s="4">
        <v>39.0</v>
      </c>
      <c r="C466" s="1" t="s">
        <v>68</v>
      </c>
      <c r="D466" s="4">
        <v>8.0</v>
      </c>
      <c r="E466" s="4">
        <v>8.0</v>
      </c>
      <c r="F466" s="4">
        <v>4.0</v>
      </c>
      <c r="G466" s="4">
        <v>4.0</v>
      </c>
      <c r="H466" s="4">
        <v>0.0</v>
      </c>
      <c r="I466" s="4">
        <v>36.0</v>
      </c>
      <c r="J466" s="4">
        <v>19.0</v>
      </c>
      <c r="K466" s="4">
        <v>17.0</v>
      </c>
      <c r="L466" s="2" t="s">
        <v>324</v>
      </c>
      <c r="M466" s="5">
        <f>IFERROR(__xludf.DUMMYFUNCTION("""COMPUTED_VALUE"""),12.0)</f>
        <v>12</v>
      </c>
      <c r="N466" s="5">
        <f>IFERROR(__xludf.DUMMYFUNCTION("""COMPUTED_VALUE"""),8.0)</f>
        <v>8</v>
      </c>
      <c r="O466" s="5">
        <f>IFERROR(__xludf.DUMMYFUNCTION("""COMPUTED_VALUE"""),2004.0)</f>
        <v>2004</v>
      </c>
    </row>
    <row r="467">
      <c r="A467" s="1" t="s">
        <v>311</v>
      </c>
      <c r="B467" s="4">
        <v>40.0</v>
      </c>
      <c r="C467" s="1" t="s">
        <v>101</v>
      </c>
      <c r="D467" s="4">
        <v>8.0</v>
      </c>
      <c r="E467" s="4">
        <v>6.0</v>
      </c>
      <c r="F467" s="4">
        <v>4.0</v>
      </c>
      <c r="G467" s="4">
        <v>2.0</v>
      </c>
      <c r="H467" s="4">
        <v>0.0</v>
      </c>
      <c r="I467" s="4">
        <v>23.0</v>
      </c>
      <c r="J467" s="4">
        <v>16.0</v>
      </c>
      <c r="K467" s="4">
        <v>7.0</v>
      </c>
      <c r="L467" s="2" t="s">
        <v>325</v>
      </c>
      <c r="M467" s="5">
        <f>IFERROR(__xludf.DUMMYFUNCTION("""COMPUTED_VALUE"""),10.0)</f>
        <v>10</v>
      </c>
      <c r="N467" s="5">
        <f>IFERROR(__xludf.DUMMYFUNCTION("""COMPUTED_VALUE"""),11.0)</f>
        <v>11</v>
      </c>
      <c r="O467" s="5">
        <f>IFERROR(__xludf.DUMMYFUNCTION("""COMPUTED_VALUE"""),2002.0)</f>
        <v>2002</v>
      </c>
    </row>
    <row r="468">
      <c r="A468" s="1" t="s">
        <v>311</v>
      </c>
      <c r="B468" s="4">
        <v>41.0</v>
      </c>
      <c r="C468" s="1" t="s">
        <v>60</v>
      </c>
      <c r="D468" s="4">
        <v>8.0</v>
      </c>
      <c r="E468" s="4">
        <v>10.0</v>
      </c>
      <c r="F468" s="4">
        <v>4.0</v>
      </c>
      <c r="G468" s="4">
        <v>6.0</v>
      </c>
      <c r="H468" s="4">
        <v>0.0</v>
      </c>
      <c r="I468" s="4">
        <v>27.0</v>
      </c>
      <c r="J468" s="4">
        <v>35.0</v>
      </c>
      <c r="K468" s="4">
        <v>-8.0</v>
      </c>
      <c r="L468" s="2" t="s">
        <v>179</v>
      </c>
      <c r="M468" s="5">
        <f>IFERROR(__xludf.DUMMYFUNCTION("""COMPUTED_VALUE"""),10.0)</f>
        <v>10</v>
      </c>
      <c r="N468" s="5">
        <f>IFERROR(__xludf.DUMMYFUNCTION("""COMPUTED_VALUE"""),13.0)</f>
        <v>13</v>
      </c>
      <c r="O468" s="5">
        <f>IFERROR(__xludf.DUMMYFUNCTION("""COMPUTED_VALUE"""),2001.0)</f>
        <v>2001</v>
      </c>
    </row>
    <row r="469">
      <c r="A469" s="1" t="s">
        <v>311</v>
      </c>
      <c r="B469" s="4">
        <v>42.0</v>
      </c>
      <c r="C469" s="1" t="s">
        <v>88</v>
      </c>
      <c r="D469" s="4">
        <v>8.0</v>
      </c>
      <c r="E469" s="4">
        <v>7.0</v>
      </c>
      <c r="F469" s="4">
        <v>4.0</v>
      </c>
      <c r="G469" s="4">
        <v>3.0</v>
      </c>
      <c r="H469" s="4">
        <v>0.0</v>
      </c>
      <c r="I469" s="4">
        <v>15.0</v>
      </c>
      <c r="J469" s="4">
        <v>27.0</v>
      </c>
      <c r="K469" s="4">
        <v>-12.0</v>
      </c>
      <c r="L469" s="2" t="s">
        <v>109</v>
      </c>
      <c r="M469" s="5">
        <f>IFERROR(__xludf.DUMMYFUNCTION("""COMPUTED_VALUE"""),14.0)</f>
        <v>14</v>
      </c>
      <c r="N469" s="5">
        <f>IFERROR(__xludf.DUMMYFUNCTION("""COMPUTED_VALUE"""),9.0)</f>
        <v>9</v>
      </c>
      <c r="O469" s="5">
        <f>IFERROR(__xludf.DUMMYFUNCTION("""COMPUTED_VALUE"""),0.0)</f>
        <v>0</v>
      </c>
    </row>
    <row r="470">
      <c r="A470" s="1" t="s">
        <v>311</v>
      </c>
      <c r="B470" s="4">
        <v>43.0</v>
      </c>
      <c r="C470" s="1" t="s">
        <v>106</v>
      </c>
      <c r="D470" s="4">
        <v>8.0</v>
      </c>
      <c r="E470" s="4">
        <v>14.0</v>
      </c>
      <c r="F470" s="4">
        <v>4.0</v>
      </c>
      <c r="G470" s="4">
        <v>10.0</v>
      </c>
      <c r="H470" s="4">
        <v>0.0</v>
      </c>
      <c r="I470" s="4">
        <v>42.0</v>
      </c>
      <c r="J470" s="4">
        <v>58.0</v>
      </c>
      <c r="K470" s="4">
        <v>-16.0</v>
      </c>
      <c r="L470" s="2" t="s">
        <v>195</v>
      </c>
      <c r="M470" s="5">
        <f>IFERROR(__xludf.DUMMYFUNCTION("""COMPUTED_VALUE"""),8.0)</f>
        <v>8</v>
      </c>
      <c r="N470" s="5">
        <f>IFERROR(__xludf.DUMMYFUNCTION("""COMPUTED_VALUE"""),15.0)</f>
        <v>15</v>
      </c>
      <c r="O470" s="5">
        <f>IFERROR(__xludf.DUMMYFUNCTION("""COMPUTED_VALUE"""),2000.0)</f>
        <v>2000</v>
      </c>
    </row>
    <row r="471">
      <c r="A471" s="1" t="s">
        <v>311</v>
      </c>
      <c r="B471" s="4">
        <v>44.0</v>
      </c>
      <c r="C471" s="1" t="s">
        <v>122</v>
      </c>
      <c r="D471" s="4">
        <v>7.0</v>
      </c>
      <c r="E471" s="4">
        <v>10.0</v>
      </c>
      <c r="F471" s="4">
        <v>3.0</v>
      </c>
      <c r="G471" s="4">
        <v>6.0</v>
      </c>
      <c r="H471" s="4">
        <v>1.0</v>
      </c>
      <c r="I471" s="4">
        <v>23.0</v>
      </c>
      <c r="J471" s="4">
        <v>37.0</v>
      </c>
      <c r="K471" s="4">
        <v>-14.0</v>
      </c>
      <c r="L471" s="2" t="s">
        <v>176</v>
      </c>
      <c r="M471" s="5">
        <f>IFERROR(__xludf.DUMMYFUNCTION("""COMPUTED_VALUE"""),11.0)</f>
        <v>11</v>
      </c>
      <c r="N471" s="5">
        <f>IFERROR(__xludf.DUMMYFUNCTION("""COMPUTED_VALUE"""),11.0)</f>
        <v>11</v>
      </c>
      <c r="O471" s="5">
        <f>IFERROR(__xludf.DUMMYFUNCTION("""COMPUTED_VALUE"""),2001.0)</f>
        <v>2001</v>
      </c>
    </row>
    <row r="472">
      <c r="A472" s="1" t="s">
        <v>311</v>
      </c>
      <c r="B472" s="4">
        <v>45.0</v>
      </c>
      <c r="C472" s="1" t="s">
        <v>52</v>
      </c>
      <c r="D472" s="4">
        <v>7.0</v>
      </c>
      <c r="E472" s="4">
        <v>12.0</v>
      </c>
      <c r="F472" s="4">
        <v>3.0</v>
      </c>
      <c r="G472" s="4">
        <v>8.0</v>
      </c>
      <c r="H472" s="4">
        <v>1.0</v>
      </c>
      <c r="I472" s="4">
        <v>29.0</v>
      </c>
      <c r="J472" s="4">
        <v>52.0</v>
      </c>
      <c r="K472" s="4">
        <v>-23.0</v>
      </c>
      <c r="L472" s="2" t="s">
        <v>326</v>
      </c>
      <c r="M472" s="5">
        <f>IFERROR(__xludf.DUMMYFUNCTION("""COMPUTED_VALUE"""),7.0)</f>
        <v>7</v>
      </c>
      <c r="N472" s="5">
        <f>IFERROR(__xludf.DUMMYFUNCTION("""COMPUTED_VALUE"""),15.0)</f>
        <v>15</v>
      </c>
      <c r="O472" s="5">
        <f>IFERROR(__xludf.DUMMYFUNCTION("""COMPUTED_VALUE"""),2002.0)</f>
        <v>2002</v>
      </c>
    </row>
    <row r="473">
      <c r="A473" s="1" t="s">
        <v>311</v>
      </c>
      <c r="B473" s="4">
        <v>46.0</v>
      </c>
      <c r="C473" s="1" t="s">
        <v>83</v>
      </c>
      <c r="D473" s="4">
        <v>6.0</v>
      </c>
      <c r="E473" s="4">
        <v>3.0</v>
      </c>
      <c r="F473" s="4">
        <v>3.0</v>
      </c>
      <c r="G473" s="4">
        <v>0.0</v>
      </c>
      <c r="H473" s="4">
        <v>0.0</v>
      </c>
      <c r="I473" s="4">
        <v>19.0</v>
      </c>
      <c r="J473" s="4">
        <v>1.0</v>
      </c>
      <c r="K473" s="4">
        <v>18.0</v>
      </c>
      <c r="L473" s="2" t="s">
        <v>166</v>
      </c>
      <c r="M473" s="5">
        <f>IFERROR(__xludf.DUMMYFUNCTION("""COMPUTED_VALUE"""),18.0)</f>
        <v>18</v>
      </c>
      <c r="N473" s="5">
        <f>IFERROR(__xludf.DUMMYFUNCTION("""COMPUTED_VALUE"""),5.0)</f>
        <v>5</v>
      </c>
      <c r="O473" s="5">
        <f>IFERROR(__xludf.DUMMYFUNCTION("""COMPUTED_VALUE"""),1.0)</f>
        <v>1</v>
      </c>
    </row>
    <row r="474">
      <c r="A474" s="1" t="s">
        <v>311</v>
      </c>
      <c r="B474" s="4">
        <v>47.0</v>
      </c>
      <c r="C474" s="1" t="s">
        <v>96</v>
      </c>
      <c r="D474" s="4">
        <v>6.0</v>
      </c>
      <c r="E474" s="4">
        <v>7.0</v>
      </c>
      <c r="F474" s="4">
        <v>3.0</v>
      </c>
      <c r="G474" s="4">
        <v>4.0</v>
      </c>
      <c r="H474" s="4">
        <v>0.0</v>
      </c>
      <c r="I474" s="4">
        <v>39.0</v>
      </c>
      <c r="J474" s="4">
        <v>26.0</v>
      </c>
      <c r="K474" s="4">
        <v>13.0</v>
      </c>
      <c r="L474" s="2" t="s">
        <v>327</v>
      </c>
      <c r="M474" s="5">
        <f>IFERROR(__xludf.DUMMYFUNCTION("""COMPUTED_VALUE"""),9.0)</f>
        <v>9</v>
      </c>
      <c r="N474" s="5">
        <f>IFERROR(__xludf.DUMMYFUNCTION("""COMPUTED_VALUE"""),12.0)</f>
        <v>12</v>
      </c>
      <c r="O474" s="5">
        <f>IFERROR(__xludf.DUMMYFUNCTION("""COMPUTED_VALUE"""),2003.0)</f>
        <v>2003</v>
      </c>
    </row>
    <row r="475">
      <c r="A475" s="1" t="s">
        <v>311</v>
      </c>
      <c r="B475" s="4">
        <v>48.0</v>
      </c>
      <c r="C475" s="1" t="s">
        <v>147</v>
      </c>
      <c r="D475" s="4">
        <v>6.0</v>
      </c>
      <c r="E475" s="4">
        <v>7.0</v>
      </c>
      <c r="F475" s="4">
        <v>3.0</v>
      </c>
      <c r="G475" s="4">
        <v>4.0</v>
      </c>
      <c r="H475" s="4">
        <v>0.0</v>
      </c>
      <c r="I475" s="4">
        <v>34.0</v>
      </c>
      <c r="J475" s="4">
        <v>23.0</v>
      </c>
      <c r="K475" s="4">
        <v>11.0</v>
      </c>
      <c r="L475" s="2" t="s">
        <v>102</v>
      </c>
      <c r="M475" s="5">
        <f>IFERROR(__xludf.DUMMYFUNCTION("""COMPUTED_VALUE"""),13.0)</f>
        <v>13</v>
      </c>
      <c r="N475" s="5">
        <f>IFERROR(__xludf.DUMMYFUNCTION("""COMPUTED_VALUE"""),11.0)</f>
        <v>11</v>
      </c>
      <c r="O475" s="5">
        <f>IFERROR(__xludf.DUMMYFUNCTION("""COMPUTED_VALUE"""),0.0)</f>
        <v>0</v>
      </c>
    </row>
    <row r="476">
      <c r="A476" s="1" t="s">
        <v>311</v>
      </c>
      <c r="B476" s="4">
        <v>49.0</v>
      </c>
      <c r="C476" s="1" t="s">
        <v>144</v>
      </c>
      <c r="D476" s="4">
        <v>6.0</v>
      </c>
      <c r="E476" s="4">
        <v>4.0</v>
      </c>
      <c r="F476" s="4">
        <v>3.0</v>
      </c>
      <c r="G476" s="4">
        <v>1.0</v>
      </c>
      <c r="H476" s="4">
        <v>0.0</v>
      </c>
      <c r="I476" s="4">
        <v>24.0</v>
      </c>
      <c r="J476" s="4">
        <v>14.0</v>
      </c>
      <c r="K476" s="4">
        <v>10.0</v>
      </c>
      <c r="L476" s="2" t="s">
        <v>328</v>
      </c>
      <c r="M476" s="5">
        <f>IFERROR(__xludf.DUMMYFUNCTION("""COMPUTED_VALUE"""),8.0)</f>
        <v>8</v>
      </c>
      <c r="N476" s="5">
        <f>IFERROR(__xludf.DUMMYFUNCTION("""COMPUTED_VALUE"""),14.0)</f>
        <v>14</v>
      </c>
      <c r="O476" s="5">
        <f>IFERROR(__xludf.DUMMYFUNCTION("""COMPUTED_VALUE"""),2001.0)</f>
        <v>2001</v>
      </c>
    </row>
    <row r="477">
      <c r="A477" s="1" t="s">
        <v>311</v>
      </c>
      <c r="B477" s="4">
        <v>50.0</v>
      </c>
      <c r="C477" s="1" t="s">
        <v>108</v>
      </c>
      <c r="D477" s="4">
        <v>6.0</v>
      </c>
      <c r="E477" s="4">
        <v>4.0</v>
      </c>
      <c r="F477" s="4">
        <v>3.0</v>
      </c>
      <c r="G477" s="4">
        <v>1.0</v>
      </c>
      <c r="H477" s="4">
        <v>0.0</v>
      </c>
      <c r="I477" s="4">
        <v>19.0</v>
      </c>
      <c r="J477" s="4">
        <v>12.0</v>
      </c>
      <c r="K477" s="4">
        <v>7.0</v>
      </c>
      <c r="L477" s="2" t="s">
        <v>328</v>
      </c>
      <c r="M477" s="5">
        <f>IFERROR(__xludf.DUMMYFUNCTION("""COMPUTED_VALUE"""),8.0)</f>
        <v>8</v>
      </c>
      <c r="N477" s="5">
        <f>IFERROR(__xludf.DUMMYFUNCTION("""COMPUTED_VALUE"""),14.0)</f>
        <v>14</v>
      </c>
      <c r="O477" s="5">
        <f>IFERROR(__xludf.DUMMYFUNCTION("""COMPUTED_VALUE"""),2001.0)</f>
        <v>2001</v>
      </c>
    </row>
    <row r="478">
      <c r="A478" s="1" t="s">
        <v>311</v>
      </c>
      <c r="B478" s="4">
        <v>51.0</v>
      </c>
      <c r="C478" s="1" t="s">
        <v>90</v>
      </c>
      <c r="D478" s="4">
        <v>6.0</v>
      </c>
      <c r="E478" s="4">
        <v>6.0</v>
      </c>
      <c r="F478" s="4">
        <v>3.0</v>
      </c>
      <c r="G478" s="4">
        <v>3.0</v>
      </c>
      <c r="H478" s="4">
        <v>0.0</v>
      </c>
      <c r="I478" s="4">
        <v>19.0</v>
      </c>
      <c r="J478" s="4">
        <v>14.0</v>
      </c>
      <c r="K478" s="4">
        <v>5.0</v>
      </c>
      <c r="L478" s="2" t="s">
        <v>186</v>
      </c>
      <c r="M478" s="5">
        <f>IFERROR(__xludf.DUMMYFUNCTION("""COMPUTED_VALUE"""),10.0)</f>
        <v>10</v>
      </c>
      <c r="N478" s="5">
        <f>IFERROR(__xludf.DUMMYFUNCTION("""COMPUTED_VALUE"""),14.0)</f>
        <v>14</v>
      </c>
      <c r="O478" s="5">
        <f>IFERROR(__xludf.DUMMYFUNCTION("""COMPUTED_VALUE"""),2000.0)</f>
        <v>2000</v>
      </c>
    </row>
    <row r="479">
      <c r="A479" s="1" t="s">
        <v>311</v>
      </c>
      <c r="B479" s="4">
        <v>52.0</v>
      </c>
      <c r="C479" s="1" t="s">
        <v>150</v>
      </c>
      <c r="D479" s="4">
        <v>6.0</v>
      </c>
      <c r="E479" s="4">
        <v>4.0</v>
      </c>
      <c r="F479" s="4">
        <v>3.0</v>
      </c>
      <c r="G479" s="4">
        <v>1.0</v>
      </c>
      <c r="H479" s="4">
        <v>0.0</v>
      </c>
      <c r="I479" s="4">
        <v>16.0</v>
      </c>
      <c r="J479" s="4">
        <v>13.0</v>
      </c>
      <c r="K479" s="4">
        <v>3.0</v>
      </c>
      <c r="L479" s="2" t="s">
        <v>198</v>
      </c>
      <c r="M479" s="5">
        <f>IFERROR(__xludf.DUMMYFUNCTION("""COMPUTED_VALUE"""),5.0)</f>
        <v>5</v>
      </c>
      <c r="N479" s="5">
        <f>IFERROR(__xludf.DUMMYFUNCTION("""COMPUTED_VALUE"""),15.0)</f>
        <v>15</v>
      </c>
      <c r="O479" s="5">
        <f>IFERROR(__xludf.DUMMYFUNCTION("""COMPUTED_VALUE"""),2001.0)</f>
        <v>2001</v>
      </c>
    </row>
    <row r="480">
      <c r="A480" s="1" t="s">
        <v>311</v>
      </c>
      <c r="B480" s="4">
        <v>53.0</v>
      </c>
      <c r="C480" s="1" t="s">
        <v>62</v>
      </c>
      <c r="D480" s="4">
        <v>6.0</v>
      </c>
      <c r="E480" s="4">
        <v>8.0</v>
      </c>
      <c r="F480" s="4">
        <v>3.0</v>
      </c>
      <c r="G480" s="4">
        <v>5.0</v>
      </c>
      <c r="H480" s="4">
        <v>0.0</v>
      </c>
      <c r="I480" s="4">
        <v>18.0</v>
      </c>
      <c r="J480" s="4">
        <v>17.0</v>
      </c>
      <c r="K480" s="4">
        <v>1.0</v>
      </c>
      <c r="L480" s="2" t="s">
        <v>182</v>
      </c>
      <c r="M480" s="5">
        <f>IFERROR(__xludf.DUMMYFUNCTION("""COMPUTED_VALUE"""),12.0)</f>
        <v>12</v>
      </c>
      <c r="N480" s="5">
        <f>IFERROR(__xludf.DUMMYFUNCTION("""COMPUTED_VALUE"""),11.0)</f>
        <v>11</v>
      </c>
      <c r="O480" s="5">
        <f>IFERROR(__xludf.DUMMYFUNCTION("""COMPUTED_VALUE"""),2001.0)</f>
        <v>2001</v>
      </c>
    </row>
    <row r="481">
      <c r="A481" s="1" t="s">
        <v>311</v>
      </c>
      <c r="B481" s="4">
        <v>54.0</v>
      </c>
      <c r="C481" s="1" t="s">
        <v>114</v>
      </c>
      <c r="D481" s="4">
        <v>6.0</v>
      </c>
      <c r="E481" s="4">
        <v>7.0</v>
      </c>
      <c r="F481" s="4">
        <v>3.0</v>
      </c>
      <c r="G481" s="4">
        <v>4.0</v>
      </c>
      <c r="H481" s="4">
        <v>0.0</v>
      </c>
      <c r="I481" s="4">
        <v>23.0</v>
      </c>
      <c r="J481" s="4">
        <v>25.0</v>
      </c>
      <c r="K481" s="4">
        <v>-2.0</v>
      </c>
      <c r="L481" s="2" t="s">
        <v>329</v>
      </c>
      <c r="M481" s="5">
        <f>IFERROR(__xludf.DUMMYFUNCTION("""COMPUTED_VALUE"""),9.0)</f>
        <v>9</v>
      </c>
      <c r="N481" s="5">
        <f>IFERROR(__xludf.DUMMYFUNCTION("""COMPUTED_VALUE"""),13.0)</f>
        <v>13</v>
      </c>
      <c r="O481" s="5">
        <f>IFERROR(__xludf.DUMMYFUNCTION("""COMPUTED_VALUE"""),2000.0)</f>
        <v>2000</v>
      </c>
    </row>
    <row r="482">
      <c r="A482" s="1" t="s">
        <v>311</v>
      </c>
      <c r="B482" s="4">
        <v>55.0</v>
      </c>
      <c r="C482" s="1" t="s">
        <v>156</v>
      </c>
      <c r="D482" s="4">
        <v>6.0</v>
      </c>
      <c r="E482" s="4">
        <v>10.0</v>
      </c>
      <c r="F482" s="4">
        <v>3.0</v>
      </c>
      <c r="G482" s="4">
        <v>7.0</v>
      </c>
      <c r="H482" s="4">
        <v>0.0</v>
      </c>
      <c r="I482" s="4">
        <v>39.0</v>
      </c>
      <c r="J482" s="4">
        <v>44.0</v>
      </c>
      <c r="K482" s="4">
        <v>-5.0</v>
      </c>
      <c r="L482" s="2" t="s">
        <v>219</v>
      </c>
      <c r="M482" s="5">
        <f>IFERROR(__xludf.DUMMYFUNCTION("""COMPUTED_VALUE"""),11.0)</f>
        <v>11</v>
      </c>
      <c r="N482" s="5">
        <f>IFERROR(__xludf.DUMMYFUNCTION("""COMPUTED_VALUE"""),12.0)</f>
        <v>12</v>
      </c>
      <c r="O482" s="5">
        <f>IFERROR(__xludf.DUMMYFUNCTION("""COMPUTED_VALUE"""),2000.0)</f>
        <v>2000</v>
      </c>
    </row>
    <row r="483">
      <c r="A483" s="1" t="s">
        <v>311</v>
      </c>
      <c r="B483" s="4">
        <v>56.0</v>
      </c>
      <c r="C483" s="1" t="s">
        <v>56</v>
      </c>
      <c r="D483" s="4">
        <v>6.0</v>
      </c>
      <c r="E483" s="4">
        <v>7.0</v>
      </c>
      <c r="F483" s="4">
        <v>3.0</v>
      </c>
      <c r="G483" s="4">
        <v>4.0</v>
      </c>
      <c r="H483" s="4">
        <v>0.0</v>
      </c>
      <c r="I483" s="4">
        <v>18.0</v>
      </c>
      <c r="J483" s="4">
        <v>26.0</v>
      </c>
      <c r="K483" s="4">
        <v>-8.0</v>
      </c>
      <c r="L483" s="2" t="s">
        <v>328</v>
      </c>
      <c r="M483" s="5">
        <f>IFERROR(__xludf.DUMMYFUNCTION("""COMPUTED_VALUE"""),8.0)</f>
        <v>8</v>
      </c>
      <c r="N483" s="5">
        <f>IFERROR(__xludf.DUMMYFUNCTION("""COMPUTED_VALUE"""),14.0)</f>
        <v>14</v>
      </c>
      <c r="O483" s="5">
        <f>IFERROR(__xludf.DUMMYFUNCTION("""COMPUTED_VALUE"""),2001.0)</f>
        <v>2001</v>
      </c>
    </row>
    <row r="484">
      <c r="A484" s="1" t="s">
        <v>311</v>
      </c>
      <c r="B484" s="4">
        <v>57.0</v>
      </c>
      <c r="C484" s="1" t="s">
        <v>141</v>
      </c>
      <c r="D484" s="4">
        <v>6.0</v>
      </c>
      <c r="E484" s="4">
        <v>6.0</v>
      </c>
      <c r="F484" s="4">
        <v>3.0</v>
      </c>
      <c r="G484" s="4">
        <v>3.0</v>
      </c>
      <c r="H484" s="4">
        <v>0.0</v>
      </c>
      <c r="I484" s="4">
        <v>24.0</v>
      </c>
      <c r="J484" s="4">
        <v>34.0</v>
      </c>
      <c r="K484" s="4">
        <v>-10.0</v>
      </c>
      <c r="L484" s="2" t="s">
        <v>124</v>
      </c>
      <c r="M484" s="5">
        <f>IFERROR(__xludf.DUMMYFUNCTION("""COMPUTED_VALUE"""),7.0)</f>
        <v>7</v>
      </c>
      <c r="N484" s="5">
        <f>IFERROR(__xludf.DUMMYFUNCTION("""COMPUTED_VALUE"""),14.0)</f>
        <v>14</v>
      </c>
      <c r="O484" s="5">
        <f>IFERROR(__xludf.DUMMYFUNCTION("""COMPUTED_VALUE"""),2001.0)</f>
        <v>2001</v>
      </c>
    </row>
    <row r="485">
      <c r="A485" s="1" t="s">
        <v>311</v>
      </c>
      <c r="B485" s="4">
        <v>58.0</v>
      </c>
      <c r="C485" s="1" t="s">
        <v>37</v>
      </c>
      <c r="D485" s="4">
        <v>6.0</v>
      </c>
      <c r="E485" s="4">
        <v>12.0</v>
      </c>
      <c r="F485" s="4">
        <v>3.0</v>
      </c>
      <c r="G485" s="4">
        <v>9.0</v>
      </c>
      <c r="H485" s="4">
        <v>0.0</v>
      </c>
      <c r="I485" s="4">
        <v>26.0</v>
      </c>
      <c r="J485" s="4">
        <v>59.0</v>
      </c>
      <c r="K485" s="4">
        <v>-33.0</v>
      </c>
      <c r="L485" s="2" t="s">
        <v>330</v>
      </c>
      <c r="M485" s="5">
        <f>IFERROR(__xludf.DUMMYFUNCTION("""COMPUTED_VALUE"""),5.0)</f>
        <v>5</v>
      </c>
      <c r="N485" s="5">
        <f>IFERROR(__xludf.DUMMYFUNCTION("""COMPUTED_VALUE"""),17.0)</f>
        <v>17</v>
      </c>
      <c r="O485" s="5">
        <f>IFERROR(__xludf.DUMMYFUNCTION("""COMPUTED_VALUE"""),2002.0)</f>
        <v>2002</v>
      </c>
    </row>
    <row r="486">
      <c r="A486" s="1" t="s">
        <v>311</v>
      </c>
      <c r="B486" s="4">
        <v>59.0</v>
      </c>
      <c r="C486" s="1" t="s">
        <v>123</v>
      </c>
      <c r="D486" s="4">
        <v>6.0</v>
      </c>
      <c r="E486" s="4">
        <v>12.0</v>
      </c>
      <c r="F486" s="4">
        <v>3.0</v>
      </c>
      <c r="G486" s="4">
        <v>9.0</v>
      </c>
      <c r="H486" s="4">
        <v>0.0</v>
      </c>
      <c r="I486" s="4">
        <v>19.0</v>
      </c>
      <c r="J486" s="4">
        <v>57.0</v>
      </c>
      <c r="K486" s="4">
        <v>-38.0</v>
      </c>
      <c r="L486" s="2" t="s">
        <v>331</v>
      </c>
      <c r="M486" s="5">
        <f>IFERROR(__xludf.DUMMYFUNCTION("""COMPUTED_VALUE"""),8.0)</f>
        <v>8</v>
      </c>
      <c r="N486" s="5">
        <f>IFERROR(__xludf.DUMMYFUNCTION("""COMPUTED_VALUE"""),13.0)</f>
        <v>13</v>
      </c>
      <c r="O486" s="5">
        <f>IFERROR(__xludf.DUMMYFUNCTION("""COMPUTED_VALUE"""),2001.0)</f>
        <v>2001</v>
      </c>
    </row>
    <row r="487">
      <c r="A487" s="1" t="s">
        <v>311</v>
      </c>
      <c r="B487" s="4">
        <v>60.0</v>
      </c>
      <c r="C487" s="1" t="s">
        <v>105</v>
      </c>
      <c r="D487" s="4">
        <v>5.0</v>
      </c>
      <c r="E487" s="4">
        <v>10.0</v>
      </c>
      <c r="F487" s="4">
        <v>2.0</v>
      </c>
      <c r="G487" s="4">
        <v>7.0</v>
      </c>
      <c r="H487" s="4">
        <v>1.0</v>
      </c>
      <c r="I487" s="4">
        <v>15.0</v>
      </c>
      <c r="J487" s="4">
        <v>37.0</v>
      </c>
      <c r="K487" s="4">
        <v>-22.0</v>
      </c>
      <c r="L487" s="2" t="s">
        <v>179</v>
      </c>
      <c r="M487" s="5">
        <f>IFERROR(__xludf.DUMMYFUNCTION("""COMPUTED_VALUE"""),10.0)</f>
        <v>10</v>
      </c>
      <c r="N487" s="5">
        <f>IFERROR(__xludf.DUMMYFUNCTION("""COMPUTED_VALUE"""),13.0)</f>
        <v>13</v>
      </c>
      <c r="O487" s="5">
        <f>IFERROR(__xludf.DUMMYFUNCTION("""COMPUTED_VALUE"""),2001.0)</f>
        <v>2001</v>
      </c>
    </row>
    <row r="488">
      <c r="A488" s="1" t="s">
        <v>311</v>
      </c>
      <c r="B488" s="4">
        <v>61.0</v>
      </c>
      <c r="C488" s="1" t="s">
        <v>135</v>
      </c>
      <c r="D488" s="4">
        <v>5.0</v>
      </c>
      <c r="E488" s="4">
        <v>10.0</v>
      </c>
      <c r="F488" s="4">
        <v>2.0</v>
      </c>
      <c r="G488" s="4">
        <v>7.0</v>
      </c>
      <c r="H488" s="4">
        <v>1.0</v>
      </c>
      <c r="I488" s="4">
        <v>16.0</v>
      </c>
      <c r="J488" s="4">
        <v>41.0</v>
      </c>
      <c r="K488" s="4">
        <v>-25.0</v>
      </c>
      <c r="L488" s="2" t="s">
        <v>84</v>
      </c>
      <c r="M488" s="5">
        <f>IFERROR(__xludf.DUMMYFUNCTION("""COMPUTED_VALUE"""),13.0)</f>
        <v>13</v>
      </c>
      <c r="N488" s="5">
        <f>IFERROR(__xludf.DUMMYFUNCTION("""COMPUTED_VALUE"""),9.0)</f>
        <v>9</v>
      </c>
      <c r="O488" s="5">
        <f>IFERROR(__xludf.DUMMYFUNCTION("""COMPUTED_VALUE"""),1.0)</f>
        <v>1</v>
      </c>
    </row>
    <row r="489">
      <c r="A489" s="1" t="s">
        <v>311</v>
      </c>
      <c r="B489" s="4">
        <v>62.0</v>
      </c>
      <c r="C489" s="1" t="s">
        <v>161</v>
      </c>
      <c r="D489" s="4">
        <v>5.0</v>
      </c>
      <c r="E489" s="4">
        <v>12.0</v>
      </c>
      <c r="F489" s="4">
        <v>2.0</v>
      </c>
      <c r="G489" s="4">
        <v>9.0</v>
      </c>
      <c r="H489" s="4">
        <v>1.0</v>
      </c>
      <c r="I489" s="4">
        <v>33.0</v>
      </c>
      <c r="J489" s="4">
        <v>89.0</v>
      </c>
      <c r="K489" s="4">
        <v>-56.0</v>
      </c>
      <c r="L489" s="2" t="s">
        <v>332</v>
      </c>
      <c r="M489" s="5">
        <f>IFERROR(__xludf.DUMMYFUNCTION("""COMPUTED_VALUE"""),4.0)</f>
        <v>4</v>
      </c>
      <c r="N489" s="5">
        <f>IFERROR(__xludf.DUMMYFUNCTION("""COMPUTED_VALUE"""),17.0)</f>
        <v>17</v>
      </c>
      <c r="O489" s="5">
        <f>IFERROR(__xludf.DUMMYFUNCTION("""COMPUTED_VALUE"""),2001.0)</f>
        <v>2001</v>
      </c>
    </row>
    <row r="490">
      <c r="A490" s="1" t="s">
        <v>311</v>
      </c>
      <c r="B490" s="4">
        <v>63.0</v>
      </c>
      <c r="C490" s="1" t="s">
        <v>113</v>
      </c>
      <c r="D490" s="4">
        <v>4.0</v>
      </c>
      <c r="E490" s="4">
        <v>6.0</v>
      </c>
      <c r="F490" s="4">
        <v>2.0</v>
      </c>
      <c r="G490" s="4">
        <v>4.0</v>
      </c>
      <c r="H490" s="4">
        <v>0.0</v>
      </c>
      <c r="I490" s="4">
        <v>7.0</v>
      </c>
      <c r="J490" s="4">
        <v>15.0</v>
      </c>
      <c r="K490" s="4">
        <v>-8.0</v>
      </c>
      <c r="L490" s="2" t="s">
        <v>333</v>
      </c>
      <c r="M490" s="5">
        <f>IFERROR(__xludf.DUMMYFUNCTION("""COMPUTED_VALUE"""),12.0)</f>
        <v>12</v>
      </c>
      <c r="N490" s="5">
        <f>IFERROR(__xludf.DUMMYFUNCTION("""COMPUTED_VALUE"""),9.0)</f>
        <v>9</v>
      </c>
      <c r="O490" s="5">
        <f>IFERROR(__xludf.DUMMYFUNCTION("""COMPUTED_VALUE"""),2001.0)</f>
        <v>2001</v>
      </c>
    </row>
    <row r="491">
      <c r="A491" s="1" t="s">
        <v>311</v>
      </c>
      <c r="B491" s="4">
        <v>64.0</v>
      </c>
      <c r="C491" s="1" t="s">
        <v>31</v>
      </c>
      <c r="D491" s="4">
        <v>4.0</v>
      </c>
      <c r="E491" s="4">
        <v>7.0</v>
      </c>
      <c r="F491" s="4">
        <v>2.0</v>
      </c>
      <c r="G491" s="4">
        <v>5.0</v>
      </c>
      <c r="H491" s="4">
        <v>0.0</v>
      </c>
      <c r="I491" s="4">
        <v>24.0</v>
      </c>
      <c r="J491" s="4">
        <v>33.0</v>
      </c>
      <c r="K491" s="4">
        <v>-9.0</v>
      </c>
      <c r="L491" s="2" t="s">
        <v>186</v>
      </c>
      <c r="M491" s="5">
        <f>IFERROR(__xludf.DUMMYFUNCTION("""COMPUTED_VALUE"""),10.0)</f>
        <v>10</v>
      </c>
      <c r="N491" s="5">
        <f>IFERROR(__xludf.DUMMYFUNCTION("""COMPUTED_VALUE"""),14.0)</f>
        <v>14</v>
      </c>
      <c r="O491" s="5">
        <f>IFERROR(__xludf.DUMMYFUNCTION("""COMPUTED_VALUE"""),2000.0)</f>
        <v>2000</v>
      </c>
    </row>
    <row r="492">
      <c r="A492" s="1" t="s">
        <v>311</v>
      </c>
      <c r="B492" s="4">
        <v>65.0</v>
      </c>
      <c r="C492" s="1" t="s">
        <v>69</v>
      </c>
      <c r="D492" s="4">
        <v>4.0</v>
      </c>
      <c r="E492" s="4">
        <v>8.0</v>
      </c>
      <c r="F492" s="4">
        <v>2.0</v>
      </c>
      <c r="G492" s="4">
        <v>6.0</v>
      </c>
      <c r="H492" s="4">
        <v>0.0</v>
      </c>
      <c r="I492" s="4">
        <v>30.0</v>
      </c>
      <c r="J492" s="4">
        <v>44.0</v>
      </c>
      <c r="K492" s="4">
        <v>-14.0</v>
      </c>
      <c r="L492" s="2" t="s">
        <v>173</v>
      </c>
      <c r="M492" s="5">
        <f>IFERROR(__xludf.DUMMYFUNCTION("""COMPUTED_VALUE"""),8.0)</f>
        <v>8</v>
      </c>
      <c r="N492" s="5">
        <f>IFERROR(__xludf.DUMMYFUNCTION("""COMPUTED_VALUE"""),15.0)</f>
        <v>15</v>
      </c>
      <c r="O492" s="5">
        <f>IFERROR(__xludf.DUMMYFUNCTION("""COMPUTED_VALUE"""),2001.0)</f>
        <v>2001</v>
      </c>
    </row>
    <row r="493">
      <c r="A493" s="1" t="s">
        <v>311</v>
      </c>
      <c r="B493" s="4">
        <v>66.0</v>
      </c>
      <c r="C493" s="1" t="s">
        <v>121</v>
      </c>
      <c r="D493" s="4">
        <v>4.0</v>
      </c>
      <c r="E493" s="4">
        <v>8.0</v>
      </c>
      <c r="F493" s="4">
        <v>2.0</v>
      </c>
      <c r="G493" s="4">
        <v>6.0</v>
      </c>
      <c r="H493" s="4">
        <v>0.0</v>
      </c>
      <c r="I493" s="4">
        <v>25.0</v>
      </c>
      <c r="J493" s="4">
        <v>53.0</v>
      </c>
      <c r="K493" s="4">
        <v>-28.0</v>
      </c>
      <c r="L493" s="2" t="s">
        <v>153</v>
      </c>
      <c r="M493" s="5">
        <f>IFERROR(__xludf.DUMMYFUNCTION("""COMPUTED_VALUE"""),5.0)</f>
        <v>5</v>
      </c>
      <c r="N493" s="5">
        <f>IFERROR(__xludf.DUMMYFUNCTION("""COMPUTED_VALUE"""),18.0)</f>
        <v>18</v>
      </c>
      <c r="O493" s="5">
        <f>IFERROR(__xludf.DUMMYFUNCTION("""COMPUTED_VALUE"""),2000.0)</f>
        <v>2000</v>
      </c>
    </row>
    <row r="494">
      <c r="A494" s="1" t="s">
        <v>311</v>
      </c>
      <c r="B494" s="4">
        <v>67.0</v>
      </c>
      <c r="C494" s="1" t="s">
        <v>92</v>
      </c>
      <c r="D494" s="4">
        <v>4.0</v>
      </c>
      <c r="E494" s="4">
        <v>8.0</v>
      </c>
      <c r="F494" s="4">
        <v>2.0</v>
      </c>
      <c r="G494" s="4">
        <v>6.0</v>
      </c>
      <c r="H494" s="4">
        <v>0.0</v>
      </c>
      <c r="I494" s="4">
        <v>22.0</v>
      </c>
      <c r="J494" s="4">
        <v>57.0</v>
      </c>
      <c r="K494" s="4">
        <v>-35.0</v>
      </c>
      <c r="L494" s="2" t="s">
        <v>334</v>
      </c>
      <c r="M494" s="5">
        <f>IFERROR(__xludf.DUMMYFUNCTION("""COMPUTED_VALUE"""),3.0)</f>
        <v>3</v>
      </c>
      <c r="N494" s="5">
        <f>IFERROR(__xludf.DUMMYFUNCTION("""COMPUTED_VALUE"""),20.0)</f>
        <v>20</v>
      </c>
      <c r="O494" s="5">
        <f>IFERROR(__xludf.DUMMYFUNCTION("""COMPUTED_VALUE"""),2000.0)</f>
        <v>2000</v>
      </c>
    </row>
    <row r="495">
      <c r="A495" s="1" t="s">
        <v>311</v>
      </c>
      <c r="B495" s="4">
        <v>68.0</v>
      </c>
      <c r="C495" s="1" t="s">
        <v>146</v>
      </c>
      <c r="D495" s="4">
        <v>4.0</v>
      </c>
      <c r="E495" s="4">
        <v>14.0</v>
      </c>
      <c r="F495" s="4">
        <v>2.0</v>
      </c>
      <c r="G495" s="4">
        <v>12.0</v>
      </c>
      <c r="H495" s="4">
        <v>0.0</v>
      </c>
      <c r="I495" s="4">
        <v>21.0</v>
      </c>
      <c r="J495" s="4">
        <v>75.0</v>
      </c>
      <c r="K495" s="4">
        <v>-54.0</v>
      </c>
      <c r="L495" s="2" t="s">
        <v>335</v>
      </c>
      <c r="M495" s="5">
        <f>IFERROR(__xludf.DUMMYFUNCTION("""COMPUTED_VALUE"""),4.0)</f>
        <v>4</v>
      </c>
      <c r="N495" s="5">
        <f>IFERROR(__xludf.DUMMYFUNCTION("""COMPUTED_VALUE"""),19.0)</f>
        <v>19</v>
      </c>
      <c r="O495" s="5">
        <f>IFERROR(__xludf.DUMMYFUNCTION("""COMPUTED_VALUE"""),2000.0)</f>
        <v>2000</v>
      </c>
    </row>
    <row r="496">
      <c r="A496" s="1" t="s">
        <v>311</v>
      </c>
      <c r="B496" s="4">
        <v>69.0</v>
      </c>
      <c r="C496" s="1" t="s">
        <v>137</v>
      </c>
      <c r="D496" s="4">
        <v>3.0</v>
      </c>
      <c r="E496" s="4">
        <v>12.0</v>
      </c>
      <c r="F496" s="4">
        <v>1.0</v>
      </c>
      <c r="G496" s="4">
        <v>10.0</v>
      </c>
      <c r="H496" s="4">
        <v>1.0</v>
      </c>
      <c r="I496" s="4">
        <v>24.0</v>
      </c>
      <c r="J496" s="4">
        <v>64.0</v>
      </c>
      <c r="K496" s="4">
        <v>-40.0</v>
      </c>
      <c r="L496" s="2" t="s">
        <v>336</v>
      </c>
      <c r="M496" s="5">
        <f>IFERROR(__xludf.DUMMYFUNCTION("""COMPUTED_VALUE"""),5.0)</f>
        <v>5</v>
      </c>
      <c r="N496" s="5">
        <f>IFERROR(__xludf.DUMMYFUNCTION("""COMPUTED_VALUE"""),17.0)</f>
        <v>17</v>
      </c>
      <c r="O496" s="5">
        <f>IFERROR(__xludf.DUMMYFUNCTION("""COMPUTED_VALUE"""),2001.0)</f>
        <v>2001</v>
      </c>
    </row>
    <row r="497">
      <c r="A497" s="1" t="s">
        <v>311</v>
      </c>
      <c r="B497" s="4">
        <v>70.0</v>
      </c>
      <c r="C497" s="1" t="s">
        <v>125</v>
      </c>
      <c r="D497" s="4">
        <v>2.0</v>
      </c>
      <c r="E497" s="4">
        <v>4.0</v>
      </c>
      <c r="F497" s="4">
        <v>1.0</v>
      </c>
      <c r="G497" s="4">
        <v>3.0</v>
      </c>
      <c r="H497" s="4">
        <v>0.0</v>
      </c>
      <c r="I497" s="4">
        <v>16.0</v>
      </c>
      <c r="J497" s="4">
        <v>30.0</v>
      </c>
      <c r="K497" s="4">
        <v>-14.0</v>
      </c>
      <c r="L497" s="2" t="s">
        <v>325</v>
      </c>
      <c r="M497" s="5">
        <f>IFERROR(__xludf.DUMMYFUNCTION("""COMPUTED_VALUE"""),10.0)</f>
        <v>10</v>
      </c>
      <c r="N497" s="5">
        <f>IFERROR(__xludf.DUMMYFUNCTION("""COMPUTED_VALUE"""),11.0)</f>
        <v>11</v>
      </c>
      <c r="O497" s="5">
        <f>IFERROR(__xludf.DUMMYFUNCTION("""COMPUTED_VALUE"""),2002.0)</f>
        <v>2002</v>
      </c>
    </row>
    <row r="498">
      <c r="A498" s="1" t="s">
        <v>311</v>
      </c>
      <c r="B498" s="4">
        <v>71.0</v>
      </c>
      <c r="C498" s="1" t="s">
        <v>130</v>
      </c>
      <c r="D498" s="4">
        <v>2.0</v>
      </c>
      <c r="E498" s="4">
        <v>4.0</v>
      </c>
      <c r="F498" s="4">
        <v>1.0</v>
      </c>
      <c r="G498" s="4">
        <v>3.0</v>
      </c>
      <c r="H498" s="4">
        <v>0.0</v>
      </c>
      <c r="I498" s="4">
        <v>8.0</v>
      </c>
      <c r="J498" s="4">
        <v>28.0</v>
      </c>
      <c r="K498" s="4">
        <v>-20.0</v>
      </c>
      <c r="L498" s="2" t="s">
        <v>192</v>
      </c>
      <c r="M498" s="5">
        <f>IFERROR(__xludf.DUMMYFUNCTION("""COMPUTED_VALUE"""),4.0)</f>
        <v>4</v>
      </c>
      <c r="N498" s="5">
        <f>IFERROR(__xludf.DUMMYFUNCTION("""COMPUTED_VALUE"""),18.0)</f>
        <v>18</v>
      </c>
      <c r="O498" s="5">
        <f>IFERROR(__xludf.DUMMYFUNCTION("""COMPUTED_VALUE"""),2001.0)</f>
        <v>2001</v>
      </c>
    </row>
    <row r="499">
      <c r="A499" s="1" t="s">
        <v>311</v>
      </c>
      <c r="B499" s="4">
        <v>72.0</v>
      </c>
      <c r="C499" s="1" t="s">
        <v>138</v>
      </c>
      <c r="D499" s="4">
        <v>2.0</v>
      </c>
      <c r="E499" s="4">
        <v>12.0</v>
      </c>
      <c r="F499" s="4">
        <v>1.0</v>
      </c>
      <c r="G499" s="4">
        <v>11.0</v>
      </c>
      <c r="H499" s="4">
        <v>0.0</v>
      </c>
      <c r="I499" s="4">
        <v>23.0</v>
      </c>
      <c r="J499" s="4">
        <v>109.0</v>
      </c>
      <c r="K499" s="4">
        <v>-86.0</v>
      </c>
      <c r="L499" s="2" t="s">
        <v>229</v>
      </c>
      <c r="M499" s="5">
        <f>IFERROR(__xludf.DUMMYFUNCTION("""COMPUTED_VALUE"""),6.0)</f>
        <v>6</v>
      </c>
      <c r="N499" s="5">
        <f>IFERROR(__xludf.DUMMYFUNCTION("""COMPUTED_VALUE"""),17.0)</f>
        <v>17</v>
      </c>
      <c r="O499" s="5">
        <f>IFERROR(__xludf.DUMMYFUNCTION("""COMPUTED_VALUE"""),2000.0)</f>
        <v>2000</v>
      </c>
    </row>
    <row r="500">
      <c r="A500" s="1" t="s">
        <v>311</v>
      </c>
      <c r="B500" s="4">
        <v>73.0</v>
      </c>
      <c r="C500" s="1" t="s">
        <v>233</v>
      </c>
      <c r="D500" s="4">
        <v>2.0</v>
      </c>
      <c r="E500" s="4">
        <v>14.0</v>
      </c>
      <c r="F500" s="4">
        <v>1.0</v>
      </c>
      <c r="G500" s="4">
        <v>13.0</v>
      </c>
      <c r="H500" s="4">
        <v>0.0</v>
      </c>
      <c r="I500" s="4">
        <v>16.0</v>
      </c>
      <c r="J500" s="4">
        <v>135.0</v>
      </c>
      <c r="K500" s="4">
        <v>-119.0</v>
      </c>
      <c r="L500" s="2" t="s">
        <v>337</v>
      </c>
      <c r="M500" s="5">
        <f>IFERROR(__xludf.DUMMYFUNCTION("""COMPUTED_VALUE"""),2.0)</f>
        <v>2</v>
      </c>
      <c r="N500" s="5">
        <f>IFERROR(__xludf.DUMMYFUNCTION("""COMPUTED_VALUE"""),20.0)</f>
        <v>20</v>
      </c>
      <c r="O500" s="5">
        <f>IFERROR(__xludf.DUMMYFUNCTION("""COMPUTED_VALUE"""),2001.0)</f>
        <v>2001</v>
      </c>
    </row>
    <row r="501">
      <c r="A501" s="1" t="s">
        <v>311</v>
      </c>
      <c r="B501" s="4">
        <v>74.0</v>
      </c>
      <c r="C501" s="1" t="s">
        <v>142</v>
      </c>
      <c r="D501" s="4">
        <v>0.0</v>
      </c>
      <c r="E501" s="4">
        <v>1.0</v>
      </c>
      <c r="F501" s="4">
        <v>0.0</v>
      </c>
      <c r="G501" s="4">
        <v>1.0</v>
      </c>
      <c r="H501" s="4">
        <v>0.0</v>
      </c>
      <c r="I501" s="4">
        <v>0.0</v>
      </c>
      <c r="J501" s="4">
        <v>3.0</v>
      </c>
      <c r="K501" s="4">
        <v>-3.0</v>
      </c>
      <c r="L501" s="2" t="s">
        <v>173</v>
      </c>
      <c r="M501" s="5">
        <f>IFERROR(__xludf.DUMMYFUNCTION("""COMPUTED_VALUE"""),8.0)</f>
        <v>8</v>
      </c>
      <c r="N501" s="5">
        <f>IFERROR(__xludf.DUMMYFUNCTION("""COMPUTED_VALUE"""),15.0)</f>
        <v>15</v>
      </c>
      <c r="O501" s="5">
        <f>IFERROR(__xludf.DUMMYFUNCTION("""COMPUTED_VALUE"""),2001.0)</f>
        <v>2001</v>
      </c>
    </row>
    <row r="502">
      <c r="A502" s="1" t="s">
        <v>311</v>
      </c>
      <c r="B502" s="4">
        <v>75.0</v>
      </c>
      <c r="C502" s="1" t="s">
        <v>128</v>
      </c>
      <c r="D502" s="4">
        <v>0.0</v>
      </c>
      <c r="E502" s="4">
        <v>5.0</v>
      </c>
      <c r="F502" s="4">
        <v>0.0</v>
      </c>
      <c r="G502" s="4">
        <v>5.0</v>
      </c>
      <c r="H502" s="4">
        <v>0.0</v>
      </c>
      <c r="I502" s="4">
        <v>4.0</v>
      </c>
      <c r="J502" s="4">
        <v>19.0</v>
      </c>
      <c r="K502" s="4">
        <v>-15.0</v>
      </c>
      <c r="L502" s="2" t="s">
        <v>338</v>
      </c>
      <c r="M502" s="5">
        <f>IFERROR(__xludf.DUMMYFUNCTION("""COMPUTED_VALUE"""),5.0)</f>
        <v>5</v>
      </c>
      <c r="N502" s="5">
        <f>IFERROR(__xludf.DUMMYFUNCTION("""COMPUTED_VALUE"""),9.0)</f>
        <v>9</v>
      </c>
      <c r="O502" s="5">
        <f>IFERROR(__xludf.DUMMYFUNCTION("""COMPUTED_VALUE"""),2001.0)</f>
        <v>2001</v>
      </c>
    </row>
    <row r="503">
      <c r="A503" s="1" t="s">
        <v>311</v>
      </c>
      <c r="B503" s="4">
        <v>76.0</v>
      </c>
      <c r="C503" s="1" t="s">
        <v>126</v>
      </c>
      <c r="D503" s="4">
        <v>0.0</v>
      </c>
      <c r="E503" s="4">
        <v>4.0</v>
      </c>
      <c r="F503" s="4">
        <v>0.0</v>
      </c>
      <c r="G503" s="4">
        <v>4.0</v>
      </c>
      <c r="H503" s="4">
        <v>0.0</v>
      </c>
      <c r="I503" s="4">
        <v>9.0</v>
      </c>
      <c r="J503" s="4">
        <v>26.0</v>
      </c>
      <c r="K503" s="4">
        <v>-17.0</v>
      </c>
      <c r="L503" s="2" t="s">
        <v>145</v>
      </c>
      <c r="M503" s="5">
        <f>IFERROR(__xludf.DUMMYFUNCTION("""COMPUTED_VALUE"""),4.0)</f>
        <v>4</v>
      </c>
      <c r="N503" s="5">
        <f>IFERROR(__xludf.DUMMYFUNCTION("""COMPUTED_VALUE"""),15.0)</f>
        <v>15</v>
      </c>
      <c r="O503" s="5">
        <f>IFERROR(__xludf.DUMMYFUNCTION("""COMPUTED_VALUE"""),2000.0)</f>
        <v>2000</v>
      </c>
    </row>
    <row r="504">
      <c r="A504" s="1" t="s">
        <v>311</v>
      </c>
      <c r="B504" s="4">
        <v>77.0</v>
      </c>
      <c r="C504" s="1" t="s">
        <v>119</v>
      </c>
      <c r="D504" s="4">
        <v>0.0</v>
      </c>
      <c r="E504" s="4">
        <v>10.0</v>
      </c>
      <c r="F504" s="4">
        <v>0.0</v>
      </c>
      <c r="G504" s="4">
        <v>10.0</v>
      </c>
      <c r="H504" s="4">
        <v>0.0</v>
      </c>
      <c r="I504" s="4">
        <v>13.0</v>
      </c>
      <c r="J504" s="4">
        <v>44.0</v>
      </c>
      <c r="K504" s="4">
        <v>-31.0</v>
      </c>
      <c r="L504" s="2" t="s">
        <v>143</v>
      </c>
      <c r="M504" s="5">
        <f>IFERROR(__xludf.DUMMYFUNCTION("""COMPUTED_VALUE"""),7.0)</f>
        <v>7</v>
      </c>
      <c r="N504" s="5">
        <f>IFERROR(__xludf.DUMMYFUNCTION("""COMPUTED_VALUE"""),16.0)</f>
        <v>16</v>
      </c>
      <c r="O504" s="5">
        <f>IFERROR(__xludf.DUMMYFUNCTION("""COMPUTED_VALUE"""),2001.0)</f>
        <v>2001</v>
      </c>
    </row>
    <row r="505">
      <c r="A505" s="1" t="s">
        <v>311</v>
      </c>
      <c r="B505" s="4">
        <v>78.0</v>
      </c>
      <c r="C505" s="1" t="s">
        <v>77</v>
      </c>
      <c r="D505" s="4">
        <v>0.0</v>
      </c>
      <c r="E505" s="4">
        <v>7.0</v>
      </c>
      <c r="F505" s="4">
        <v>0.0</v>
      </c>
      <c r="G505" s="4">
        <v>7.0</v>
      </c>
      <c r="H505" s="4">
        <v>0.0</v>
      </c>
      <c r="I505" s="4">
        <v>10.0</v>
      </c>
      <c r="J505" s="4">
        <v>49.0</v>
      </c>
      <c r="K505" s="4">
        <v>-39.0</v>
      </c>
      <c r="L505" s="2" t="s">
        <v>162</v>
      </c>
      <c r="M505" s="5">
        <f>IFERROR(__xludf.DUMMYFUNCTION("""COMPUTED_VALUE"""),0.0)</f>
        <v>0</v>
      </c>
      <c r="N505" s="5">
        <f>IFERROR(__xludf.DUMMYFUNCTION("""COMPUTED_VALUE"""),18.0)</f>
        <v>18</v>
      </c>
      <c r="O505" s="5">
        <f>IFERROR(__xludf.DUMMYFUNCTION("""COMPUTED_VALUE"""),0.0)</f>
        <v>0</v>
      </c>
    </row>
    <row r="506">
      <c r="A506" s="1" t="s">
        <v>311</v>
      </c>
      <c r="B506" s="4">
        <v>79.0</v>
      </c>
      <c r="C506" s="1" t="s">
        <v>159</v>
      </c>
      <c r="D506" s="4">
        <v>0.0</v>
      </c>
      <c r="E506" s="4">
        <v>7.0</v>
      </c>
      <c r="F506" s="4">
        <v>0.0</v>
      </c>
      <c r="G506" s="4">
        <v>7.0</v>
      </c>
      <c r="H506" s="4">
        <v>0.0</v>
      </c>
      <c r="I506" s="4">
        <v>7.0</v>
      </c>
      <c r="J506" s="4">
        <v>57.0</v>
      </c>
      <c r="K506" s="4">
        <v>-50.0</v>
      </c>
      <c r="L506" s="2" t="s">
        <v>259</v>
      </c>
      <c r="M506" s="5">
        <f>IFERROR(__xludf.DUMMYFUNCTION("""COMPUTED_VALUE"""),2.0)</f>
        <v>2</v>
      </c>
      <c r="N506" s="5">
        <f>IFERROR(__xludf.DUMMYFUNCTION("""COMPUTED_VALUE"""),21.0)</f>
        <v>21</v>
      </c>
      <c r="O506" s="5">
        <f>IFERROR(__xludf.DUMMYFUNCTION("""COMPUTED_VALUE"""),2000.0)</f>
        <v>2000</v>
      </c>
    </row>
    <row r="507">
      <c r="A507" s="1" t="s">
        <v>311</v>
      </c>
      <c r="B507" s="4">
        <v>80.0</v>
      </c>
      <c r="C507" s="1" t="s">
        <v>85</v>
      </c>
      <c r="D507" s="4">
        <v>0.0</v>
      </c>
      <c r="E507" s="4">
        <v>8.0</v>
      </c>
      <c r="F507" s="4">
        <v>0.0</v>
      </c>
      <c r="G507" s="4">
        <v>8.0</v>
      </c>
      <c r="H507" s="4">
        <v>0.0</v>
      </c>
      <c r="I507" s="4">
        <v>13.0</v>
      </c>
      <c r="J507" s="4">
        <v>70.0</v>
      </c>
      <c r="K507" s="4">
        <v>-57.0</v>
      </c>
      <c r="L507" s="2" t="s">
        <v>227</v>
      </c>
      <c r="M507" s="5">
        <f>IFERROR(__xludf.DUMMYFUNCTION("""COMPUTED_VALUE"""),3.0)</f>
        <v>3</v>
      </c>
      <c r="N507" s="5">
        <f>IFERROR(__xludf.DUMMYFUNCTION("""COMPUTED_VALUE"""),18.0)</f>
        <v>18</v>
      </c>
      <c r="O507" s="5">
        <f>IFERROR(__xludf.DUMMYFUNCTION("""COMPUTED_VALUE"""),2000.0)</f>
        <v>2000</v>
      </c>
    </row>
    <row r="508">
      <c r="A508" s="1" t="s">
        <v>311</v>
      </c>
      <c r="B508" s="4">
        <v>81.0</v>
      </c>
      <c r="C508" s="1" t="s">
        <v>140</v>
      </c>
      <c r="D508" s="4">
        <v>0.0</v>
      </c>
      <c r="E508" s="4">
        <v>10.0</v>
      </c>
      <c r="F508" s="4">
        <v>0.0</v>
      </c>
      <c r="G508" s="4">
        <v>10.0</v>
      </c>
      <c r="H508" s="4">
        <v>0.0</v>
      </c>
      <c r="I508" s="4">
        <v>10.0</v>
      </c>
      <c r="J508" s="4">
        <v>82.0</v>
      </c>
      <c r="K508" s="4">
        <v>-72.0</v>
      </c>
      <c r="L508" s="2" t="s">
        <v>148</v>
      </c>
      <c r="M508" s="5">
        <f>IFERROR(__xludf.DUMMYFUNCTION("""COMPUTED_VALUE"""),4.0)</f>
        <v>4</v>
      </c>
      <c r="N508" s="5">
        <f>IFERROR(__xludf.DUMMYFUNCTION("""COMPUTED_VALUE"""),19.0)</f>
        <v>19</v>
      </c>
      <c r="O508" s="5">
        <f>IFERROR(__xludf.DUMMYFUNCTION("""COMPUTED_VALUE"""),2001.0)</f>
        <v>2001</v>
      </c>
    </row>
    <row r="509">
      <c r="A509" s="1" t="s">
        <v>311</v>
      </c>
      <c r="B509" s="4">
        <v>82.0</v>
      </c>
      <c r="C509" s="1" t="s">
        <v>29</v>
      </c>
      <c r="D509" s="4">
        <v>0.0</v>
      </c>
      <c r="E509" s="4">
        <v>10.0</v>
      </c>
      <c r="F509" s="4">
        <v>0.0</v>
      </c>
      <c r="G509" s="4">
        <v>10.0</v>
      </c>
      <c r="H509" s="4">
        <v>0.0</v>
      </c>
      <c r="I509" s="4">
        <v>9.0</v>
      </c>
      <c r="J509" s="4">
        <v>100.0</v>
      </c>
      <c r="K509" s="4">
        <v>-91.0</v>
      </c>
      <c r="L509" s="2" t="s">
        <v>201</v>
      </c>
      <c r="M509" s="5">
        <f>IFERROR(__xludf.DUMMYFUNCTION("""COMPUTED_VALUE"""),2.0)</f>
        <v>2</v>
      </c>
      <c r="N509" s="5">
        <f>IFERROR(__xludf.DUMMYFUNCTION("""COMPUTED_VALUE"""),18.0)</f>
        <v>18</v>
      </c>
      <c r="O509" s="5">
        <f>IFERROR(__xludf.DUMMYFUNCTION("""COMPUTED_VALUE"""),2000.0)</f>
        <v>2000</v>
      </c>
    </row>
    <row r="510">
      <c r="A510" s="1" t="s">
        <v>311</v>
      </c>
      <c r="B510" s="4">
        <v>83.0</v>
      </c>
      <c r="C510" s="1" t="s">
        <v>103</v>
      </c>
      <c r="D510" s="4">
        <v>0.0</v>
      </c>
      <c r="E510" s="4">
        <v>8.0</v>
      </c>
      <c r="F510" s="4">
        <v>0.0</v>
      </c>
      <c r="G510" s="4">
        <v>8.0</v>
      </c>
      <c r="H510" s="4">
        <v>0.0</v>
      </c>
      <c r="I510" s="4">
        <v>2.0</v>
      </c>
      <c r="J510" s="4">
        <v>125.0</v>
      </c>
      <c r="K510" s="4">
        <v>-123.0</v>
      </c>
      <c r="L510" s="2" t="s">
        <v>197</v>
      </c>
      <c r="M510" s="5">
        <f>IFERROR(__xludf.DUMMYFUNCTION("""COMPUTED_VALUE"""),0.0)</f>
        <v>0</v>
      </c>
      <c r="N510" s="5">
        <f>IFERROR(__xludf.DUMMYFUNCTION("""COMPUTED_VALUE"""),12.0)</f>
        <v>12</v>
      </c>
      <c r="O510" s="5">
        <f>IFERROR(__xludf.DUMMYFUNCTION("""COMPUTED_VALUE"""),0.0)</f>
        <v>0</v>
      </c>
    </row>
    <row r="511">
      <c r="A511" s="1" t="s">
        <v>339</v>
      </c>
      <c r="B511" s="4">
        <v>1.0</v>
      </c>
      <c r="C511" s="1" t="s">
        <v>24</v>
      </c>
      <c r="D511" s="4">
        <v>26.0</v>
      </c>
      <c r="E511" s="4">
        <v>14.0</v>
      </c>
      <c r="F511" s="4">
        <v>13.0</v>
      </c>
      <c r="G511" s="4">
        <v>1.0</v>
      </c>
      <c r="H511" s="4">
        <v>0.0</v>
      </c>
      <c r="I511" s="4">
        <v>89.0</v>
      </c>
      <c r="J511" s="4">
        <v>23.0</v>
      </c>
      <c r="K511" s="4">
        <v>66.0</v>
      </c>
      <c r="L511" s="2" t="s">
        <v>340</v>
      </c>
      <c r="M511" s="5">
        <f>IFERROR(__xludf.DUMMYFUNCTION("""COMPUTED_VALUE"""),17.0)</f>
        <v>17</v>
      </c>
      <c r="N511" s="5">
        <f>IFERROR(__xludf.DUMMYFUNCTION("""COMPUTED_VALUE"""),5.0)</f>
        <v>5</v>
      </c>
      <c r="O511" s="5">
        <f>IFERROR(__xludf.DUMMYFUNCTION("""COMPUTED_VALUE"""),2.0)</f>
        <v>2</v>
      </c>
    </row>
    <row r="512">
      <c r="A512" s="1" t="s">
        <v>339</v>
      </c>
      <c r="B512" s="4">
        <v>2.0</v>
      </c>
      <c r="C512" s="1" t="s">
        <v>58</v>
      </c>
      <c r="D512" s="4">
        <v>22.0</v>
      </c>
      <c r="E512" s="4">
        <v>13.0</v>
      </c>
      <c r="F512" s="4">
        <v>11.0</v>
      </c>
      <c r="G512" s="4">
        <v>2.0</v>
      </c>
      <c r="H512" s="4">
        <v>0.0</v>
      </c>
      <c r="I512" s="4">
        <v>82.0</v>
      </c>
      <c r="J512" s="4">
        <v>28.0</v>
      </c>
      <c r="K512" s="4">
        <v>54.0</v>
      </c>
      <c r="L512" s="2" t="s">
        <v>205</v>
      </c>
      <c r="M512" s="5">
        <f>IFERROR(__xludf.DUMMYFUNCTION("""COMPUTED_VALUE"""),19.0)</f>
        <v>19</v>
      </c>
      <c r="N512" s="5">
        <f>IFERROR(__xludf.DUMMYFUNCTION("""COMPUTED_VALUE"""),4.0)</f>
        <v>4</v>
      </c>
      <c r="O512" s="5">
        <f>IFERROR(__xludf.DUMMYFUNCTION("""COMPUTED_VALUE"""),0.0)</f>
        <v>0</v>
      </c>
    </row>
    <row r="513">
      <c r="A513" s="1" t="s">
        <v>339</v>
      </c>
      <c r="B513" s="4">
        <v>3.0</v>
      </c>
      <c r="C513" s="1" t="s">
        <v>79</v>
      </c>
      <c r="D513" s="4">
        <v>20.0</v>
      </c>
      <c r="E513" s="4">
        <v>10.0</v>
      </c>
      <c r="F513" s="4">
        <v>10.0</v>
      </c>
      <c r="G513" s="4">
        <v>0.0</v>
      </c>
      <c r="H513" s="4">
        <v>0.0</v>
      </c>
      <c r="I513" s="4">
        <v>84.0</v>
      </c>
      <c r="J513" s="4">
        <v>8.0</v>
      </c>
      <c r="K513" s="4">
        <v>76.0</v>
      </c>
      <c r="L513" s="2" t="s">
        <v>341</v>
      </c>
      <c r="M513" s="5">
        <f>IFERROR(__xludf.DUMMYFUNCTION("""COMPUTED_VALUE"""),20.0)</f>
        <v>20</v>
      </c>
      <c r="N513" s="5">
        <f>IFERROR(__xludf.DUMMYFUNCTION("""COMPUTED_VALUE"""),2.0)</f>
        <v>2</v>
      </c>
      <c r="O513" s="5">
        <f>IFERROR(__xludf.DUMMYFUNCTION("""COMPUTED_VALUE"""),0.0)</f>
        <v>0</v>
      </c>
    </row>
    <row r="514">
      <c r="A514" s="1" t="s">
        <v>339</v>
      </c>
      <c r="B514" s="4">
        <v>4.0</v>
      </c>
      <c r="C514" s="1" t="s">
        <v>18</v>
      </c>
      <c r="D514" s="4">
        <v>20.0</v>
      </c>
      <c r="E514" s="4">
        <v>11.0</v>
      </c>
      <c r="F514" s="4">
        <v>10.0</v>
      </c>
      <c r="G514" s="4">
        <v>1.0</v>
      </c>
      <c r="H514" s="4">
        <v>0.0</v>
      </c>
      <c r="I514" s="4">
        <v>72.0</v>
      </c>
      <c r="J514" s="4">
        <v>22.0</v>
      </c>
      <c r="K514" s="4">
        <v>50.0</v>
      </c>
      <c r="L514" s="2" t="s">
        <v>21</v>
      </c>
      <c r="M514" s="5">
        <f>IFERROR(__xludf.DUMMYFUNCTION("""COMPUTED_VALUE"""),15.0)</f>
        <v>15</v>
      </c>
      <c r="N514" s="5">
        <f>IFERROR(__xludf.DUMMYFUNCTION("""COMPUTED_VALUE"""),8.0)</f>
        <v>8</v>
      </c>
      <c r="O514" s="5">
        <f>IFERROR(__xludf.DUMMYFUNCTION("""COMPUTED_VALUE"""),0.0)</f>
        <v>0</v>
      </c>
    </row>
    <row r="515">
      <c r="A515" s="1" t="s">
        <v>339</v>
      </c>
      <c r="B515" s="4">
        <v>5.0</v>
      </c>
      <c r="C515" s="1" t="s">
        <v>45</v>
      </c>
      <c r="D515" s="4">
        <v>20.0</v>
      </c>
      <c r="E515" s="4">
        <v>10.0</v>
      </c>
      <c r="F515" s="4">
        <v>10.0</v>
      </c>
      <c r="G515" s="4">
        <v>0.0</v>
      </c>
      <c r="H515" s="4">
        <v>0.0</v>
      </c>
      <c r="I515" s="4">
        <v>57.0</v>
      </c>
      <c r="J515" s="4">
        <v>10.0</v>
      </c>
      <c r="K515" s="4">
        <v>47.0</v>
      </c>
      <c r="L515" s="2" t="s">
        <v>35</v>
      </c>
      <c r="M515" s="5">
        <f>IFERROR(__xludf.DUMMYFUNCTION("""COMPUTED_VALUE"""),20.0)</f>
        <v>20</v>
      </c>
      <c r="N515" s="5">
        <f>IFERROR(__xludf.DUMMYFUNCTION("""COMPUTED_VALUE"""),3.0)</f>
        <v>3</v>
      </c>
      <c r="O515" s="5">
        <f>IFERROR(__xludf.DUMMYFUNCTION("""COMPUTED_VALUE"""),1.0)</f>
        <v>1</v>
      </c>
    </row>
    <row r="516">
      <c r="A516" s="1" t="s">
        <v>339</v>
      </c>
      <c r="B516" s="4">
        <v>6.0</v>
      </c>
      <c r="C516" s="1" t="s">
        <v>25</v>
      </c>
      <c r="D516" s="4">
        <v>20.0</v>
      </c>
      <c r="E516" s="4">
        <v>12.0</v>
      </c>
      <c r="F516" s="4">
        <v>10.0</v>
      </c>
      <c r="G516" s="4">
        <v>2.0</v>
      </c>
      <c r="H516" s="4">
        <v>0.0</v>
      </c>
      <c r="I516" s="4">
        <v>51.0</v>
      </c>
      <c r="J516" s="4">
        <v>24.0</v>
      </c>
      <c r="K516" s="4">
        <v>27.0</v>
      </c>
      <c r="L516" s="2" t="s">
        <v>317</v>
      </c>
      <c r="M516" s="5">
        <f>IFERROR(__xludf.DUMMYFUNCTION("""COMPUTED_VALUE"""),14.0)</f>
        <v>14</v>
      </c>
      <c r="N516" s="5">
        <f>IFERROR(__xludf.DUMMYFUNCTION("""COMPUTED_VALUE"""),7.0)</f>
        <v>7</v>
      </c>
      <c r="O516" s="5">
        <f>IFERROR(__xludf.DUMMYFUNCTION("""COMPUTED_VALUE"""),2.0)</f>
        <v>2</v>
      </c>
    </row>
    <row r="517">
      <c r="A517" s="1" t="s">
        <v>339</v>
      </c>
      <c r="B517" s="4">
        <v>7.0</v>
      </c>
      <c r="C517" s="1" t="s">
        <v>60</v>
      </c>
      <c r="D517" s="4">
        <v>19.0</v>
      </c>
      <c r="E517" s="4">
        <v>10.0</v>
      </c>
      <c r="F517" s="4">
        <v>9.0</v>
      </c>
      <c r="G517" s="4">
        <v>0.0</v>
      </c>
      <c r="H517" s="4">
        <v>1.0</v>
      </c>
      <c r="I517" s="4">
        <v>44.0</v>
      </c>
      <c r="J517" s="4">
        <v>16.0</v>
      </c>
      <c r="K517" s="4">
        <v>28.0</v>
      </c>
      <c r="L517" s="2" t="s">
        <v>342</v>
      </c>
      <c r="M517" s="5">
        <f>IFERROR(__xludf.DUMMYFUNCTION("""COMPUTED_VALUE"""),17.0)</f>
        <v>17</v>
      </c>
      <c r="N517" s="5">
        <f>IFERROR(__xludf.DUMMYFUNCTION("""COMPUTED_VALUE"""),4.0)</f>
        <v>4</v>
      </c>
      <c r="O517" s="5">
        <f>IFERROR(__xludf.DUMMYFUNCTION("""COMPUTED_VALUE"""),2.0)</f>
        <v>2</v>
      </c>
    </row>
    <row r="518">
      <c r="A518" s="1" t="s">
        <v>339</v>
      </c>
      <c r="B518" s="4">
        <v>8.0</v>
      </c>
      <c r="C518" s="1" t="s">
        <v>86</v>
      </c>
      <c r="D518" s="4">
        <v>18.0</v>
      </c>
      <c r="E518" s="4">
        <v>14.0</v>
      </c>
      <c r="F518" s="4">
        <v>9.0</v>
      </c>
      <c r="G518" s="4">
        <v>5.0</v>
      </c>
      <c r="H518" s="4">
        <v>0.0</v>
      </c>
      <c r="I518" s="4">
        <v>68.0</v>
      </c>
      <c r="J518" s="4">
        <v>31.0</v>
      </c>
      <c r="K518" s="4">
        <v>37.0</v>
      </c>
      <c r="L518" s="2" t="s">
        <v>343</v>
      </c>
      <c r="M518" s="5">
        <f>IFERROR(__xludf.DUMMYFUNCTION("""COMPUTED_VALUE"""),16.0)</f>
        <v>16</v>
      </c>
      <c r="N518" s="5">
        <f>IFERROR(__xludf.DUMMYFUNCTION("""COMPUTED_VALUE"""),6.0)</f>
        <v>6</v>
      </c>
      <c r="O518" s="5">
        <f>IFERROR(__xludf.DUMMYFUNCTION("""COMPUTED_VALUE"""),2.0)</f>
        <v>2</v>
      </c>
    </row>
    <row r="519">
      <c r="A519" s="1" t="s">
        <v>339</v>
      </c>
      <c r="B519" s="4">
        <v>9.0</v>
      </c>
      <c r="C519" s="1" t="s">
        <v>34</v>
      </c>
      <c r="D519" s="4">
        <v>18.0</v>
      </c>
      <c r="E519" s="4">
        <v>12.0</v>
      </c>
      <c r="F519" s="4">
        <v>9.0</v>
      </c>
      <c r="G519" s="4">
        <v>3.0</v>
      </c>
      <c r="H519" s="4">
        <v>0.0</v>
      </c>
      <c r="I519" s="4">
        <v>60.0</v>
      </c>
      <c r="J519" s="4">
        <v>27.0</v>
      </c>
      <c r="K519" s="4">
        <v>33.0</v>
      </c>
      <c r="L519" s="2" t="s">
        <v>175</v>
      </c>
      <c r="M519" s="5">
        <f>IFERROR(__xludf.DUMMYFUNCTION("""COMPUTED_VALUE"""),16.0)</f>
        <v>16</v>
      </c>
      <c r="N519" s="5">
        <f>IFERROR(__xludf.DUMMYFUNCTION("""COMPUTED_VALUE"""),5.0)</f>
        <v>5</v>
      </c>
      <c r="O519" s="5">
        <f>IFERROR(__xludf.DUMMYFUNCTION("""COMPUTED_VALUE"""),1.0)</f>
        <v>1</v>
      </c>
    </row>
    <row r="520">
      <c r="A520" s="1" t="s">
        <v>339</v>
      </c>
      <c r="B520" s="4">
        <v>10.0</v>
      </c>
      <c r="C520" s="1" t="s">
        <v>134</v>
      </c>
      <c r="D520" s="4">
        <v>18.0</v>
      </c>
      <c r="E520" s="4">
        <v>12.0</v>
      </c>
      <c r="F520" s="4">
        <v>9.0</v>
      </c>
      <c r="G520" s="4">
        <v>3.0</v>
      </c>
      <c r="H520" s="4">
        <v>0.0</v>
      </c>
      <c r="I520" s="4">
        <v>64.0</v>
      </c>
      <c r="J520" s="4">
        <v>34.0</v>
      </c>
      <c r="K520" s="4">
        <v>30.0</v>
      </c>
      <c r="L520" s="2" t="s">
        <v>47</v>
      </c>
      <c r="M520" s="5">
        <f>IFERROR(__xludf.DUMMYFUNCTION("""COMPUTED_VALUE"""),14.0)</f>
        <v>14</v>
      </c>
      <c r="N520" s="5">
        <f>IFERROR(__xludf.DUMMYFUNCTION("""COMPUTED_VALUE"""),9.0)</f>
        <v>9</v>
      </c>
      <c r="O520" s="5">
        <f>IFERROR(__xludf.DUMMYFUNCTION("""COMPUTED_VALUE"""),1.0)</f>
        <v>1</v>
      </c>
    </row>
    <row r="521">
      <c r="A521" s="1" t="s">
        <v>339</v>
      </c>
      <c r="B521" s="4">
        <v>11.0</v>
      </c>
      <c r="C521" s="1" t="s">
        <v>66</v>
      </c>
      <c r="D521" s="4">
        <v>18.0</v>
      </c>
      <c r="E521" s="4">
        <v>12.0</v>
      </c>
      <c r="F521" s="4">
        <v>9.0</v>
      </c>
      <c r="G521" s="4">
        <v>3.0</v>
      </c>
      <c r="H521" s="4">
        <v>0.0</v>
      </c>
      <c r="I521" s="4">
        <v>45.0</v>
      </c>
      <c r="J521" s="4">
        <v>26.0</v>
      </c>
      <c r="K521" s="4">
        <v>19.0</v>
      </c>
      <c r="L521" s="2" t="s">
        <v>44</v>
      </c>
      <c r="M521" s="5">
        <f>IFERROR(__xludf.DUMMYFUNCTION("""COMPUTED_VALUE"""),15.0)</f>
        <v>15</v>
      </c>
      <c r="N521" s="5">
        <f>IFERROR(__xludf.DUMMYFUNCTION("""COMPUTED_VALUE"""),7.0)</f>
        <v>7</v>
      </c>
      <c r="O521" s="5">
        <f>IFERROR(__xludf.DUMMYFUNCTION("""COMPUTED_VALUE"""),1.0)</f>
        <v>1</v>
      </c>
    </row>
    <row r="522">
      <c r="A522" s="1" t="s">
        <v>339</v>
      </c>
      <c r="B522" s="4">
        <v>12.0</v>
      </c>
      <c r="C522" s="1" t="s">
        <v>50</v>
      </c>
      <c r="D522" s="4">
        <v>18.0</v>
      </c>
      <c r="E522" s="4">
        <v>12.0</v>
      </c>
      <c r="F522" s="4">
        <v>9.0</v>
      </c>
      <c r="G522" s="4">
        <v>3.0</v>
      </c>
      <c r="H522" s="4">
        <v>0.0</v>
      </c>
      <c r="I522" s="4">
        <v>48.0</v>
      </c>
      <c r="J522" s="4">
        <v>31.0</v>
      </c>
      <c r="K522" s="4">
        <v>17.0</v>
      </c>
      <c r="L522" s="2" t="s">
        <v>344</v>
      </c>
      <c r="M522" s="5">
        <f>IFERROR(__xludf.DUMMYFUNCTION("""COMPUTED_VALUE"""),11.0)</f>
        <v>11</v>
      </c>
      <c r="N522" s="5">
        <f>IFERROR(__xludf.DUMMYFUNCTION("""COMPUTED_VALUE"""),10.0)</f>
        <v>10</v>
      </c>
      <c r="O522" s="5">
        <f>IFERROR(__xludf.DUMMYFUNCTION("""COMPUTED_VALUE"""),2000.0)</f>
        <v>2000</v>
      </c>
    </row>
    <row r="523">
      <c r="A523" s="1" t="s">
        <v>339</v>
      </c>
      <c r="B523" s="4">
        <v>13.0</v>
      </c>
      <c r="C523" s="1" t="s">
        <v>27</v>
      </c>
      <c r="D523" s="4">
        <v>16.0</v>
      </c>
      <c r="E523" s="4">
        <v>10.0</v>
      </c>
      <c r="F523" s="4">
        <v>8.0</v>
      </c>
      <c r="G523" s="4">
        <v>2.0</v>
      </c>
      <c r="H523" s="4">
        <v>0.0</v>
      </c>
      <c r="I523" s="4">
        <v>70.0</v>
      </c>
      <c r="J523" s="4">
        <v>27.0</v>
      </c>
      <c r="K523" s="4">
        <v>43.0</v>
      </c>
      <c r="L523" s="2" t="s">
        <v>312</v>
      </c>
      <c r="M523" s="5">
        <f>IFERROR(__xludf.DUMMYFUNCTION("""COMPUTED_VALUE"""),18.0)</f>
        <v>18</v>
      </c>
      <c r="N523" s="5">
        <f>IFERROR(__xludf.DUMMYFUNCTION("""COMPUTED_VALUE"""),4.0)</f>
        <v>4</v>
      </c>
      <c r="O523" s="5">
        <f>IFERROR(__xludf.DUMMYFUNCTION("""COMPUTED_VALUE"""),2.0)</f>
        <v>2</v>
      </c>
    </row>
    <row r="524">
      <c r="A524" s="1" t="s">
        <v>339</v>
      </c>
      <c r="B524" s="4">
        <v>14.0</v>
      </c>
      <c r="C524" s="1" t="s">
        <v>41</v>
      </c>
      <c r="D524" s="4">
        <v>16.0</v>
      </c>
      <c r="E524" s="4">
        <v>8.0</v>
      </c>
      <c r="F524" s="4">
        <v>8.0</v>
      </c>
      <c r="G524" s="4">
        <v>0.0</v>
      </c>
      <c r="H524" s="4">
        <v>0.0</v>
      </c>
      <c r="I524" s="4">
        <v>40.0</v>
      </c>
      <c r="J524" s="4">
        <v>8.0</v>
      </c>
      <c r="K524" s="4">
        <v>32.0</v>
      </c>
      <c r="L524" s="2" t="s">
        <v>345</v>
      </c>
      <c r="M524" s="5">
        <f>IFERROR(__xludf.DUMMYFUNCTION("""COMPUTED_VALUE"""),18.0)</f>
        <v>18</v>
      </c>
      <c r="N524" s="5">
        <f>IFERROR(__xludf.DUMMYFUNCTION("""COMPUTED_VALUE"""),3.0)</f>
        <v>3</v>
      </c>
      <c r="O524" s="5">
        <f>IFERROR(__xludf.DUMMYFUNCTION("""COMPUTED_VALUE"""),2.0)</f>
        <v>2</v>
      </c>
    </row>
    <row r="525">
      <c r="A525" s="1" t="s">
        <v>339</v>
      </c>
      <c r="B525" s="4">
        <v>15.0</v>
      </c>
      <c r="C525" s="1" t="s">
        <v>43</v>
      </c>
      <c r="D525" s="4">
        <v>16.0</v>
      </c>
      <c r="E525" s="4">
        <v>8.0</v>
      </c>
      <c r="F525" s="4">
        <v>8.0</v>
      </c>
      <c r="G525" s="4">
        <v>0.0</v>
      </c>
      <c r="H525" s="4">
        <v>0.0</v>
      </c>
      <c r="I525" s="4">
        <v>38.0</v>
      </c>
      <c r="J525" s="4">
        <v>6.0</v>
      </c>
      <c r="K525" s="4">
        <v>32.0</v>
      </c>
      <c r="L525" s="2" t="s">
        <v>346</v>
      </c>
      <c r="M525" s="5">
        <f>IFERROR(__xludf.DUMMYFUNCTION("""COMPUTED_VALUE"""),12.0)</f>
        <v>12</v>
      </c>
      <c r="N525" s="5">
        <f>IFERROR(__xludf.DUMMYFUNCTION("""COMPUTED_VALUE"""),6.0)</f>
        <v>6</v>
      </c>
      <c r="O525" s="5">
        <f>IFERROR(__xludf.DUMMYFUNCTION("""COMPUTED_VALUE"""),2005.0)</f>
        <v>2005</v>
      </c>
    </row>
    <row r="526">
      <c r="A526" s="1" t="s">
        <v>339</v>
      </c>
      <c r="B526" s="4">
        <v>16.0</v>
      </c>
      <c r="C526" s="1" t="s">
        <v>68</v>
      </c>
      <c r="D526" s="4">
        <v>16.0</v>
      </c>
      <c r="E526" s="4">
        <v>8.0</v>
      </c>
      <c r="F526" s="4">
        <v>8.0</v>
      </c>
      <c r="G526" s="4">
        <v>0.0</v>
      </c>
      <c r="H526" s="4">
        <v>0.0</v>
      </c>
      <c r="I526" s="4">
        <v>40.0</v>
      </c>
      <c r="J526" s="4">
        <v>16.0</v>
      </c>
      <c r="K526" s="4">
        <v>24.0</v>
      </c>
      <c r="L526" s="2" t="s">
        <v>312</v>
      </c>
      <c r="M526" s="5">
        <f>IFERROR(__xludf.DUMMYFUNCTION("""COMPUTED_VALUE"""),18.0)</f>
        <v>18</v>
      </c>
      <c r="N526" s="5">
        <f>IFERROR(__xludf.DUMMYFUNCTION("""COMPUTED_VALUE"""),4.0)</f>
        <v>4</v>
      </c>
      <c r="O526" s="5">
        <f>IFERROR(__xludf.DUMMYFUNCTION("""COMPUTED_VALUE"""),2.0)</f>
        <v>2</v>
      </c>
    </row>
    <row r="527">
      <c r="A527" s="1" t="s">
        <v>339</v>
      </c>
      <c r="B527" s="4">
        <v>17.0</v>
      </c>
      <c r="C527" s="1" t="s">
        <v>22</v>
      </c>
      <c r="D527" s="4">
        <v>16.0</v>
      </c>
      <c r="E527" s="4">
        <v>14.0</v>
      </c>
      <c r="F527" s="4">
        <v>8.0</v>
      </c>
      <c r="G527" s="4">
        <v>6.0</v>
      </c>
      <c r="H527" s="4">
        <v>0.0</v>
      </c>
      <c r="I527" s="4">
        <v>56.0</v>
      </c>
      <c r="J527" s="4">
        <v>43.0</v>
      </c>
      <c r="K527" s="4">
        <v>13.0</v>
      </c>
      <c r="L527" s="2" t="s">
        <v>47</v>
      </c>
      <c r="M527" s="5">
        <f>IFERROR(__xludf.DUMMYFUNCTION("""COMPUTED_VALUE"""),14.0)</f>
        <v>14</v>
      </c>
      <c r="N527" s="5">
        <f>IFERROR(__xludf.DUMMYFUNCTION("""COMPUTED_VALUE"""),9.0)</f>
        <v>9</v>
      </c>
      <c r="O527" s="5">
        <f>IFERROR(__xludf.DUMMYFUNCTION("""COMPUTED_VALUE"""),1.0)</f>
        <v>1</v>
      </c>
    </row>
    <row r="528">
      <c r="A528" s="1" t="s">
        <v>339</v>
      </c>
      <c r="B528" s="4">
        <v>18.0</v>
      </c>
      <c r="C528" s="1" t="s">
        <v>117</v>
      </c>
      <c r="D528" s="4">
        <v>15.0</v>
      </c>
      <c r="E528" s="4">
        <v>10.0</v>
      </c>
      <c r="F528" s="4">
        <v>7.0</v>
      </c>
      <c r="G528" s="4">
        <v>2.0</v>
      </c>
      <c r="H528" s="4">
        <v>1.0</v>
      </c>
      <c r="I528" s="4">
        <v>55.0</v>
      </c>
      <c r="J528" s="4">
        <v>36.0</v>
      </c>
      <c r="K528" s="4">
        <v>19.0</v>
      </c>
      <c r="L528" s="2" t="s">
        <v>347</v>
      </c>
      <c r="M528" s="5">
        <f>IFERROR(__xludf.DUMMYFUNCTION("""COMPUTED_VALUE"""),15.0)</f>
        <v>15</v>
      </c>
      <c r="N528" s="5">
        <f>IFERROR(__xludf.DUMMYFUNCTION("""COMPUTED_VALUE"""),7.0)</f>
        <v>7</v>
      </c>
      <c r="O528" s="5">
        <f>IFERROR(__xludf.DUMMYFUNCTION("""COMPUTED_VALUE"""),2.0)</f>
        <v>2</v>
      </c>
    </row>
    <row r="529">
      <c r="A529" s="1" t="s">
        <v>339</v>
      </c>
      <c r="B529" s="4">
        <v>19.0</v>
      </c>
      <c r="C529" s="1" t="s">
        <v>149</v>
      </c>
      <c r="D529" s="4">
        <v>14.0</v>
      </c>
      <c r="E529" s="4">
        <v>7.0</v>
      </c>
      <c r="F529" s="4">
        <v>7.0</v>
      </c>
      <c r="G529" s="4">
        <v>0.0</v>
      </c>
      <c r="H529" s="4">
        <v>0.0</v>
      </c>
      <c r="I529" s="4">
        <v>46.0</v>
      </c>
      <c r="J529" s="4">
        <v>5.0</v>
      </c>
      <c r="K529" s="4">
        <v>41.0</v>
      </c>
      <c r="L529" s="2" t="s">
        <v>165</v>
      </c>
      <c r="M529" s="5">
        <f>IFERROR(__xludf.DUMMYFUNCTION("""COMPUTED_VALUE"""),22.0)</f>
        <v>22</v>
      </c>
      <c r="N529" s="5">
        <f>IFERROR(__xludf.DUMMYFUNCTION("""COMPUTED_VALUE"""),2.0)</f>
        <v>2</v>
      </c>
      <c r="O529" s="5">
        <f>IFERROR(__xludf.DUMMYFUNCTION("""COMPUTED_VALUE"""),0.0)</f>
        <v>0</v>
      </c>
    </row>
    <row r="530">
      <c r="A530" s="1" t="s">
        <v>339</v>
      </c>
      <c r="B530" s="4">
        <v>20.0</v>
      </c>
      <c r="C530" s="1" t="s">
        <v>20</v>
      </c>
      <c r="D530" s="4">
        <v>14.0</v>
      </c>
      <c r="E530" s="4">
        <v>11.0</v>
      </c>
      <c r="F530" s="4">
        <v>7.0</v>
      </c>
      <c r="G530" s="4">
        <v>4.0</v>
      </c>
      <c r="H530" s="4">
        <v>0.0</v>
      </c>
      <c r="I530" s="4">
        <v>55.0</v>
      </c>
      <c r="J530" s="4">
        <v>23.0</v>
      </c>
      <c r="K530" s="4">
        <v>32.0</v>
      </c>
      <c r="L530" s="2" t="s">
        <v>84</v>
      </c>
      <c r="M530" s="5">
        <f>IFERROR(__xludf.DUMMYFUNCTION("""COMPUTED_VALUE"""),13.0)</f>
        <v>13</v>
      </c>
      <c r="N530" s="5">
        <f>IFERROR(__xludf.DUMMYFUNCTION("""COMPUTED_VALUE"""),9.0)</f>
        <v>9</v>
      </c>
      <c r="O530" s="5">
        <f>IFERROR(__xludf.DUMMYFUNCTION("""COMPUTED_VALUE"""),1.0)</f>
        <v>1</v>
      </c>
    </row>
    <row r="531">
      <c r="A531" s="1" t="s">
        <v>339</v>
      </c>
      <c r="B531" s="4">
        <v>21.0</v>
      </c>
      <c r="C531" s="1" t="s">
        <v>33</v>
      </c>
      <c r="D531" s="4">
        <v>14.0</v>
      </c>
      <c r="E531" s="4">
        <v>9.0</v>
      </c>
      <c r="F531" s="4">
        <v>7.0</v>
      </c>
      <c r="G531" s="4">
        <v>2.0</v>
      </c>
      <c r="H531" s="4">
        <v>0.0</v>
      </c>
      <c r="I531" s="4">
        <v>42.0</v>
      </c>
      <c r="J531" s="4">
        <v>21.0</v>
      </c>
      <c r="K531" s="4">
        <v>21.0</v>
      </c>
      <c r="L531" s="2" t="s">
        <v>70</v>
      </c>
      <c r="M531" s="5">
        <f>IFERROR(__xludf.DUMMYFUNCTION("""COMPUTED_VALUE"""),16.0)</f>
        <v>16</v>
      </c>
      <c r="N531" s="5">
        <f>IFERROR(__xludf.DUMMYFUNCTION("""COMPUTED_VALUE"""),7.0)</f>
        <v>7</v>
      </c>
      <c r="O531" s="5">
        <f>IFERROR(__xludf.DUMMYFUNCTION("""COMPUTED_VALUE"""),0.0)</f>
        <v>0</v>
      </c>
    </row>
    <row r="532">
      <c r="A532" s="1" t="s">
        <v>339</v>
      </c>
      <c r="B532" s="4">
        <v>22.0</v>
      </c>
      <c r="C532" s="1" t="s">
        <v>94</v>
      </c>
      <c r="D532" s="4">
        <v>12.0</v>
      </c>
      <c r="E532" s="4">
        <v>14.0</v>
      </c>
      <c r="F532" s="4">
        <v>6.0</v>
      </c>
      <c r="G532" s="4">
        <v>8.0</v>
      </c>
      <c r="H532" s="4">
        <v>0.0</v>
      </c>
      <c r="I532" s="4">
        <v>63.0</v>
      </c>
      <c r="J532" s="4">
        <v>40.0</v>
      </c>
      <c r="K532" s="4">
        <v>23.0</v>
      </c>
      <c r="L532" s="2" t="s">
        <v>102</v>
      </c>
      <c r="M532" s="5">
        <f>IFERROR(__xludf.DUMMYFUNCTION("""COMPUTED_VALUE"""),13.0)</f>
        <v>13</v>
      </c>
      <c r="N532" s="5">
        <f>IFERROR(__xludf.DUMMYFUNCTION("""COMPUTED_VALUE"""),11.0)</f>
        <v>11</v>
      </c>
      <c r="O532" s="5">
        <f>IFERROR(__xludf.DUMMYFUNCTION("""COMPUTED_VALUE"""),0.0)</f>
        <v>0</v>
      </c>
    </row>
    <row r="533">
      <c r="A533" s="1" t="s">
        <v>339</v>
      </c>
      <c r="B533" s="4">
        <v>23.0</v>
      </c>
      <c r="C533" s="1" t="s">
        <v>101</v>
      </c>
      <c r="D533" s="4">
        <v>12.0</v>
      </c>
      <c r="E533" s="4">
        <v>6.0</v>
      </c>
      <c r="F533" s="4">
        <v>6.0</v>
      </c>
      <c r="G533" s="4">
        <v>0.0</v>
      </c>
      <c r="H533" s="4">
        <v>0.0</v>
      </c>
      <c r="I533" s="4">
        <v>35.0</v>
      </c>
      <c r="J533" s="4">
        <v>16.0</v>
      </c>
      <c r="K533" s="4">
        <v>19.0</v>
      </c>
      <c r="L533" s="2" t="s">
        <v>182</v>
      </c>
      <c r="M533" s="5">
        <f>IFERROR(__xludf.DUMMYFUNCTION("""COMPUTED_VALUE"""),12.0)</f>
        <v>12</v>
      </c>
      <c r="N533" s="5">
        <f>IFERROR(__xludf.DUMMYFUNCTION("""COMPUTED_VALUE"""),11.0)</f>
        <v>11</v>
      </c>
      <c r="O533" s="5">
        <f>IFERROR(__xludf.DUMMYFUNCTION("""COMPUTED_VALUE"""),2001.0)</f>
        <v>2001</v>
      </c>
    </row>
    <row r="534">
      <c r="A534" s="1" t="s">
        <v>339</v>
      </c>
      <c r="B534" s="4">
        <v>24.0</v>
      </c>
      <c r="C534" s="1" t="s">
        <v>90</v>
      </c>
      <c r="D534" s="4">
        <v>12.0</v>
      </c>
      <c r="E534" s="4">
        <v>8.0</v>
      </c>
      <c r="F534" s="4">
        <v>6.0</v>
      </c>
      <c r="G534" s="4">
        <v>2.0</v>
      </c>
      <c r="H534" s="4">
        <v>0.0</v>
      </c>
      <c r="I534" s="4">
        <v>29.0</v>
      </c>
      <c r="J534" s="4">
        <v>15.0</v>
      </c>
      <c r="K534" s="4">
        <v>14.0</v>
      </c>
      <c r="L534" s="2" t="s">
        <v>72</v>
      </c>
      <c r="M534" s="5">
        <f>IFERROR(__xludf.DUMMYFUNCTION("""COMPUTED_VALUE"""),15.0)</f>
        <v>15</v>
      </c>
      <c r="N534" s="5">
        <f>IFERROR(__xludf.DUMMYFUNCTION("""COMPUTED_VALUE"""),8.0)</f>
        <v>8</v>
      </c>
      <c r="O534" s="5">
        <f>IFERROR(__xludf.DUMMYFUNCTION("""COMPUTED_VALUE"""),1.0)</f>
        <v>1</v>
      </c>
    </row>
    <row r="535">
      <c r="A535" s="1" t="s">
        <v>339</v>
      </c>
      <c r="B535" s="4">
        <v>25.0</v>
      </c>
      <c r="C535" s="1" t="s">
        <v>64</v>
      </c>
      <c r="D535" s="4">
        <v>12.0</v>
      </c>
      <c r="E535" s="4">
        <v>10.0</v>
      </c>
      <c r="F535" s="4">
        <v>6.0</v>
      </c>
      <c r="G535" s="4">
        <v>4.0</v>
      </c>
      <c r="H535" s="4">
        <v>0.0</v>
      </c>
      <c r="I535" s="4">
        <v>34.0</v>
      </c>
      <c r="J535" s="4">
        <v>23.0</v>
      </c>
      <c r="K535" s="4">
        <v>11.0</v>
      </c>
      <c r="L535" s="2" t="s">
        <v>179</v>
      </c>
      <c r="M535" s="5">
        <f>IFERROR(__xludf.DUMMYFUNCTION("""COMPUTED_VALUE"""),10.0)</f>
        <v>10</v>
      </c>
      <c r="N535" s="5">
        <f>IFERROR(__xludf.DUMMYFUNCTION("""COMPUTED_VALUE"""),13.0)</f>
        <v>13</v>
      </c>
      <c r="O535" s="5">
        <f>IFERROR(__xludf.DUMMYFUNCTION("""COMPUTED_VALUE"""),2001.0)</f>
        <v>2001</v>
      </c>
    </row>
    <row r="536">
      <c r="A536" s="1" t="s">
        <v>339</v>
      </c>
      <c r="B536" s="4">
        <v>26.0</v>
      </c>
      <c r="C536" s="1" t="s">
        <v>158</v>
      </c>
      <c r="D536" s="4">
        <v>12.0</v>
      </c>
      <c r="E536" s="4">
        <v>10.0</v>
      </c>
      <c r="F536" s="4">
        <v>6.0</v>
      </c>
      <c r="G536" s="4">
        <v>4.0</v>
      </c>
      <c r="H536" s="4">
        <v>0.0</v>
      </c>
      <c r="I536" s="4">
        <v>42.0</v>
      </c>
      <c r="J536" s="4">
        <v>39.0</v>
      </c>
      <c r="K536" s="4">
        <v>3.0</v>
      </c>
      <c r="L536" s="2" t="s">
        <v>44</v>
      </c>
      <c r="M536" s="5">
        <f>IFERROR(__xludf.DUMMYFUNCTION("""COMPUTED_VALUE"""),15.0)</f>
        <v>15</v>
      </c>
      <c r="N536" s="5">
        <f>IFERROR(__xludf.DUMMYFUNCTION("""COMPUTED_VALUE"""),7.0)</f>
        <v>7</v>
      </c>
      <c r="O536" s="5">
        <f>IFERROR(__xludf.DUMMYFUNCTION("""COMPUTED_VALUE"""),1.0)</f>
        <v>1</v>
      </c>
    </row>
    <row r="537">
      <c r="A537" s="1" t="s">
        <v>339</v>
      </c>
      <c r="B537" s="4">
        <v>27.0</v>
      </c>
      <c r="C537" s="1" t="s">
        <v>156</v>
      </c>
      <c r="D537" s="4">
        <v>12.0</v>
      </c>
      <c r="E537" s="4">
        <v>11.0</v>
      </c>
      <c r="F537" s="4">
        <v>6.0</v>
      </c>
      <c r="G537" s="4">
        <v>5.0</v>
      </c>
      <c r="H537" s="4">
        <v>0.0</v>
      </c>
      <c r="I537" s="4">
        <v>40.0</v>
      </c>
      <c r="J537" s="4">
        <v>41.0</v>
      </c>
      <c r="K537" s="4">
        <v>-1.0</v>
      </c>
      <c r="L537" s="2" t="s">
        <v>181</v>
      </c>
      <c r="M537" s="5">
        <f>IFERROR(__xludf.DUMMYFUNCTION("""COMPUTED_VALUE"""),13.0)</f>
        <v>13</v>
      </c>
      <c r="N537" s="5">
        <f>IFERROR(__xludf.DUMMYFUNCTION("""COMPUTED_VALUE"""),8.0)</f>
        <v>8</v>
      </c>
      <c r="O537" s="5">
        <f>IFERROR(__xludf.DUMMYFUNCTION("""COMPUTED_VALUE"""),0.0)</f>
        <v>0</v>
      </c>
    </row>
    <row r="538">
      <c r="A538" s="1" t="s">
        <v>339</v>
      </c>
      <c r="B538" s="4">
        <v>28.0</v>
      </c>
      <c r="C538" s="1" t="s">
        <v>37</v>
      </c>
      <c r="D538" s="4">
        <v>12.0</v>
      </c>
      <c r="E538" s="4">
        <v>12.0</v>
      </c>
      <c r="F538" s="4">
        <v>6.0</v>
      </c>
      <c r="G538" s="4">
        <v>6.0</v>
      </c>
      <c r="H538" s="4">
        <v>0.0</v>
      </c>
      <c r="I538" s="4">
        <v>41.0</v>
      </c>
      <c r="J538" s="4">
        <v>51.0</v>
      </c>
      <c r="K538" s="4">
        <v>-10.0</v>
      </c>
      <c r="L538" s="2" t="s">
        <v>118</v>
      </c>
      <c r="M538" s="5">
        <f>IFERROR(__xludf.DUMMYFUNCTION("""COMPUTED_VALUE"""),9.0)</f>
        <v>9</v>
      </c>
      <c r="N538" s="5">
        <f>IFERROR(__xludf.DUMMYFUNCTION("""COMPUTED_VALUE"""),15.0)</f>
        <v>15</v>
      </c>
      <c r="O538" s="5">
        <f>IFERROR(__xludf.DUMMYFUNCTION("""COMPUTED_VALUE"""),2000.0)</f>
        <v>2000</v>
      </c>
    </row>
    <row r="539">
      <c r="A539" s="1" t="s">
        <v>339</v>
      </c>
      <c r="B539" s="4">
        <v>29.0</v>
      </c>
      <c r="C539" s="1" t="s">
        <v>61</v>
      </c>
      <c r="D539" s="4">
        <v>11.0</v>
      </c>
      <c r="E539" s="4">
        <v>8.0</v>
      </c>
      <c r="F539" s="4">
        <v>5.0</v>
      </c>
      <c r="G539" s="4">
        <v>2.0</v>
      </c>
      <c r="H539" s="4">
        <v>1.0</v>
      </c>
      <c r="I539" s="4">
        <v>38.0</v>
      </c>
      <c r="J539" s="4">
        <v>18.0</v>
      </c>
      <c r="K539" s="4">
        <v>20.0</v>
      </c>
      <c r="L539" s="2" t="s">
        <v>172</v>
      </c>
      <c r="M539" s="5">
        <f>IFERROR(__xludf.DUMMYFUNCTION("""COMPUTED_VALUE"""),11.0)</f>
        <v>11</v>
      </c>
      <c r="N539" s="5">
        <f>IFERROR(__xludf.DUMMYFUNCTION("""COMPUTED_VALUE"""),10.0)</f>
        <v>10</v>
      </c>
      <c r="O539" s="5">
        <f>IFERROR(__xludf.DUMMYFUNCTION("""COMPUTED_VALUE"""),2002.0)</f>
        <v>2002</v>
      </c>
    </row>
    <row r="540">
      <c r="A540" s="1" t="s">
        <v>339</v>
      </c>
      <c r="B540" s="4">
        <v>30.0</v>
      </c>
      <c r="C540" s="1" t="s">
        <v>152</v>
      </c>
      <c r="D540" s="4">
        <v>10.0</v>
      </c>
      <c r="E540" s="4">
        <v>7.0</v>
      </c>
      <c r="F540" s="4">
        <v>5.0</v>
      </c>
      <c r="G540" s="4">
        <v>2.0</v>
      </c>
      <c r="H540" s="4">
        <v>0.0</v>
      </c>
      <c r="I540" s="4">
        <v>40.0</v>
      </c>
      <c r="J540" s="4">
        <v>13.0</v>
      </c>
      <c r="K540" s="4">
        <v>27.0</v>
      </c>
      <c r="L540" s="2" t="s">
        <v>333</v>
      </c>
      <c r="M540" s="5">
        <f>IFERROR(__xludf.DUMMYFUNCTION("""COMPUTED_VALUE"""),12.0)</f>
        <v>12</v>
      </c>
      <c r="N540" s="5">
        <f>IFERROR(__xludf.DUMMYFUNCTION("""COMPUTED_VALUE"""),9.0)</f>
        <v>9</v>
      </c>
      <c r="O540" s="5">
        <f>IFERROR(__xludf.DUMMYFUNCTION("""COMPUTED_VALUE"""),2001.0)</f>
        <v>2001</v>
      </c>
    </row>
    <row r="541">
      <c r="A541" s="1" t="s">
        <v>339</v>
      </c>
      <c r="B541" s="4">
        <v>31.0</v>
      </c>
      <c r="C541" s="1" t="s">
        <v>54</v>
      </c>
      <c r="D541" s="4">
        <v>10.0</v>
      </c>
      <c r="E541" s="4">
        <v>7.0</v>
      </c>
      <c r="F541" s="4">
        <v>4.0</v>
      </c>
      <c r="G541" s="4">
        <v>1.0</v>
      </c>
      <c r="H541" s="4">
        <v>2.0</v>
      </c>
      <c r="I541" s="4">
        <v>23.0</v>
      </c>
      <c r="J541" s="4">
        <v>7.0</v>
      </c>
      <c r="K541" s="4">
        <v>16.0</v>
      </c>
      <c r="L541" s="2" t="s">
        <v>348</v>
      </c>
      <c r="M541" s="5">
        <f>IFERROR(__xludf.DUMMYFUNCTION("""COMPUTED_VALUE"""),16.0)</f>
        <v>16</v>
      </c>
      <c r="N541" s="5">
        <f>IFERROR(__xludf.DUMMYFUNCTION("""COMPUTED_VALUE"""),4.0)</f>
        <v>4</v>
      </c>
      <c r="O541" s="5">
        <f>IFERROR(__xludf.DUMMYFUNCTION("""COMPUTED_VALUE"""),4.0)</f>
        <v>4</v>
      </c>
    </row>
    <row r="542">
      <c r="A542" s="1" t="s">
        <v>339</v>
      </c>
      <c r="B542" s="4">
        <v>32.0</v>
      </c>
      <c r="C542" s="1" t="s">
        <v>16</v>
      </c>
      <c r="D542" s="4">
        <v>10.0</v>
      </c>
      <c r="E542" s="4">
        <v>8.0</v>
      </c>
      <c r="F542" s="4">
        <v>5.0</v>
      </c>
      <c r="G542" s="4">
        <v>3.0</v>
      </c>
      <c r="H542" s="4">
        <v>0.0</v>
      </c>
      <c r="I542" s="4">
        <v>31.0</v>
      </c>
      <c r="J542" s="4">
        <v>24.0</v>
      </c>
      <c r="K542" s="4">
        <v>7.0</v>
      </c>
      <c r="L542" s="2" t="s">
        <v>329</v>
      </c>
      <c r="M542" s="5">
        <f>IFERROR(__xludf.DUMMYFUNCTION("""COMPUTED_VALUE"""),9.0)</f>
        <v>9</v>
      </c>
      <c r="N542" s="5">
        <f>IFERROR(__xludf.DUMMYFUNCTION("""COMPUTED_VALUE"""),13.0)</f>
        <v>13</v>
      </c>
      <c r="O542" s="5">
        <f>IFERROR(__xludf.DUMMYFUNCTION("""COMPUTED_VALUE"""),2000.0)</f>
        <v>2000</v>
      </c>
    </row>
    <row r="543">
      <c r="A543" s="1" t="s">
        <v>339</v>
      </c>
      <c r="B543" s="4">
        <v>33.0</v>
      </c>
      <c r="C543" s="1" t="s">
        <v>92</v>
      </c>
      <c r="D543" s="4">
        <v>10.0</v>
      </c>
      <c r="E543" s="4">
        <v>8.0</v>
      </c>
      <c r="F543" s="4">
        <v>5.0</v>
      </c>
      <c r="G543" s="4">
        <v>3.0</v>
      </c>
      <c r="H543" s="4">
        <v>0.0</v>
      </c>
      <c r="I543" s="4">
        <v>17.0</v>
      </c>
      <c r="J543" s="4">
        <v>19.0</v>
      </c>
      <c r="K543" s="4">
        <v>-2.0</v>
      </c>
      <c r="L543" s="2" t="s">
        <v>223</v>
      </c>
      <c r="M543" s="5">
        <f>IFERROR(__xludf.DUMMYFUNCTION("""COMPUTED_VALUE"""),7.0)</f>
        <v>7</v>
      </c>
      <c r="N543" s="5">
        <f>IFERROR(__xludf.DUMMYFUNCTION("""COMPUTED_VALUE"""),15.0)</f>
        <v>15</v>
      </c>
      <c r="O543" s="5">
        <f>IFERROR(__xludf.DUMMYFUNCTION("""COMPUTED_VALUE"""),2001.0)</f>
        <v>2001</v>
      </c>
    </row>
    <row r="544">
      <c r="A544" s="1" t="s">
        <v>339</v>
      </c>
      <c r="B544" s="4">
        <v>34.0</v>
      </c>
      <c r="C544" s="1" t="s">
        <v>106</v>
      </c>
      <c r="D544" s="4">
        <v>10.0</v>
      </c>
      <c r="E544" s="4">
        <v>13.0</v>
      </c>
      <c r="F544" s="4">
        <v>5.0</v>
      </c>
      <c r="G544" s="4">
        <v>8.0</v>
      </c>
      <c r="H544" s="4">
        <v>0.0</v>
      </c>
      <c r="I544" s="4">
        <v>41.0</v>
      </c>
      <c r="J544" s="4">
        <v>63.0</v>
      </c>
      <c r="K544" s="4">
        <v>-22.0</v>
      </c>
      <c r="L544" s="2" t="s">
        <v>349</v>
      </c>
      <c r="M544" s="5">
        <f>IFERROR(__xludf.DUMMYFUNCTION("""COMPUTED_VALUE"""),10.0)</f>
        <v>10</v>
      </c>
      <c r="N544" s="5">
        <f>IFERROR(__xludf.DUMMYFUNCTION("""COMPUTED_VALUE"""),12.0)</f>
        <v>12</v>
      </c>
      <c r="O544" s="5">
        <f>IFERROR(__xludf.DUMMYFUNCTION("""COMPUTED_VALUE"""),2000.0)</f>
        <v>2000</v>
      </c>
    </row>
    <row r="545">
      <c r="A545" s="1" t="s">
        <v>339</v>
      </c>
      <c r="B545" s="4">
        <v>35.0</v>
      </c>
      <c r="C545" s="1" t="s">
        <v>39</v>
      </c>
      <c r="D545" s="4">
        <v>9.0</v>
      </c>
      <c r="E545" s="4">
        <v>8.0</v>
      </c>
      <c r="F545" s="4">
        <v>4.0</v>
      </c>
      <c r="G545" s="4">
        <v>3.0</v>
      </c>
      <c r="H545" s="4">
        <v>1.0</v>
      </c>
      <c r="I545" s="4">
        <v>40.0</v>
      </c>
      <c r="J545" s="4">
        <v>28.0</v>
      </c>
      <c r="K545" s="4">
        <v>12.0</v>
      </c>
      <c r="L545" s="2" t="s">
        <v>183</v>
      </c>
      <c r="M545" s="5">
        <f>IFERROR(__xludf.DUMMYFUNCTION("""COMPUTED_VALUE"""),14.0)</f>
        <v>14</v>
      </c>
      <c r="N545" s="5">
        <f>IFERROR(__xludf.DUMMYFUNCTION("""COMPUTED_VALUE"""),8.0)</f>
        <v>8</v>
      </c>
      <c r="O545" s="5">
        <f>IFERROR(__xludf.DUMMYFUNCTION("""COMPUTED_VALUE"""),1.0)</f>
        <v>1</v>
      </c>
    </row>
    <row r="546">
      <c r="A546" s="1" t="s">
        <v>339</v>
      </c>
      <c r="B546" s="4">
        <v>36.0</v>
      </c>
      <c r="C546" s="1" t="s">
        <v>98</v>
      </c>
      <c r="D546" s="4">
        <v>9.0</v>
      </c>
      <c r="E546" s="4">
        <v>7.0</v>
      </c>
      <c r="F546" s="4">
        <v>4.0</v>
      </c>
      <c r="G546" s="4">
        <v>2.0</v>
      </c>
      <c r="H546" s="4">
        <v>1.0</v>
      </c>
      <c r="I546" s="4">
        <v>29.0</v>
      </c>
      <c r="J546" s="4">
        <v>19.0</v>
      </c>
      <c r="K546" s="4">
        <v>10.0</v>
      </c>
      <c r="L546" s="2" t="s">
        <v>47</v>
      </c>
      <c r="M546" s="5">
        <f>IFERROR(__xludf.DUMMYFUNCTION("""COMPUTED_VALUE"""),14.0)</f>
        <v>14</v>
      </c>
      <c r="N546" s="5">
        <f>IFERROR(__xludf.DUMMYFUNCTION("""COMPUTED_VALUE"""),9.0)</f>
        <v>9</v>
      </c>
      <c r="O546" s="5">
        <f>IFERROR(__xludf.DUMMYFUNCTION("""COMPUTED_VALUE"""),1.0)</f>
        <v>1</v>
      </c>
    </row>
    <row r="547">
      <c r="A547" s="1" t="s">
        <v>339</v>
      </c>
      <c r="B547" s="4">
        <v>37.0</v>
      </c>
      <c r="C547" s="1" t="s">
        <v>73</v>
      </c>
      <c r="D547" s="4">
        <v>9.0</v>
      </c>
      <c r="E547" s="4">
        <v>10.0</v>
      </c>
      <c r="F547" s="4">
        <v>4.0</v>
      </c>
      <c r="G547" s="4">
        <v>5.0</v>
      </c>
      <c r="H547" s="4">
        <v>1.0</v>
      </c>
      <c r="I547" s="4">
        <v>39.0</v>
      </c>
      <c r="J547" s="4">
        <v>34.0</v>
      </c>
      <c r="K547" s="4">
        <v>5.0</v>
      </c>
      <c r="L547" s="2" t="s">
        <v>84</v>
      </c>
      <c r="M547" s="5">
        <f>IFERROR(__xludf.DUMMYFUNCTION("""COMPUTED_VALUE"""),13.0)</f>
        <v>13</v>
      </c>
      <c r="N547" s="5">
        <f>IFERROR(__xludf.DUMMYFUNCTION("""COMPUTED_VALUE"""),9.0)</f>
        <v>9</v>
      </c>
      <c r="O547" s="5">
        <f>IFERROR(__xludf.DUMMYFUNCTION("""COMPUTED_VALUE"""),1.0)</f>
        <v>1</v>
      </c>
    </row>
    <row r="548">
      <c r="A548" s="1" t="s">
        <v>339</v>
      </c>
      <c r="B548" s="4">
        <v>38.0</v>
      </c>
      <c r="C548" s="1" t="s">
        <v>75</v>
      </c>
      <c r="D548" s="4">
        <v>9.0</v>
      </c>
      <c r="E548" s="4">
        <v>10.0</v>
      </c>
      <c r="F548" s="4">
        <v>4.0</v>
      </c>
      <c r="G548" s="4">
        <v>5.0</v>
      </c>
      <c r="H548" s="4">
        <v>1.0</v>
      </c>
      <c r="I548" s="4">
        <v>25.0</v>
      </c>
      <c r="J548" s="4">
        <v>34.0</v>
      </c>
      <c r="K548" s="4">
        <v>-9.0</v>
      </c>
      <c r="L548" s="2" t="s">
        <v>223</v>
      </c>
      <c r="M548" s="5">
        <f>IFERROR(__xludf.DUMMYFUNCTION("""COMPUTED_VALUE"""),7.0)</f>
        <v>7</v>
      </c>
      <c r="N548" s="5">
        <f>IFERROR(__xludf.DUMMYFUNCTION("""COMPUTED_VALUE"""),15.0)</f>
        <v>15</v>
      </c>
      <c r="O548" s="5">
        <f>IFERROR(__xludf.DUMMYFUNCTION("""COMPUTED_VALUE"""),2001.0)</f>
        <v>2001</v>
      </c>
    </row>
    <row r="549">
      <c r="A549" s="1" t="s">
        <v>339</v>
      </c>
      <c r="B549" s="4">
        <v>39.0</v>
      </c>
      <c r="C549" s="1" t="s">
        <v>144</v>
      </c>
      <c r="D549" s="4">
        <v>8.0</v>
      </c>
      <c r="E549" s="4">
        <v>4.0</v>
      </c>
      <c r="F549" s="4">
        <v>4.0</v>
      </c>
      <c r="G549" s="4">
        <v>0.0</v>
      </c>
      <c r="H549" s="4">
        <v>0.0</v>
      </c>
      <c r="I549" s="4">
        <v>28.0</v>
      </c>
      <c r="J549" s="4">
        <v>4.0</v>
      </c>
      <c r="K549" s="4">
        <v>24.0</v>
      </c>
      <c r="L549" s="2" t="s">
        <v>95</v>
      </c>
      <c r="M549" s="5">
        <f>IFERROR(__xludf.DUMMYFUNCTION("""COMPUTED_VALUE"""),9.0)</f>
        <v>9</v>
      </c>
      <c r="N549" s="5">
        <f>IFERROR(__xludf.DUMMYFUNCTION("""COMPUTED_VALUE"""),14.0)</f>
        <v>14</v>
      </c>
      <c r="O549" s="5">
        <f>IFERROR(__xludf.DUMMYFUNCTION("""COMPUTED_VALUE"""),2000.0)</f>
        <v>2000</v>
      </c>
    </row>
    <row r="550">
      <c r="A550" s="1" t="s">
        <v>339</v>
      </c>
      <c r="B550" s="4">
        <v>40.0</v>
      </c>
      <c r="C550" s="1" t="s">
        <v>131</v>
      </c>
      <c r="D550" s="4">
        <v>8.0</v>
      </c>
      <c r="E550" s="4">
        <v>4.0</v>
      </c>
      <c r="F550" s="4">
        <v>4.0</v>
      </c>
      <c r="G550" s="4">
        <v>0.0</v>
      </c>
      <c r="H550" s="4">
        <v>0.0</v>
      </c>
      <c r="I550" s="4">
        <v>23.0</v>
      </c>
      <c r="J550" s="4">
        <v>1.0</v>
      </c>
      <c r="K550" s="4">
        <v>22.0</v>
      </c>
      <c r="L550" s="2" t="s">
        <v>32</v>
      </c>
      <c r="M550" s="5">
        <f>IFERROR(__xludf.DUMMYFUNCTION("""COMPUTED_VALUE"""),21.0)</f>
        <v>21</v>
      </c>
      <c r="N550" s="5">
        <f>IFERROR(__xludf.DUMMYFUNCTION("""COMPUTED_VALUE"""),3.0)</f>
        <v>3</v>
      </c>
      <c r="O550" s="5">
        <f>IFERROR(__xludf.DUMMYFUNCTION("""COMPUTED_VALUE"""),0.0)</f>
        <v>0</v>
      </c>
    </row>
    <row r="551">
      <c r="A551" s="1" t="s">
        <v>339</v>
      </c>
      <c r="B551" s="4">
        <v>41.0</v>
      </c>
      <c r="C551" s="1" t="s">
        <v>114</v>
      </c>
      <c r="D551" s="4">
        <v>8.0</v>
      </c>
      <c r="E551" s="4">
        <v>7.0</v>
      </c>
      <c r="F551" s="4">
        <v>4.0</v>
      </c>
      <c r="G551" s="4">
        <v>3.0</v>
      </c>
      <c r="H551" s="4">
        <v>0.0</v>
      </c>
      <c r="I551" s="4">
        <v>38.0</v>
      </c>
      <c r="J551" s="4">
        <v>17.0</v>
      </c>
      <c r="K551" s="4">
        <v>21.0</v>
      </c>
      <c r="L551" s="2" t="s">
        <v>350</v>
      </c>
      <c r="M551" s="5">
        <f>IFERROR(__xludf.DUMMYFUNCTION("""COMPUTED_VALUE"""),10.0)</f>
        <v>10</v>
      </c>
      <c r="N551" s="5">
        <f>IFERROR(__xludf.DUMMYFUNCTION("""COMPUTED_VALUE"""),10.0)</f>
        <v>10</v>
      </c>
      <c r="O551" s="5">
        <f>IFERROR(__xludf.DUMMYFUNCTION("""COMPUTED_VALUE"""),2001.0)</f>
        <v>2001</v>
      </c>
    </row>
    <row r="552">
      <c r="A552" s="1" t="s">
        <v>339</v>
      </c>
      <c r="B552" s="4">
        <v>42.0</v>
      </c>
      <c r="C552" s="1" t="s">
        <v>56</v>
      </c>
      <c r="D552" s="4">
        <v>8.0</v>
      </c>
      <c r="E552" s="4">
        <v>6.0</v>
      </c>
      <c r="F552" s="4">
        <v>4.0</v>
      </c>
      <c r="G552" s="4">
        <v>2.0</v>
      </c>
      <c r="H552" s="4">
        <v>0.0</v>
      </c>
      <c r="I552" s="4">
        <v>30.0</v>
      </c>
      <c r="J552" s="4">
        <v>19.0</v>
      </c>
      <c r="K552" s="4">
        <v>11.0</v>
      </c>
      <c r="L552" s="2" t="s">
        <v>26</v>
      </c>
      <c r="M552" s="5">
        <f>IFERROR(__xludf.DUMMYFUNCTION("""COMPUTED_VALUE"""),13.0)</f>
        <v>13</v>
      </c>
      <c r="N552" s="5">
        <f>IFERROR(__xludf.DUMMYFUNCTION("""COMPUTED_VALUE"""),9.0)</f>
        <v>9</v>
      </c>
      <c r="O552" s="5">
        <f>IFERROR(__xludf.DUMMYFUNCTION("""COMPUTED_VALUE"""),2.0)</f>
        <v>2</v>
      </c>
    </row>
    <row r="553">
      <c r="A553" s="1" t="s">
        <v>339</v>
      </c>
      <c r="B553" s="4">
        <v>43.0</v>
      </c>
      <c r="C553" s="1" t="s">
        <v>31</v>
      </c>
      <c r="D553" s="4">
        <v>8.0</v>
      </c>
      <c r="E553" s="4">
        <v>7.0</v>
      </c>
      <c r="F553" s="4">
        <v>4.0</v>
      </c>
      <c r="G553" s="4">
        <v>3.0</v>
      </c>
      <c r="H553" s="4">
        <v>0.0</v>
      </c>
      <c r="I553" s="4">
        <v>22.0</v>
      </c>
      <c r="J553" s="4">
        <v>20.0</v>
      </c>
      <c r="K553" s="4">
        <v>2.0</v>
      </c>
      <c r="L553" s="2" t="s">
        <v>178</v>
      </c>
      <c r="M553" s="5">
        <f>IFERROR(__xludf.DUMMYFUNCTION("""COMPUTED_VALUE"""),11.0)</f>
        <v>11</v>
      </c>
      <c r="N553" s="5">
        <f>IFERROR(__xludf.DUMMYFUNCTION("""COMPUTED_VALUE"""),11.0)</f>
        <v>11</v>
      </c>
      <c r="O553" s="5">
        <f>IFERROR(__xludf.DUMMYFUNCTION("""COMPUTED_VALUE"""),2002.0)</f>
        <v>2002</v>
      </c>
    </row>
    <row r="554">
      <c r="A554" s="1" t="s">
        <v>339</v>
      </c>
      <c r="B554" s="4">
        <v>44.0</v>
      </c>
      <c r="C554" s="1" t="s">
        <v>99</v>
      </c>
      <c r="D554" s="4">
        <v>8.0</v>
      </c>
      <c r="E554" s="4">
        <v>9.0</v>
      </c>
      <c r="F554" s="4">
        <v>4.0</v>
      </c>
      <c r="G554" s="4">
        <v>5.0</v>
      </c>
      <c r="H554" s="4">
        <v>0.0</v>
      </c>
      <c r="I554" s="4">
        <v>34.0</v>
      </c>
      <c r="J554" s="4">
        <v>36.0</v>
      </c>
      <c r="K554" s="4">
        <v>-2.0</v>
      </c>
      <c r="L554" s="2" t="s">
        <v>351</v>
      </c>
      <c r="M554" s="5">
        <f>IFERROR(__xludf.DUMMYFUNCTION("""COMPUTED_VALUE"""),12.0)</f>
        <v>12</v>
      </c>
      <c r="N554" s="5">
        <f>IFERROR(__xludf.DUMMYFUNCTION("""COMPUTED_VALUE"""),8.0)</f>
        <v>8</v>
      </c>
      <c r="O554" s="5">
        <f>IFERROR(__xludf.DUMMYFUNCTION("""COMPUTED_VALUE"""),2002.0)</f>
        <v>2002</v>
      </c>
    </row>
    <row r="555">
      <c r="A555" s="1" t="s">
        <v>339</v>
      </c>
      <c r="B555" s="4">
        <v>45.0</v>
      </c>
      <c r="C555" s="1" t="s">
        <v>122</v>
      </c>
      <c r="D555" s="4">
        <v>8.0</v>
      </c>
      <c r="E555" s="4">
        <v>10.0</v>
      </c>
      <c r="F555" s="4">
        <v>4.0</v>
      </c>
      <c r="G555" s="4">
        <v>6.0</v>
      </c>
      <c r="H555" s="4">
        <v>0.0</v>
      </c>
      <c r="I555" s="4">
        <v>28.0</v>
      </c>
      <c r="J555" s="4">
        <v>37.0</v>
      </c>
      <c r="K555" s="4">
        <v>-9.0</v>
      </c>
      <c r="L555" s="2" t="s">
        <v>120</v>
      </c>
      <c r="M555" s="5">
        <f>IFERROR(__xludf.DUMMYFUNCTION("""COMPUTED_VALUE"""),7.0)</f>
        <v>7</v>
      </c>
      <c r="N555" s="5">
        <f>IFERROR(__xludf.DUMMYFUNCTION("""COMPUTED_VALUE"""),16.0)</f>
        <v>16</v>
      </c>
      <c r="O555" s="5">
        <f>IFERROR(__xludf.DUMMYFUNCTION("""COMPUTED_VALUE"""),2000.0)</f>
        <v>2000</v>
      </c>
    </row>
    <row r="556">
      <c r="A556" s="1" t="s">
        <v>339</v>
      </c>
      <c r="B556" s="4">
        <v>46.0</v>
      </c>
      <c r="C556" s="1" t="s">
        <v>161</v>
      </c>
      <c r="D556" s="4">
        <v>8.0</v>
      </c>
      <c r="E556" s="4">
        <v>12.0</v>
      </c>
      <c r="F556" s="4">
        <v>4.0</v>
      </c>
      <c r="G556" s="4">
        <v>8.0</v>
      </c>
      <c r="H556" s="4">
        <v>0.0</v>
      </c>
      <c r="I556" s="4">
        <v>39.0</v>
      </c>
      <c r="J556" s="4">
        <v>54.0</v>
      </c>
      <c r="K556" s="4">
        <v>-15.0</v>
      </c>
      <c r="L556" s="2" t="s">
        <v>120</v>
      </c>
      <c r="M556" s="5">
        <f>IFERROR(__xludf.DUMMYFUNCTION("""COMPUTED_VALUE"""),7.0)</f>
        <v>7</v>
      </c>
      <c r="N556" s="5">
        <f>IFERROR(__xludf.DUMMYFUNCTION("""COMPUTED_VALUE"""),16.0)</f>
        <v>16</v>
      </c>
      <c r="O556" s="5">
        <f>IFERROR(__xludf.DUMMYFUNCTION("""COMPUTED_VALUE"""),2000.0)</f>
        <v>2000</v>
      </c>
    </row>
    <row r="557">
      <c r="A557" s="1" t="s">
        <v>339</v>
      </c>
      <c r="B557" s="4">
        <v>47.0</v>
      </c>
      <c r="C557" s="1" t="s">
        <v>29</v>
      </c>
      <c r="D557" s="4">
        <v>8.0</v>
      </c>
      <c r="E557" s="4">
        <v>10.0</v>
      </c>
      <c r="F557" s="4">
        <v>4.0</v>
      </c>
      <c r="G557" s="4">
        <v>6.0</v>
      </c>
      <c r="H557" s="4">
        <v>0.0</v>
      </c>
      <c r="I557" s="4">
        <v>32.0</v>
      </c>
      <c r="J557" s="4">
        <v>51.0</v>
      </c>
      <c r="K557" s="4">
        <v>-19.0</v>
      </c>
      <c r="L557" s="2" t="s">
        <v>352</v>
      </c>
      <c r="M557" s="5">
        <f>IFERROR(__xludf.DUMMYFUNCTION("""COMPUTED_VALUE"""),10.0)</f>
        <v>10</v>
      </c>
      <c r="N557" s="5">
        <f>IFERROR(__xludf.DUMMYFUNCTION("""COMPUTED_VALUE"""),11.0)</f>
        <v>11</v>
      </c>
      <c r="O557" s="5">
        <f>IFERROR(__xludf.DUMMYFUNCTION("""COMPUTED_VALUE"""),2000.0)</f>
        <v>2000</v>
      </c>
    </row>
    <row r="558">
      <c r="A558" s="1" t="s">
        <v>339</v>
      </c>
      <c r="B558" s="4">
        <v>48.0</v>
      </c>
      <c r="C558" s="1" t="s">
        <v>96</v>
      </c>
      <c r="D558" s="4">
        <v>7.0</v>
      </c>
      <c r="E558" s="4">
        <v>7.0</v>
      </c>
      <c r="F558" s="4">
        <v>3.0</v>
      </c>
      <c r="G558" s="4">
        <v>3.0</v>
      </c>
      <c r="H558" s="4">
        <v>1.0</v>
      </c>
      <c r="I558" s="4">
        <v>25.0</v>
      </c>
      <c r="J558" s="4">
        <v>10.0</v>
      </c>
      <c r="K558" s="4">
        <v>15.0</v>
      </c>
      <c r="L558" s="2" t="s">
        <v>353</v>
      </c>
      <c r="M558" s="5">
        <f>IFERROR(__xludf.DUMMYFUNCTION("""COMPUTED_VALUE"""),13.0)</f>
        <v>13</v>
      </c>
      <c r="N558" s="5">
        <f>IFERROR(__xludf.DUMMYFUNCTION("""COMPUTED_VALUE"""),8.0)</f>
        <v>8</v>
      </c>
      <c r="O558" s="5">
        <f>IFERROR(__xludf.DUMMYFUNCTION("""COMPUTED_VALUE"""),3.0)</f>
        <v>3</v>
      </c>
    </row>
    <row r="559">
      <c r="A559" s="1" t="s">
        <v>339</v>
      </c>
      <c r="B559" s="4">
        <v>49.0</v>
      </c>
      <c r="C559" s="1" t="s">
        <v>88</v>
      </c>
      <c r="D559" s="4">
        <v>7.0</v>
      </c>
      <c r="E559" s="4">
        <v>8.0</v>
      </c>
      <c r="F559" s="4">
        <v>3.0</v>
      </c>
      <c r="G559" s="4">
        <v>4.0</v>
      </c>
      <c r="H559" s="4">
        <v>1.0</v>
      </c>
      <c r="I559" s="4">
        <v>26.0</v>
      </c>
      <c r="J559" s="4">
        <v>27.0</v>
      </c>
      <c r="K559" s="4">
        <v>-1.0</v>
      </c>
      <c r="L559" s="2" t="s">
        <v>351</v>
      </c>
      <c r="M559" s="5">
        <f>IFERROR(__xludf.DUMMYFUNCTION("""COMPUTED_VALUE"""),12.0)</f>
        <v>12</v>
      </c>
      <c r="N559" s="5">
        <f>IFERROR(__xludf.DUMMYFUNCTION("""COMPUTED_VALUE"""),8.0)</f>
        <v>8</v>
      </c>
      <c r="O559" s="5">
        <f>IFERROR(__xludf.DUMMYFUNCTION("""COMPUTED_VALUE"""),2002.0)</f>
        <v>2002</v>
      </c>
    </row>
    <row r="560">
      <c r="A560" s="1" t="s">
        <v>339</v>
      </c>
      <c r="B560" s="4">
        <v>50.0</v>
      </c>
      <c r="C560" s="1" t="s">
        <v>83</v>
      </c>
      <c r="D560" s="4">
        <v>6.0</v>
      </c>
      <c r="E560" s="4">
        <v>3.0</v>
      </c>
      <c r="F560" s="4">
        <v>3.0</v>
      </c>
      <c r="G560" s="4">
        <v>0.0</v>
      </c>
      <c r="H560" s="4">
        <v>0.0</v>
      </c>
      <c r="I560" s="4">
        <v>20.0</v>
      </c>
      <c r="J560" s="4">
        <v>3.0</v>
      </c>
      <c r="K560" s="4">
        <v>17.0</v>
      </c>
      <c r="L560" s="2" t="s">
        <v>217</v>
      </c>
      <c r="M560" s="5">
        <f>IFERROR(__xludf.DUMMYFUNCTION("""COMPUTED_VALUE"""),18.0)</f>
        <v>18</v>
      </c>
      <c r="N560" s="5">
        <f>IFERROR(__xludf.DUMMYFUNCTION("""COMPUTED_VALUE"""),4.0)</f>
        <v>4</v>
      </c>
      <c r="O560" s="5">
        <f>IFERROR(__xludf.DUMMYFUNCTION("""COMPUTED_VALUE"""),0.0)</f>
        <v>0</v>
      </c>
    </row>
    <row r="561">
      <c r="A561" s="1" t="s">
        <v>339</v>
      </c>
      <c r="B561" s="4">
        <v>51.0</v>
      </c>
      <c r="C561" s="1" t="s">
        <v>36</v>
      </c>
      <c r="D561" s="4">
        <v>6.0</v>
      </c>
      <c r="E561" s="4">
        <v>7.0</v>
      </c>
      <c r="F561" s="4">
        <v>3.0</v>
      </c>
      <c r="G561" s="4">
        <v>4.0</v>
      </c>
      <c r="H561" s="4">
        <v>0.0</v>
      </c>
      <c r="I561" s="4">
        <v>23.0</v>
      </c>
      <c r="J561" s="4">
        <v>12.0</v>
      </c>
      <c r="K561" s="4">
        <v>11.0</v>
      </c>
      <c r="L561" s="2" t="s">
        <v>354</v>
      </c>
      <c r="M561" s="5">
        <f>IFERROR(__xludf.DUMMYFUNCTION("""COMPUTED_VALUE"""),11.0)</f>
        <v>11</v>
      </c>
      <c r="N561" s="5">
        <f>IFERROR(__xludf.DUMMYFUNCTION("""COMPUTED_VALUE"""),7.0)</f>
        <v>7</v>
      </c>
      <c r="O561" s="5">
        <f>IFERROR(__xludf.DUMMYFUNCTION("""COMPUTED_VALUE"""),2005.0)</f>
        <v>2005</v>
      </c>
    </row>
    <row r="562">
      <c r="A562" s="1" t="s">
        <v>339</v>
      </c>
      <c r="B562" s="4">
        <v>52.0</v>
      </c>
      <c r="C562" s="1" t="s">
        <v>81</v>
      </c>
      <c r="D562" s="4">
        <v>6.0</v>
      </c>
      <c r="E562" s="4">
        <v>8.0</v>
      </c>
      <c r="F562" s="4">
        <v>3.0</v>
      </c>
      <c r="G562" s="4">
        <v>5.0</v>
      </c>
      <c r="H562" s="4">
        <v>0.0</v>
      </c>
      <c r="I562" s="4">
        <v>22.0</v>
      </c>
      <c r="J562" s="4">
        <v>21.0</v>
      </c>
      <c r="K562" s="4">
        <v>1.0</v>
      </c>
      <c r="L562" s="2" t="s">
        <v>323</v>
      </c>
      <c r="M562" s="5">
        <f>IFERROR(__xludf.DUMMYFUNCTION("""COMPUTED_VALUE"""),10.0)</f>
        <v>10</v>
      </c>
      <c r="N562" s="5">
        <f>IFERROR(__xludf.DUMMYFUNCTION("""COMPUTED_VALUE"""),12.0)</f>
        <v>12</v>
      </c>
      <c r="O562" s="5">
        <f>IFERROR(__xludf.DUMMYFUNCTION("""COMPUTED_VALUE"""),2001.0)</f>
        <v>2001</v>
      </c>
    </row>
    <row r="563">
      <c r="A563" s="1" t="s">
        <v>339</v>
      </c>
      <c r="B563" s="4">
        <v>53.0</v>
      </c>
      <c r="C563" s="1" t="s">
        <v>71</v>
      </c>
      <c r="D563" s="4">
        <v>6.0</v>
      </c>
      <c r="E563" s="4">
        <v>9.0</v>
      </c>
      <c r="F563" s="4">
        <v>3.0</v>
      </c>
      <c r="G563" s="4">
        <v>6.0</v>
      </c>
      <c r="H563" s="4">
        <v>0.0</v>
      </c>
      <c r="I563" s="4">
        <v>29.0</v>
      </c>
      <c r="J563" s="4">
        <v>36.0</v>
      </c>
      <c r="K563" s="4">
        <v>-7.0</v>
      </c>
      <c r="L563" s="2" t="s">
        <v>193</v>
      </c>
      <c r="M563" s="5">
        <f>IFERROR(__xludf.DUMMYFUNCTION("""COMPUTED_VALUE"""),7.0)</f>
        <v>7</v>
      </c>
      <c r="N563" s="5">
        <f>IFERROR(__xludf.DUMMYFUNCTION("""COMPUTED_VALUE"""),13.0)</f>
        <v>13</v>
      </c>
      <c r="O563" s="5">
        <f>IFERROR(__xludf.DUMMYFUNCTION("""COMPUTED_VALUE"""),2001.0)</f>
        <v>2001</v>
      </c>
    </row>
    <row r="564">
      <c r="A564" s="1" t="s">
        <v>339</v>
      </c>
      <c r="B564" s="4">
        <v>54.0</v>
      </c>
      <c r="C564" s="1" t="s">
        <v>121</v>
      </c>
      <c r="D564" s="4">
        <v>6.0</v>
      </c>
      <c r="E564" s="4">
        <v>7.0</v>
      </c>
      <c r="F564" s="4">
        <v>3.0</v>
      </c>
      <c r="G564" s="4">
        <v>4.0</v>
      </c>
      <c r="H564" s="4">
        <v>0.0</v>
      </c>
      <c r="I564" s="4">
        <v>16.0</v>
      </c>
      <c r="J564" s="4">
        <v>27.0</v>
      </c>
      <c r="K564" s="4">
        <v>-11.0</v>
      </c>
      <c r="L564" s="2" t="s">
        <v>198</v>
      </c>
      <c r="M564" s="5">
        <f>IFERROR(__xludf.DUMMYFUNCTION("""COMPUTED_VALUE"""),5.0)</f>
        <v>5</v>
      </c>
      <c r="N564" s="5">
        <f>IFERROR(__xludf.DUMMYFUNCTION("""COMPUTED_VALUE"""),15.0)</f>
        <v>15</v>
      </c>
      <c r="O564" s="5">
        <f>IFERROR(__xludf.DUMMYFUNCTION("""COMPUTED_VALUE"""),2001.0)</f>
        <v>2001</v>
      </c>
    </row>
    <row r="565">
      <c r="A565" s="1" t="s">
        <v>339</v>
      </c>
      <c r="B565" s="4">
        <v>55.0</v>
      </c>
      <c r="C565" s="1" t="s">
        <v>52</v>
      </c>
      <c r="D565" s="4">
        <v>6.0</v>
      </c>
      <c r="E565" s="4">
        <v>12.0</v>
      </c>
      <c r="F565" s="4">
        <v>3.0</v>
      </c>
      <c r="G565" s="4">
        <v>9.0</v>
      </c>
      <c r="H565" s="4">
        <v>0.0</v>
      </c>
      <c r="I565" s="4">
        <v>34.0</v>
      </c>
      <c r="J565" s="4">
        <v>45.0</v>
      </c>
      <c r="K565" s="4">
        <v>-11.0</v>
      </c>
      <c r="L565" s="2" t="s">
        <v>195</v>
      </c>
      <c r="M565" s="5">
        <f>IFERROR(__xludf.DUMMYFUNCTION("""COMPUTED_VALUE"""),8.0)</f>
        <v>8</v>
      </c>
      <c r="N565" s="5">
        <f>IFERROR(__xludf.DUMMYFUNCTION("""COMPUTED_VALUE"""),15.0)</f>
        <v>15</v>
      </c>
      <c r="O565" s="5">
        <f>IFERROR(__xludf.DUMMYFUNCTION("""COMPUTED_VALUE"""),2000.0)</f>
        <v>2000</v>
      </c>
    </row>
    <row r="566">
      <c r="A566" s="1" t="s">
        <v>339</v>
      </c>
      <c r="B566" s="4">
        <v>56.0</v>
      </c>
      <c r="C566" s="1" t="s">
        <v>46</v>
      </c>
      <c r="D566" s="4">
        <v>6.0</v>
      </c>
      <c r="E566" s="4">
        <v>10.0</v>
      </c>
      <c r="F566" s="4">
        <v>3.0</v>
      </c>
      <c r="G566" s="4">
        <v>7.0</v>
      </c>
      <c r="H566" s="4">
        <v>0.0</v>
      </c>
      <c r="I566" s="4">
        <v>29.0</v>
      </c>
      <c r="J566" s="4">
        <v>45.0</v>
      </c>
      <c r="K566" s="4">
        <v>-16.0</v>
      </c>
      <c r="L566" s="2" t="s">
        <v>190</v>
      </c>
      <c r="M566" s="5">
        <f>IFERROR(__xludf.DUMMYFUNCTION("""COMPUTED_VALUE"""),6.0)</f>
        <v>6</v>
      </c>
      <c r="N566" s="5">
        <f>IFERROR(__xludf.DUMMYFUNCTION("""COMPUTED_VALUE"""),14.0)</f>
        <v>14</v>
      </c>
      <c r="O566" s="5">
        <f>IFERROR(__xludf.DUMMYFUNCTION("""COMPUTED_VALUE"""),2000.0)</f>
        <v>2000</v>
      </c>
    </row>
    <row r="567">
      <c r="A567" s="1" t="s">
        <v>339</v>
      </c>
      <c r="B567" s="4">
        <v>57.0</v>
      </c>
      <c r="C567" s="1" t="s">
        <v>62</v>
      </c>
      <c r="D567" s="4">
        <v>5.0</v>
      </c>
      <c r="E567" s="4">
        <v>8.0</v>
      </c>
      <c r="F567" s="4">
        <v>2.0</v>
      </c>
      <c r="G567" s="4">
        <v>5.0</v>
      </c>
      <c r="H567" s="4">
        <v>1.0</v>
      </c>
      <c r="I567" s="4">
        <v>21.0</v>
      </c>
      <c r="J567" s="4">
        <v>25.0</v>
      </c>
      <c r="K567" s="4">
        <v>-4.0</v>
      </c>
      <c r="L567" s="2" t="s">
        <v>226</v>
      </c>
      <c r="M567" s="5">
        <f>IFERROR(__xludf.DUMMYFUNCTION("""COMPUTED_VALUE"""),8.0)</f>
        <v>8</v>
      </c>
      <c r="N567" s="5">
        <f>IFERROR(__xludf.DUMMYFUNCTION("""COMPUTED_VALUE"""),14.0)</f>
        <v>14</v>
      </c>
      <c r="O567" s="5">
        <f>IFERROR(__xludf.DUMMYFUNCTION("""COMPUTED_VALUE"""),2002.0)</f>
        <v>2002</v>
      </c>
    </row>
    <row r="568">
      <c r="A568" s="1" t="s">
        <v>339</v>
      </c>
      <c r="B568" s="4">
        <v>58.0</v>
      </c>
      <c r="C568" s="1" t="s">
        <v>116</v>
      </c>
      <c r="D568" s="4">
        <v>5.0</v>
      </c>
      <c r="E568" s="4">
        <v>7.0</v>
      </c>
      <c r="F568" s="4">
        <v>2.0</v>
      </c>
      <c r="G568" s="4">
        <v>4.0</v>
      </c>
      <c r="H568" s="4">
        <v>1.0</v>
      </c>
      <c r="I568" s="4">
        <v>18.0</v>
      </c>
      <c r="J568" s="4">
        <v>23.0</v>
      </c>
      <c r="K568" s="4">
        <v>-5.0</v>
      </c>
      <c r="L568" s="2" t="s">
        <v>355</v>
      </c>
      <c r="M568" s="5">
        <f>IFERROR(__xludf.DUMMYFUNCTION("""COMPUTED_VALUE"""),6.0)</f>
        <v>6</v>
      </c>
      <c r="N568" s="5">
        <f>IFERROR(__xludf.DUMMYFUNCTION("""COMPUTED_VALUE"""),15.0)</f>
        <v>15</v>
      </c>
      <c r="O568" s="5">
        <f>IFERROR(__xludf.DUMMYFUNCTION("""COMPUTED_VALUE"""),2002.0)</f>
        <v>2002</v>
      </c>
    </row>
    <row r="569">
      <c r="A569" s="1" t="s">
        <v>339</v>
      </c>
      <c r="B569" s="4">
        <v>59.0</v>
      </c>
      <c r="C569" s="1" t="s">
        <v>125</v>
      </c>
      <c r="D569" s="4">
        <v>4.0</v>
      </c>
      <c r="E569" s="4">
        <v>4.0</v>
      </c>
      <c r="F569" s="4">
        <v>2.0</v>
      </c>
      <c r="G569" s="4">
        <v>2.0</v>
      </c>
      <c r="H569" s="4">
        <v>0.0</v>
      </c>
      <c r="I569" s="4">
        <v>15.0</v>
      </c>
      <c r="J569" s="4">
        <v>13.0</v>
      </c>
      <c r="K569" s="4">
        <v>2.0</v>
      </c>
      <c r="L569" s="2" t="s">
        <v>342</v>
      </c>
      <c r="M569" s="5">
        <f>IFERROR(__xludf.DUMMYFUNCTION("""COMPUTED_VALUE"""),17.0)</f>
        <v>17</v>
      </c>
      <c r="N569" s="5">
        <f>IFERROR(__xludf.DUMMYFUNCTION("""COMPUTED_VALUE"""),4.0)</f>
        <v>4</v>
      </c>
      <c r="O569" s="5">
        <f>IFERROR(__xludf.DUMMYFUNCTION("""COMPUTED_VALUE"""),2.0)</f>
        <v>2</v>
      </c>
    </row>
    <row r="570">
      <c r="A570" s="1" t="s">
        <v>339</v>
      </c>
      <c r="B570" s="4">
        <v>60.0</v>
      </c>
      <c r="C570" s="1" t="s">
        <v>147</v>
      </c>
      <c r="D570" s="4">
        <v>4.0</v>
      </c>
      <c r="E570" s="4">
        <v>6.0</v>
      </c>
      <c r="F570" s="4">
        <v>2.0</v>
      </c>
      <c r="G570" s="4">
        <v>4.0</v>
      </c>
      <c r="H570" s="4">
        <v>0.0</v>
      </c>
      <c r="I570" s="4">
        <v>22.0</v>
      </c>
      <c r="J570" s="4">
        <v>22.0</v>
      </c>
      <c r="K570" s="4">
        <v>0.0</v>
      </c>
      <c r="L570" s="2" t="s">
        <v>109</v>
      </c>
      <c r="M570" s="5">
        <f>IFERROR(__xludf.DUMMYFUNCTION("""COMPUTED_VALUE"""),14.0)</f>
        <v>14</v>
      </c>
      <c r="N570" s="5">
        <f>IFERROR(__xludf.DUMMYFUNCTION("""COMPUTED_VALUE"""),9.0)</f>
        <v>9</v>
      </c>
      <c r="O570" s="5">
        <f>IFERROR(__xludf.DUMMYFUNCTION("""COMPUTED_VALUE"""),0.0)</f>
        <v>0</v>
      </c>
    </row>
    <row r="571">
      <c r="A571" s="1" t="s">
        <v>339</v>
      </c>
      <c r="B571" s="4">
        <v>61.0</v>
      </c>
      <c r="C571" s="1" t="s">
        <v>108</v>
      </c>
      <c r="D571" s="4">
        <v>4.0</v>
      </c>
      <c r="E571" s="4">
        <v>4.0</v>
      </c>
      <c r="F571" s="4">
        <v>2.0</v>
      </c>
      <c r="G571" s="4">
        <v>2.0</v>
      </c>
      <c r="H571" s="4">
        <v>0.0</v>
      </c>
      <c r="I571" s="4">
        <v>14.0</v>
      </c>
      <c r="J571" s="4">
        <v>19.0</v>
      </c>
      <c r="K571" s="4">
        <v>-5.0</v>
      </c>
      <c r="L571" s="2" t="s">
        <v>139</v>
      </c>
      <c r="M571" s="5">
        <f>IFERROR(__xludf.DUMMYFUNCTION("""COMPUTED_VALUE"""),6.0)</f>
        <v>6</v>
      </c>
      <c r="N571" s="5">
        <f>IFERROR(__xludf.DUMMYFUNCTION("""COMPUTED_VALUE"""),18.0)</f>
        <v>18</v>
      </c>
      <c r="O571" s="5">
        <f>IFERROR(__xludf.DUMMYFUNCTION("""COMPUTED_VALUE"""),2000.0)</f>
        <v>2000</v>
      </c>
    </row>
    <row r="572">
      <c r="A572" s="1" t="s">
        <v>339</v>
      </c>
      <c r="B572" s="4">
        <v>62.0</v>
      </c>
      <c r="C572" s="1" t="s">
        <v>77</v>
      </c>
      <c r="D572" s="4">
        <v>4.0</v>
      </c>
      <c r="E572" s="4">
        <v>6.0</v>
      </c>
      <c r="F572" s="4">
        <v>2.0</v>
      </c>
      <c r="G572" s="4">
        <v>4.0</v>
      </c>
      <c r="H572" s="4">
        <v>0.0</v>
      </c>
      <c r="I572" s="4">
        <v>25.0</v>
      </c>
      <c r="J572" s="4">
        <v>41.0</v>
      </c>
      <c r="K572" s="4">
        <v>-16.0</v>
      </c>
      <c r="L572" s="2" t="s">
        <v>356</v>
      </c>
      <c r="M572" s="5">
        <f>IFERROR(__xludf.DUMMYFUNCTION("""COMPUTED_VALUE"""),4.0)</f>
        <v>4</v>
      </c>
      <c r="N572" s="5">
        <f>IFERROR(__xludf.DUMMYFUNCTION("""COMPUTED_VALUE"""),16.0)</f>
        <v>16</v>
      </c>
      <c r="O572" s="5">
        <f>IFERROR(__xludf.DUMMYFUNCTION("""COMPUTED_VALUE"""),2000.0)</f>
        <v>2000</v>
      </c>
    </row>
    <row r="573">
      <c r="A573" s="1" t="s">
        <v>339</v>
      </c>
      <c r="B573" s="4">
        <v>63.0</v>
      </c>
      <c r="C573" s="1" t="s">
        <v>105</v>
      </c>
      <c r="D573" s="4">
        <v>4.0</v>
      </c>
      <c r="E573" s="4">
        <v>9.0</v>
      </c>
      <c r="F573" s="4">
        <v>2.0</v>
      </c>
      <c r="G573" s="4">
        <v>7.0</v>
      </c>
      <c r="H573" s="4">
        <v>0.0</v>
      </c>
      <c r="I573" s="4">
        <v>29.0</v>
      </c>
      <c r="J573" s="4">
        <v>47.0</v>
      </c>
      <c r="K573" s="4">
        <v>-18.0</v>
      </c>
      <c r="L573" s="2" t="s">
        <v>219</v>
      </c>
      <c r="M573" s="5">
        <f>IFERROR(__xludf.DUMMYFUNCTION("""COMPUTED_VALUE"""),11.0)</f>
        <v>11</v>
      </c>
      <c r="N573" s="5">
        <f>IFERROR(__xludf.DUMMYFUNCTION("""COMPUTED_VALUE"""),12.0)</f>
        <v>12</v>
      </c>
      <c r="O573" s="5">
        <f>IFERROR(__xludf.DUMMYFUNCTION("""COMPUTED_VALUE"""),2000.0)</f>
        <v>2000</v>
      </c>
    </row>
    <row r="574">
      <c r="A574" s="1" t="s">
        <v>339</v>
      </c>
      <c r="B574" s="4">
        <v>64.0</v>
      </c>
      <c r="C574" s="1" t="s">
        <v>48</v>
      </c>
      <c r="D574" s="4">
        <v>4.0</v>
      </c>
      <c r="E574" s="4">
        <v>11.0</v>
      </c>
      <c r="F574" s="4">
        <v>2.0</v>
      </c>
      <c r="G574" s="4">
        <v>9.0</v>
      </c>
      <c r="H574" s="4">
        <v>0.0</v>
      </c>
      <c r="I574" s="4">
        <v>21.0</v>
      </c>
      <c r="J574" s="4">
        <v>46.0</v>
      </c>
      <c r="K574" s="4">
        <v>-25.0</v>
      </c>
      <c r="L574" s="2" t="s">
        <v>195</v>
      </c>
      <c r="M574" s="5">
        <f>IFERROR(__xludf.DUMMYFUNCTION("""COMPUTED_VALUE"""),8.0)</f>
        <v>8</v>
      </c>
      <c r="N574" s="5">
        <f>IFERROR(__xludf.DUMMYFUNCTION("""COMPUTED_VALUE"""),15.0)</f>
        <v>15</v>
      </c>
      <c r="O574" s="5">
        <f>IFERROR(__xludf.DUMMYFUNCTION("""COMPUTED_VALUE"""),2000.0)</f>
        <v>2000</v>
      </c>
    </row>
    <row r="575">
      <c r="A575" s="1" t="s">
        <v>339</v>
      </c>
      <c r="B575" s="4">
        <v>65.0</v>
      </c>
      <c r="C575" s="1" t="s">
        <v>69</v>
      </c>
      <c r="D575" s="4">
        <v>4.0</v>
      </c>
      <c r="E575" s="4">
        <v>8.0</v>
      </c>
      <c r="F575" s="4">
        <v>2.0</v>
      </c>
      <c r="G575" s="4">
        <v>6.0</v>
      </c>
      <c r="H575" s="4">
        <v>0.0</v>
      </c>
      <c r="I575" s="4">
        <v>17.0</v>
      </c>
      <c r="J575" s="4">
        <v>45.0</v>
      </c>
      <c r="K575" s="4">
        <v>-28.0</v>
      </c>
      <c r="L575" s="2" t="s">
        <v>229</v>
      </c>
      <c r="M575" s="5">
        <f>IFERROR(__xludf.DUMMYFUNCTION("""COMPUTED_VALUE"""),6.0)</f>
        <v>6</v>
      </c>
      <c r="N575" s="5">
        <f>IFERROR(__xludf.DUMMYFUNCTION("""COMPUTED_VALUE"""),17.0)</f>
        <v>17</v>
      </c>
      <c r="O575" s="5">
        <f>IFERROR(__xludf.DUMMYFUNCTION("""COMPUTED_VALUE"""),2000.0)</f>
        <v>2000</v>
      </c>
    </row>
    <row r="576">
      <c r="A576" s="1" t="s">
        <v>339</v>
      </c>
      <c r="B576" s="4">
        <v>66.0</v>
      </c>
      <c r="C576" s="1" t="s">
        <v>123</v>
      </c>
      <c r="D576" s="4">
        <v>4.0</v>
      </c>
      <c r="E576" s="4">
        <v>10.0</v>
      </c>
      <c r="F576" s="4">
        <v>2.0</v>
      </c>
      <c r="G576" s="4">
        <v>8.0</v>
      </c>
      <c r="H576" s="4">
        <v>0.0</v>
      </c>
      <c r="I576" s="4">
        <v>18.0</v>
      </c>
      <c r="J576" s="4">
        <v>53.0</v>
      </c>
      <c r="K576" s="4">
        <v>-35.0</v>
      </c>
      <c r="L576" s="2" t="s">
        <v>356</v>
      </c>
      <c r="M576" s="5">
        <f>IFERROR(__xludf.DUMMYFUNCTION("""COMPUTED_VALUE"""),4.0)</f>
        <v>4</v>
      </c>
      <c r="N576" s="5">
        <f>IFERROR(__xludf.DUMMYFUNCTION("""COMPUTED_VALUE"""),16.0)</f>
        <v>16</v>
      </c>
      <c r="O576" s="5">
        <f>IFERROR(__xludf.DUMMYFUNCTION("""COMPUTED_VALUE"""),2000.0)</f>
        <v>2000</v>
      </c>
    </row>
    <row r="577">
      <c r="A577" s="1" t="s">
        <v>339</v>
      </c>
      <c r="B577" s="4">
        <v>67.0</v>
      </c>
      <c r="C577" s="1" t="s">
        <v>146</v>
      </c>
      <c r="D577" s="4">
        <v>4.0</v>
      </c>
      <c r="E577" s="4">
        <v>13.0</v>
      </c>
      <c r="F577" s="4">
        <v>2.0</v>
      </c>
      <c r="G577" s="4">
        <v>11.0</v>
      </c>
      <c r="H577" s="4">
        <v>0.0</v>
      </c>
      <c r="I577" s="4">
        <v>17.0</v>
      </c>
      <c r="J577" s="4">
        <v>89.0</v>
      </c>
      <c r="K577" s="4">
        <v>-72.0</v>
      </c>
      <c r="L577" s="2" t="s">
        <v>228</v>
      </c>
      <c r="M577" s="5">
        <f>IFERROR(__xludf.DUMMYFUNCTION("""COMPUTED_VALUE"""),5.0)</f>
        <v>5</v>
      </c>
      <c r="N577" s="5">
        <f>IFERROR(__xludf.DUMMYFUNCTION("""COMPUTED_VALUE"""),17.0)</f>
        <v>17</v>
      </c>
      <c r="O577" s="5">
        <f>IFERROR(__xludf.DUMMYFUNCTION("""COMPUTED_VALUE"""),2000.0)</f>
        <v>2000</v>
      </c>
    </row>
    <row r="578">
      <c r="A578" s="1" t="s">
        <v>339</v>
      </c>
      <c r="B578" s="4">
        <v>68.0</v>
      </c>
      <c r="C578" s="1" t="s">
        <v>128</v>
      </c>
      <c r="D578" s="4">
        <v>3.0</v>
      </c>
      <c r="E578" s="4">
        <v>8.0</v>
      </c>
      <c r="F578" s="4">
        <v>1.0</v>
      </c>
      <c r="G578" s="4">
        <v>6.0</v>
      </c>
      <c r="H578" s="4">
        <v>1.0</v>
      </c>
      <c r="I578" s="4">
        <v>14.0</v>
      </c>
      <c r="J578" s="4">
        <v>37.0</v>
      </c>
      <c r="K578" s="4">
        <v>-23.0</v>
      </c>
      <c r="L578" s="2" t="s">
        <v>179</v>
      </c>
      <c r="M578" s="5">
        <f>IFERROR(__xludf.DUMMYFUNCTION("""COMPUTED_VALUE"""),10.0)</f>
        <v>10</v>
      </c>
      <c r="N578" s="5">
        <f>IFERROR(__xludf.DUMMYFUNCTION("""COMPUTED_VALUE"""),13.0)</f>
        <v>13</v>
      </c>
      <c r="O578" s="5">
        <f>IFERROR(__xludf.DUMMYFUNCTION("""COMPUTED_VALUE"""),2001.0)</f>
        <v>2001</v>
      </c>
    </row>
    <row r="579">
      <c r="A579" s="1" t="s">
        <v>339</v>
      </c>
      <c r="B579" s="4">
        <v>69.0</v>
      </c>
      <c r="C579" s="1" t="s">
        <v>113</v>
      </c>
      <c r="D579" s="4">
        <v>2.0</v>
      </c>
      <c r="E579" s="4">
        <v>8.0</v>
      </c>
      <c r="F579" s="4">
        <v>1.0</v>
      </c>
      <c r="G579" s="4">
        <v>7.0</v>
      </c>
      <c r="H579" s="4">
        <v>0.0</v>
      </c>
      <c r="I579" s="4">
        <v>19.0</v>
      </c>
      <c r="J579" s="4">
        <v>41.0</v>
      </c>
      <c r="K579" s="4">
        <v>-22.0</v>
      </c>
      <c r="L579" s="2" t="s">
        <v>118</v>
      </c>
      <c r="M579" s="5">
        <f>IFERROR(__xludf.DUMMYFUNCTION("""COMPUTED_VALUE"""),9.0)</f>
        <v>9</v>
      </c>
      <c r="N579" s="5">
        <f>IFERROR(__xludf.DUMMYFUNCTION("""COMPUTED_VALUE"""),15.0)</f>
        <v>15</v>
      </c>
      <c r="O579" s="5">
        <f>IFERROR(__xludf.DUMMYFUNCTION("""COMPUTED_VALUE"""),2000.0)</f>
        <v>2000</v>
      </c>
    </row>
    <row r="580">
      <c r="A580" s="1" t="s">
        <v>339</v>
      </c>
      <c r="B580" s="4">
        <v>70.0</v>
      </c>
      <c r="C580" s="1" t="s">
        <v>137</v>
      </c>
      <c r="D580" s="4">
        <v>2.0</v>
      </c>
      <c r="E580" s="4">
        <v>12.0</v>
      </c>
      <c r="F580" s="4">
        <v>1.0</v>
      </c>
      <c r="G580" s="4">
        <v>11.0</v>
      </c>
      <c r="H580" s="4">
        <v>0.0</v>
      </c>
      <c r="I580" s="4">
        <v>18.0</v>
      </c>
      <c r="J580" s="4">
        <v>66.0</v>
      </c>
      <c r="K580" s="4">
        <v>-48.0</v>
      </c>
      <c r="L580" s="2" t="s">
        <v>120</v>
      </c>
      <c r="M580" s="5">
        <f>IFERROR(__xludf.DUMMYFUNCTION("""COMPUTED_VALUE"""),7.0)</f>
        <v>7</v>
      </c>
      <c r="N580" s="5">
        <f>IFERROR(__xludf.DUMMYFUNCTION("""COMPUTED_VALUE"""),16.0)</f>
        <v>16</v>
      </c>
      <c r="O580" s="5">
        <f>IFERROR(__xludf.DUMMYFUNCTION("""COMPUTED_VALUE"""),2000.0)</f>
        <v>2000</v>
      </c>
    </row>
    <row r="581">
      <c r="A581" s="1" t="s">
        <v>339</v>
      </c>
      <c r="B581" s="4">
        <v>71.0</v>
      </c>
      <c r="C581" s="1" t="s">
        <v>110</v>
      </c>
      <c r="D581" s="4">
        <v>0.0</v>
      </c>
      <c r="E581" s="4">
        <v>0.0</v>
      </c>
      <c r="F581" s="4">
        <v>0.0</v>
      </c>
      <c r="G581" s="4">
        <v>0.0</v>
      </c>
      <c r="H581" s="4">
        <v>0.0</v>
      </c>
      <c r="I581" s="4">
        <v>0.0</v>
      </c>
      <c r="J581" s="4">
        <v>0.0</v>
      </c>
      <c r="K581" s="4">
        <v>0.0</v>
      </c>
      <c r="L581" s="2" t="s">
        <v>357</v>
      </c>
      <c r="M581" s="5">
        <f>IFERROR(__xludf.DUMMYFUNCTION("""COMPUTED_VALUE"""),6.0)</f>
        <v>6</v>
      </c>
      <c r="N581" s="5">
        <f>IFERROR(__xludf.DUMMYFUNCTION("""COMPUTED_VALUE"""),8.0)</f>
        <v>8</v>
      </c>
      <c r="O581" s="5">
        <f>IFERROR(__xludf.DUMMYFUNCTION("""COMPUTED_VALUE"""),2000.0)</f>
        <v>2000</v>
      </c>
    </row>
    <row r="582">
      <c r="A582" s="1" t="s">
        <v>339</v>
      </c>
      <c r="B582" s="4">
        <v>72.0</v>
      </c>
      <c r="C582" s="1" t="s">
        <v>142</v>
      </c>
      <c r="D582" s="4">
        <v>0.0</v>
      </c>
      <c r="E582" s="4">
        <v>0.0</v>
      </c>
      <c r="F582" s="4">
        <v>0.0</v>
      </c>
      <c r="G582" s="4">
        <v>0.0</v>
      </c>
      <c r="H582" s="4">
        <v>0.0</v>
      </c>
      <c r="I582" s="4">
        <v>0.0</v>
      </c>
      <c r="J582" s="4">
        <v>0.0</v>
      </c>
      <c r="K582" s="4">
        <v>0.0</v>
      </c>
      <c r="L582" s="2" t="s">
        <v>358</v>
      </c>
      <c r="M582" s="5">
        <f>IFERROR(__xludf.DUMMYFUNCTION("""COMPUTED_VALUE"""),16.0)</f>
        <v>16</v>
      </c>
      <c r="N582" s="5">
        <f>IFERROR(__xludf.DUMMYFUNCTION("""COMPUTED_VALUE"""),6.0)</f>
        <v>6</v>
      </c>
      <c r="O582" s="5">
        <f>IFERROR(__xludf.DUMMYFUNCTION("""COMPUTED_VALUE"""),0.0)</f>
        <v>0</v>
      </c>
    </row>
    <row r="583">
      <c r="A583" s="1" t="s">
        <v>339</v>
      </c>
      <c r="B583" s="4">
        <v>73.0</v>
      </c>
      <c r="C583" s="1" t="s">
        <v>126</v>
      </c>
      <c r="D583" s="4">
        <v>0.0</v>
      </c>
      <c r="E583" s="4">
        <v>4.0</v>
      </c>
      <c r="F583" s="4">
        <v>0.0</v>
      </c>
      <c r="G583" s="4">
        <v>4.0</v>
      </c>
      <c r="H583" s="4">
        <v>0.0</v>
      </c>
      <c r="I583" s="4">
        <v>3.0</v>
      </c>
      <c r="J583" s="4">
        <v>22.0</v>
      </c>
      <c r="K583" s="4">
        <v>-19.0</v>
      </c>
      <c r="L583" s="2" t="s">
        <v>359</v>
      </c>
      <c r="M583" s="5">
        <f>IFERROR(__xludf.DUMMYFUNCTION("""COMPUTED_VALUE"""),1.0)</f>
        <v>1</v>
      </c>
      <c r="N583" s="5">
        <f>IFERROR(__xludf.DUMMYFUNCTION("""COMPUTED_VALUE"""),20.0)</f>
        <v>20</v>
      </c>
      <c r="O583" s="5">
        <f>IFERROR(__xludf.DUMMYFUNCTION("""COMPUTED_VALUE"""),2000.0)</f>
        <v>2000</v>
      </c>
    </row>
    <row r="584">
      <c r="A584" s="1" t="s">
        <v>339</v>
      </c>
      <c r="B584" s="4">
        <v>74.0</v>
      </c>
      <c r="C584" s="1" t="s">
        <v>130</v>
      </c>
      <c r="D584" s="4">
        <v>0.0</v>
      </c>
      <c r="E584" s="4">
        <v>4.0</v>
      </c>
      <c r="F584" s="4">
        <v>0.0</v>
      </c>
      <c r="G584" s="4">
        <v>4.0</v>
      </c>
      <c r="H584" s="4">
        <v>0.0</v>
      </c>
      <c r="I584" s="4">
        <v>5.0</v>
      </c>
      <c r="J584" s="4">
        <v>29.0</v>
      </c>
      <c r="K584" s="4">
        <v>-24.0</v>
      </c>
      <c r="L584" s="2" t="s">
        <v>23</v>
      </c>
      <c r="M584" s="5">
        <f>IFERROR(__xludf.DUMMYFUNCTION("""COMPUTED_VALUE"""),14.0)</f>
        <v>14</v>
      </c>
      <c r="N584" s="5">
        <f>IFERROR(__xludf.DUMMYFUNCTION("""COMPUTED_VALUE"""),10.0)</f>
        <v>10</v>
      </c>
      <c r="O584" s="5">
        <f>IFERROR(__xludf.DUMMYFUNCTION("""COMPUTED_VALUE"""),0.0)</f>
        <v>0</v>
      </c>
    </row>
    <row r="585">
      <c r="A585" s="1" t="s">
        <v>339</v>
      </c>
      <c r="B585" s="4">
        <v>75.0</v>
      </c>
      <c r="C585" s="1" t="s">
        <v>141</v>
      </c>
      <c r="D585" s="4">
        <v>0.0</v>
      </c>
      <c r="E585" s="4">
        <v>6.0</v>
      </c>
      <c r="F585" s="4">
        <v>0.0</v>
      </c>
      <c r="G585" s="4">
        <v>6.0</v>
      </c>
      <c r="H585" s="4">
        <v>0.0</v>
      </c>
      <c r="I585" s="4">
        <v>10.0</v>
      </c>
      <c r="J585" s="4">
        <v>40.0</v>
      </c>
      <c r="K585" s="4">
        <v>-30.0</v>
      </c>
      <c r="L585" s="2" t="s">
        <v>334</v>
      </c>
      <c r="M585" s="5">
        <f>IFERROR(__xludf.DUMMYFUNCTION("""COMPUTED_VALUE"""),3.0)</f>
        <v>3</v>
      </c>
      <c r="N585" s="5">
        <f>IFERROR(__xludf.DUMMYFUNCTION("""COMPUTED_VALUE"""),20.0)</f>
        <v>20</v>
      </c>
      <c r="O585" s="5">
        <f>IFERROR(__xludf.DUMMYFUNCTION("""COMPUTED_VALUE"""),2000.0)</f>
        <v>2000</v>
      </c>
    </row>
    <row r="586">
      <c r="A586" s="1" t="s">
        <v>339</v>
      </c>
      <c r="B586" s="4">
        <v>76.0</v>
      </c>
      <c r="C586" s="1" t="s">
        <v>159</v>
      </c>
      <c r="D586" s="4">
        <v>0.0</v>
      </c>
      <c r="E586" s="4">
        <v>8.0</v>
      </c>
      <c r="F586" s="4">
        <v>0.0</v>
      </c>
      <c r="G586" s="4">
        <v>8.0</v>
      </c>
      <c r="H586" s="4">
        <v>0.0</v>
      </c>
      <c r="I586" s="4">
        <v>11.0</v>
      </c>
      <c r="J586" s="4">
        <v>46.0</v>
      </c>
      <c r="K586" s="4">
        <v>-35.0</v>
      </c>
      <c r="L586" s="2" t="s">
        <v>192</v>
      </c>
      <c r="M586" s="5">
        <f>IFERROR(__xludf.DUMMYFUNCTION("""COMPUTED_VALUE"""),4.0)</f>
        <v>4</v>
      </c>
      <c r="N586" s="5">
        <f>IFERROR(__xludf.DUMMYFUNCTION("""COMPUTED_VALUE"""),18.0)</f>
        <v>18</v>
      </c>
      <c r="O586" s="5">
        <f>IFERROR(__xludf.DUMMYFUNCTION("""COMPUTED_VALUE"""),2001.0)</f>
        <v>2001</v>
      </c>
    </row>
    <row r="587">
      <c r="A587" s="1" t="s">
        <v>339</v>
      </c>
      <c r="B587" s="4">
        <v>77.0</v>
      </c>
      <c r="C587" s="1" t="s">
        <v>85</v>
      </c>
      <c r="D587" s="4">
        <v>0.0</v>
      </c>
      <c r="E587" s="4">
        <v>8.0</v>
      </c>
      <c r="F587" s="4">
        <v>0.0</v>
      </c>
      <c r="G587" s="4">
        <v>8.0</v>
      </c>
      <c r="H587" s="4">
        <v>0.0</v>
      </c>
      <c r="I587" s="4">
        <v>15.0</v>
      </c>
      <c r="J587" s="4">
        <v>54.0</v>
      </c>
      <c r="K587" s="4">
        <v>-39.0</v>
      </c>
      <c r="L587" s="2" t="s">
        <v>100</v>
      </c>
      <c r="M587" s="5">
        <f>IFERROR(__xludf.DUMMYFUNCTION("""COMPUTED_VALUE"""),7.0)</f>
        <v>7</v>
      </c>
      <c r="N587" s="5">
        <f>IFERROR(__xludf.DUMMYFUNCTION("""COMPUTED_VALUE"""),15.0)</f>
        <v>15</v>
      </c>
      <c r="O587" s="5">
        <f>IFERROR(__xludf.DUMMYFUNCTION("""COMPUTED_VALUE"""),2000.0)</f>
        <v>2000</v>
      </c>
    </row>
    <row r="588">
      <c r="A588" s="1" t="s">
        <v>339</v>
      </c>
      <c r="B588" s="4">
        <v>78.0</v>
      </c>
      <c r="C588" s="1" t="s">
        <v>119</v>
      </c>
      <c r="D588" s="4">
        <v>0.0</v>
      </c>
      <c r="E588" s="4">
        <v>10.0</v>
      </c>
      <c r="F588" s="4">
        <v>0.0</v>
      </c>
      <c r="G588" s="4">
        <v>10.0</v>
      </c>
      <c r="H588" s="4">
        <v>0.0</v>
      </c>
      <c r="I588" s="4">
        <v>14.0</v>
      </c>
      <c r="J588" s="4">
        <v>57.0</v>
      </c>
      <c r="K588" s="4">
        <v>-43.0</v>
      </c>
      <c r="L588" s="2" t="s">
        <v>236</v>
      </c>
      <c r="M588" s="5">
        <f>IFERROR(__xludf.DUMMYFUNCTION("""COMPUTED_VALUE"""),4.0)</f>
        <v>4</v>
      </c>
      <c r="N588" s="5">
        <f>IFERROR(__xludf.DUMMYFUNCTION("""COMPUTED_VALUE"""),18.0)</f>
        <v>18</v>
      </c>
      <c r="O588" s="5">
        <f>IFERROR(__xludf.DUMMYFUNCTION("""COMPUTED_VALUE"""),2000.0)</f>
        <v>2000</v>
      </c>
    </row>
    <row r="589">
      <c r="A589" s="1" t="s">
        <v>339</v>
      </c>
      <c r="B589" s="4">
        <v>79.0</v>
      </c>
      <c r="C589" s="1" t="s">
        <v>150</v>
      </c>
      <c r="D589" s="4">
        <v>0.0</v>
      </c>
      <c r="E589" s="4">
        <v>5.0</v>
      </c>
      <c r="F589" s="4">
        <v>0.0</v>
      </c>
      <c r="G589" s="4">
        <v>5.0</v>
      </c>
      <c r="H589" s="4">
        <v>0.0</v>
      </c>
      <c r="I589" s="4">
        <v>8.0</v>
      </c>
      <c r="J589" s="4">
        <v>57.0</v>
      </c>
      <c r="K589" s="4">
        <v>-49.0</v>
      </c>
      <c r="L589" s="2" t="s">
        <v>360</v>
      </c>
      <c r="M589" s="5">
        <f>IFERROR(__xludf.DUMMYFUNCTION("""COMPUTED_VALUE"""),1.0)</f>
        <v>1</v>
      </c>
      <c r="N589" s="5">
        <f>IFERROR(__xludf.DUMMYFUNCTION("""COMPUTED_VALUE"""),16.0)</f>
        <v>16</v>
      </c>
      <c r="O589" s="5">
        <f>IFERROR(__xludf.DUMMYFUNCTION("""COMPUTED_VALUE"""),2000.0)</f>
        <v>2000</v>
      </c>
    </row>
    <row r="590">
      <c r="A590" s="1" t="s">
        <v>339</v>
      </c>
      <c r="B590" s="4">
        <v>80.0</v>
      </c>
      <c r="C590" s="1" t="s">
        <v>135</v>
      </c>
      <c r="D590" s="4">
        <v>0.0</v>
      </c>
      <c r="E590" s="4">
        <v>11.0</v>
      </c>
      <c r="F590" s="4">
        <v>0.0</v>
      </c>
      <c r="G590" s="4">
        <v>11.0</v>
      </c>
      <c r="H590" s="4">
        <v>0.0</v>
      </c>
      <c r="I590" s="4">
        <v>16.0</v>
      </c>
      <c r="J590" s="4">
        <v>77.0</v>
      </c>
      <c r="K590" s="4">
        <v>-61.0</v>
      </c>
      <c r="L590" s="2" t="s">
        <v>196</v>
      </c>
      <c r="M590" s="5">
        <f>IFERROR(__xludf.DUMMYFUNCTION("""COMPUTED_VALUE"""),3.0)</f>
        <v>3</v>
      </c>
      <c r="N590" s="5">
        <f>IFERROR(__xludf.DUMMYFUNCTION("""COMPUTED_VALUE"""),19.0)</f>
        <v>19</v>
      </c>
      <c r="O590" s="5">
        <f>IFERROR(__xludf.DUMMYFUNCTION("""COMPUTED_VALUE"""),2000.0)</f>
        <v>2000</v>
      </c>
    </row>
    <row r="591">
      <c r="A591" s="1" t="s">
        <v>339</v>
      </c>
      <c r="B591" s="4">
        <v>81.0</v>
      </c>
      <c r="C591" s="1" t="s">
        <v>138</v>
      </c>
      <c r="D591" s="4">
        <v>0.0</v>
      </c>
      <c r="E591" s="4">
        <v>11.0</v>
      </c>
      <c r="F591" s="4">
        <v>0.0</v>
      </c>
      <c r="G591" s="4">
        <v>11.0</v>
      </c>
      <c r="H591" s="4">
        <v>0.0</v>
      </c>
      <c r="I591" s="4">
        <v>20.0</v>
      </c>
      <c r="J591" s="4">
        <v>82.0</v>
      </c>
      <c r="K591" s="4">
        <v>-62.0</v>
      </c>
      <c r="L591" s="2" t="s">
        <v>187</v>
      </c>
      <c r="M591" s="5">
        <f>IFERROR(__xludf.DUMMYFUNCTION("""COMPUTED_VALUE"""),6.0)</f>
        <v>6</v>
      </c>
      <c r="N591" s="5">
        <f>IFERROR(__xludf.DUMMYFUNCTION("""COMPUTED_VALUE"""),16.0)</f>
        <v>16</v>
      </c>
      <c r="O591" s="5">
        <f>IFERROR(__xludf.DUMMYFUNCTION("""COMPUTED_VALUE"""),2000.0)</f>
        <v>2000</v>
      </c>
    </row>
    <row r="592">
      <c r="A592" s="1" t="s">
        <v>339</v>
      </c>
      <c r="B592" s="4">
        <v>82.0</v>
      </c>
      <c r="C592" s="1" t="s">
        <v>103</v>
      </c>
      <c r="D592" s="4">
        <v>0.0</v>
      </c>
      <c r="E592" s="4">
        <v>8.0</v>
      </c>
      <c r="F592" s="4">
        <v>0.0</v>
      </c>
      <c r="G592" s="4">
        <v>8.0</v>
      </c>
      <c r="H592" s="4">
        <v>0.0</v>
      </c>
      <c r="I592" s="4">
        <v>5.0</v>
      </c>
      <c r="J592" s="4">
        <v>72.0</v>
      </c>
      <c r="K592" s="4">
        <v>-67.0</v>
      </c>
      <c r="L592" s="2" t="s">
        <v>361</v>
      </c>
      <c r="M592" s="5">
        <f>IFERROR(__xludf.DUMMYFUNCTION("""COMPUTED_VALUE"""),1.0)</f>
        <v>1</v>
      </c>
      <c r="N592" s="5">
        <f>IFERROR(__xludf.DUMMYFUNCTION("""COMPUTED_VALUE"""),18.0)</f>
        <v>18</v>
      </c>
      <c r="O592" s="5">
        <f>IFERROR(__xludf.DUMMYFUNCTION("""COMPUTED_VALUE"""),2001.0)</f>
        <v>2001</v>
      </c>
    </row>
    <row r="593">
      <c r="A593" s="1" t="s">
        <v>339</v>
      </c>
      <c r="B593" s="4">
        <v>83.0</v>
      </c>
      <c r="C593" s="1" t="s">
        <v>140</v>
      </c>
      <c r="D593" s="4">
        <v>0.0</v>
      </c>
      <c r="E593" s="4">
        <v>10.0</v>
      </c>
      <c r="F593" s="4">
        <v>0.0</v>
      </c>
      <c r="G593" s="4">
        <v>10.0</v>
      </c>
      <c r="H593" s="4">
        <v>0.0</v>
      </c>
      <c r="I593" s="4">
        <v>11.0</v>
      </c>
      <c r="J593" s="4">
        <v>79.0</v>
      </c>
      <c r="K593" s="4">
        <v>-68.0</v>
      </c>
      <c r="L593" s="2" t="s">
        <v>356</v>
      </c>
      <c r="M593" s="5">
        <f>IFERROR(__xludf.DUMMYFUNCTION("""COMPUTED_VALUE"""),4.0)</f>
        <v>4</v>
      </c>
      <c r="N593" s="5">
        <f>IFERROR(__xludf.DUMMYFUNCTION("""COMPUTED_VALUE"""),16.0)</f>
        <v>16</v>
      </c>
      <c r="O593" s="5">
        <f>IFERROR(__xludf.DUMMYFUNCTION("""COMPUTED_VALUE"""),2000.0)</f>
        <v>2000</v>
      </c>
    </row>
    <row r="594">
      <c r="A594" s="1" t="s">
        <v>339</v>
      </c>
      <c r="B594" s="4">
        <v>84.0</v>
      </c>
      <c r="C594" s="1" t="s">
        <v>233</v>
      </c>
      <c r="D594" s="4">
        <v>0.0</v>
      </c>
      <c r="E594" s="4">
        <v>13.0</v>
      </c>
      <c r="F594" s="4">
        <v>0.0</v>
      </c>
      <c r="G594" s="4">
        <v>13.0</v>
      </c>
      <c r="H594" s="4">
        <v>0.0</v>
      </c>
      <c r="I594" s="4">
        <v>9.0</v>
      </c>
      <c r="J594" s="4">
        <v>108.0</v>
      </c>
      <c r="K594" s="4">
        <v>-99.0</v>
      </c>
      <c r="L594" s="2" t="s">
        <v>196</v>
      </c>
      <c r="M594" s="5">
        <f>IFERROR(__xludf.DUMMYFUNCTION("""COMPUTED_VALUE"""),3.0)</f>
        <v>3</v>
      </c>
      <c r="N594" s="5">
        <f>IFERROR(__xludf.DUMMYFUNCTION("""COMPUTED_VALUE"""),19.0)</f>
        <v>19</v>
      </c>
      <c r="O594" s="5">
        <f>IFERROR(__xludf.DUMMYFUNCTION("""COMPUTED_VALUE"""),2000.0)</f>
        <v>2000</v>
      </c>
    </row>
    <row r="595">
      <c r="A595" s="1" t="s">
        <v>362</v>
      </c>
      <c r="B595" s="4">
        <v>1.0</v>
      </c>
      <c r="C595" s="1" t="s">
        <v>24</v>
      </c>
      <c r="D595" s="4">
        <v>25.0</v>
      </c>
      <c r="E595" s="4">
        <v>14.0</v>
      </c>
      <c r="F595" s="4">
        <v>12.0</v>
      </c>
      <c r="G595" s="4">
        <v>1.0</v>
      </c>
      <c r="H595" s="4">
        <v>1.0</v>
      </c>
      <c r="I595" s="4">
        <v>86.0</v>
      </c>
      <c r="J595" s="4">
        <v>30.0</v>
      </c>
      <c r="K595" s="4">
        <v>56.0</v>
      </c>
      <c r="L595" s="2" t="s">
        <v>363</v>
      </c>
      <c r="M595" s="5">
        <f>IFERROR(__xludf.DUMMYFUNCTION("""COMPUTED_VALUE"""),17.0)</f>
        <v>17</v>
      </c>
      <c r="N595" s="5">
        <f>IFERROR(__xludf.DUMMYFUNCTION("""COMPUTED_VALUE"""),3.0)</f>
        <v>3</v>
      </c>
      <c r="O595" s="5">
        <f>IFERROR(__xludf.DUMMYFUNCTION("""COMPUTED_VALUE"""),3.0)</f>
        <v>3</v>
      </c>
    </row>
    <row r="596">
      <c r="A596" s="1" t="s">
        <v>362</v>
      </c>
      <c r="B596" s="4">
        <v>2.0</v>
      </c>
      <c r="C596" s="1" t="s">
        <v>79</v>
      </c>
      <c r="D596" s="4">
        <v>24.0</v>
      </c>
      <c r="E596" s="4">
        <v>13.0</v>
      </c>
      <c r="F596" s="4">
        <v>12.0</v>
      </c>
      <c r="G596" s="4">
        <v>1.0</v>
      </c>
      <c r="H596" s="4">
        <v>0.0</v>
      </c>
      <c r="I596" s="4">
        <v>105.0</v>
      </c>
      <c r="J596" s="4">
        <v>9.0</v>
      </c>
      <c r="K596" s="4">
        <v>96.0</v>
      </c>
      <c r="L596" s="2" t="s">
        <v>207</v>
      </c>
      <c r="M596" s="5">
        <f>IFERROR(__xludf.DUMMYFUNCTION("""COMPUTED_VALUE"""),19.0)</f>
        <v>19</v>
      </c>
      <c r="N596" s="5">
        <f>IFERROR(__xludf.DUMMYFUNCTION("""COMPUTED_VALUE"""),5.0)</f>
        <v>5</v>
      </c>
      <c r="O596" s="5">
        <f>IFERROR(__xludf.DUMMYFUNCTION("""COMPUTED_VALUE"""),0.0)</f>
        <v>0</v>
      </c>
    </row>
    <row r="597">
      <c r="A597" s="1" t="s">
        <v>362</v>
      </c>
      <c r="B597" s="4">
        <v>3.0</v>
      </c>
      <c r="C597" s="1" t="s">
        <v>20</v>
      </c>
      <c r="D597" s="4">
        <v>23.0</v>
      </c>
      <c r="E597" s="4">
        <v>12.0</v>
      </c>
      <c r="F597" s="4">
        <v>11.0</v>
      </c>
      <c r="G597" s="4">
        <v>0.0</v>
      </c>
      <c r="H597" s="4">
        <v>1.0</v>
      </c>
      <c r="I597" s="4">
        <v>63.0</v>
      </c>
      <c r="J597" s="4">
        <v>15.0</v>
      </c>
      <c r="K597" s="4">
        <v>48.0</v>
      </c>
      <c r="L597" s="2" t="s">
        <v>364</v>
      </c>
      <c r="M597" s="5">
        <f>IFERROR(__xludf.DUMMYFUNCTION("""COMPUTED_VALUE"""),22.0)</f>
        <v>22</v>
      </c>
      <c r="N597" s="5">
        <f>IFERROR(__xludf.DUMMYFUNCTION("""COMPUTED_VALUE"""),1.0)</f>
        <v>1</v>
      </c>
      <c r="O597" s="5">
        <f>IFERROR(__xludf.DUMMYFUNCTION("""COMPUTED_VALUE"""),1.0)</f>
        <v>1</v>
      </c>
    </row>
    <row r="598">
      <c r="A598" s="1" t="s">
        <v>362</v>
      </c>
      <c r="B598" s="4">
        <v>4.0</v>
      </c>
      <c r="C598" s="1" t="s">
        <v>58</v>
      </c>
      <c r="D598" s="4">
        <v>22.0</v>
      </c>
      <c r="E598" s="4">
        <v>14.0</v>
      </c>
      <c r="F598" s="4">
        <v>11.0</v>
      </c>
      <c r="G598" s="4">
        <v>3.0</v>
      </c>
      <c r="H598" s="4">
        <v>0.0</v>
      </c>
      <c r="I598" s="4">
        <v>70.0</v>
      </c>
      <c r="J598" s="4">
        <v>30.0</v>
      </c>
      <c r="K598" s="4">
        <v>40.0</v>
      </c>
      <c r="L598" s="2" t="s">
        <v>166</v>
      </c>
      <c r="M598" s="5">
        <f>IFERROR(__xludf.DUMMYFUNCTION("""COMPUTED_VALUE"""),18.0)</f>
        <v>18</v>
      </c>
      <c r="N598" s="5">
        <f>IFERROR(__xludf.DUMMYFUNCTION("""COMPUTED_VALUE"""),5.0)</f>
        <v>5</v>
      </c>
      <c r="O598" s="5">
        <f>IFERROR(__xludf.DUMMYFUNCTION("""COMPUTED_VALUE"""),1.0)</f>
        <v>1</v>
      </c>
    </row>
    <row r="599">
      <c r="A599" s="1" t="s">
        <v>362</v>
      </c>
      <c r="B599" s="4">
        <v>5.0</v>
      </c>
      <c r="C599" s="1" t="s">
        <v>25</v>
      </c>
      <c r="D599" s="4">
        <v>21.0</v>
      </c>
      <c r="E599" s="4">
        <v>12.0</v>
      </c>
      <c r="F599" s="4">
        <v>10.0</v>
      </c>
      <c r="G599" s="4">
        <v>1.0</v>
      </c>
      <c r="H599" s="4">
        <v>1.0</v>
      </c>
      <c r="I599" s="4">
        <v>66.0</v>
      </c>
      <c r="J599" s="4">
        <v>22.0</v>
      </c>
      <c r="K599" s="4">
        <v>44.0</v>
      </c>
      <c r="L599" s="2" t="s">
        <v>365</v>
      </c>
      <c r="M599" s="5">
        <f>IFERROR(__xludf.DUMMYFUNCTION("""COMPUTED_VALUE"""),20.0)</f>
        <v>20</v>
      </c>
      <c r="N599" s="5">
        <f>IFERROR(__xludf.DUMMYFUNCTION("""COMPUTED_VALUE"""),2.0)</f>
        <v>2</v>
      </c>
      <c r="O599" s="5">
        <f>IFERROR(__xludf.DUMMYFUNCTION("""COMPUTED_VALUE"""),2.0)</f>
        <v>2</v>
      </c>
    </row>
    <row r="600">
      <c r="A600" s="1" t="s">
        <v>362</v>
      </c>
      <c r="B600" s="4">
        <v>6.0</v>
      </c>
      <c r="C600" s="1" t="s">
        <v>86</v>
      </c>
      <c r="D600" s="4">
        <v>20.0</v>
      </c>
      <c r="E600" s="4">
        <v>14.0</v>
      </c>
      <c r="F600" s="4">
        <v>10.0</v>
      </c>
      <c r="G600" s="4">
        <v>4.0</v>
      </c>
      <c r="H600" s="4">
        <v>0.0</v>
      </c>
      <c r="I600" s="4">
        <v>75.0</v>
      </c>
      <c r="J600" s="4">
        <v>28.0</v>
      </c>
      <c r="K600" s="4">
        <v>47.0</v>
      </c>
      <c r="L600" s="2" t="s">
        <v>343</v>
      </c>
      <c r="M600" s="5">
        <f>IFERROR(__xludf.DUMMYFUNCTION("""COMPUTED_VALUE"""),16.0)</f>
        <v>16</v>
      </c>
      <c r="N600" s="5">
        <f>IFERROR(__xludf.DUMMYFUNCTION("""COMPUTED_VALUE"""),6.0)</f>
        <v>6</v>
      </c>
      <c r="O600" s="5">
        <f>IFERROR(__xludf.DUMMYFUNCTION("""COMPUTED_VALUE"""),2.0)</f>
        <v>2</v>
      </c>
    </row>
    <row r="601">
      <c r="A601" s="1" t="s">
        <v>362</v>
      </c>
      <c r="B601" s="4">
        <v>7.0</v>
      </c>
      <c r="C601" s="1" t="s">
        <v>45</v>
      </c>
      <c r="D601" s="4">
        <v>18.0</v>
      </c>
      <c r="E601" s="4">
        <v>10.0</v>
      </c>
      <c r="F601" s="4">
        <v>9.0</v>
      </c>
      <c r="G601" s="4">
        <v>1.0</v>
      </c>
      <c r="H601" s="4">
        <v>0.0</v>
      </c>
      <c r="I601" s="4">
        <v>62.0</v>
      </c>
      <c r="J601" s="4">
        <v>19.0</v>
      </c>
      <c r="K601" s="4">
        <v>43.0</v>
      </c>
      <c r="L601" s="2" t="s">
        <v>347</v>
      </c>
      <c r="M601" s="5">
        <f>IFERROR(__xludf.DUMMYFUNCTION("""COMPUTED_VALUE"""),15.0)</f>
        <v>15</v>
      </c>
      <c r="N601" s="5">
        <f>IFERROR(__xludf.DUMMYFUNCTION("""COMPUTED_VALUE"""),7.0)</f>
        <v>7</v>
      </c>
      <c r="O601" s="5">
        <f>IFERROR(__xludf.DUMMYFUNCTION("""COMPUTED_VALUE"""),2.0)</f>
        <v>2</v>
      </c>
    </row>
    <row r="602">
      <c r="A602" s="1" t="s">
        <v>362</v>
      </c>
      <c r="B602" s="4">
        <v>8.0</v>
      </c>
      <c r="C602" s="1" t="s">
        <v>27</v>
      </c>
      <c r="D602" s="4">
        <v>18.0</v>
      </c>
      <c r="E602" s="4">
        <v>10.0</v>
      </c>
      <c r="F602" s="4">
        <v>9.0</v>
      </c>
      <c r="G602" s="4">
        <v>1.0</v>
      </c>
      <c r="H602" s="4">
        <v>0.0</v>
      </c>
      <c r="I602" s="4">
        <v>58.0</v>
      </c>
      <c r="J602" s="4">
        <v>17.0</v>
      </c>
      <c r="K602" s="4">
        <v>41.0</v>
      </c>
      <c r="L602" s="2" t="s">
        <v>32</v>
      </c>
      <c r="M602" s="5">
        <f>IFERROR(__xludf.DUMMYFUNCTION("""COMPUTED_VALUE"""),21.0)</f>
        <v>21</v>
      </c>
      <c r="N602" s="5">
        <f>IFERROR(__xludf.DUMMYFUNCTION("""COMPUTED_VALUE"""),3.0)</f>
        <v>3</v>
      </c>
      <c r="O602" s="5">
        <f>IFERROR(__xludf.DUMMYFUNCTION("""COMPUTED_VALUE"""),0.0)</f>
        <v>0</v>
      </c>
    </row>
    <row r="603">
      <c r="A603" s="1" t="s">
        <v>362</v>
      </c>
      <c r="B603" s="4">
        <v>9.0</v>
      </c>
      <c r="C603" s="1" t="s">
        <v>60</v>
      </c>
      <c r="D603" s="4">
        <v>18.0</v>
      </c>
      <c r="E603" s="4">
        <v>10.0</v>
      </c>
      <c r="F603" s="4">
        <v>9.0</v>
      </c>
      <c r="G603" s="4">
        <v>1.0</v>
      </c>
      <c r="H603" s="4">
        <v>0.0</v>
      </c>
      <c r="I603" s="4">
        <v>49.0</v>
      </c>
      <c r="J603" s="4">
        <v>24.0</v>
      </c>
      <c r="K603" s="4">
        <v>25.0</v>
      </c>
      <c r="L603" s="2" t="s">
        <v>166</v>
      </c>
      <c r="M603" s="5">
        <f>IFERROR(__xludf.DUMMYFUNCTION("""COMPUTED_VALUE"""),18.0)</f>
        <v>18</v>
      </c>
      <c r="N603" s="5">
        <f>IFERROR(__xludf.DUMMYFUNCTION("""COMPUTED_VALUE"""),5.0)</f>
        <v>5</v>
      </c>
      <c r="O603" s="5">
        <f>IFERROR(__xludf.DUMMYFUNCTION("""COMPUTED_VALUE"""),1.0)</f>
        <v>1</v>
      </c>
    </row>
    <row r="604">
      <c r="A604" s="1" t="s">
        <v>362</v>
      </c>
      <c r="B604" s="4">
        <v>10.0</v>
      </c>
      <c r="C604" s="1" t="s">
        <v>61</v>
      </c>
      <c r="D604" s="4">
        <v>17.0</v>
      </c>
      <c r="E604" s="4">
        <v>10.0</v>
      </c>
      <c r="F604" s="4">
        <v>8.0</v>
      </c>
      <c r="G604" s="4">
        <v>1.0</v>
      </c>
      <c r="H604" s="4">
        <v>1.0</v>
      </c>
      <c r="I604" s="4">
        <v>55.0</v>
      </c>
      <c r="J604" s="4">
        <v>10.0</v>
      </c>
      <c r="K604" s="4">
        <v>45.0</v>
      </c>
      <c r="L604" s="2" t="s">
        <v>312</v>
      </c>
      <c r="M604" s="5">
        <f>IFERROR(__xludf.DUMMYFUNCTION("""COMPUTED_VALUE"""),18.0)</f>
        <v>18</v>
      </c>
      <c r="N604" s="5">
        <f>IFERROR(__xludf.DUMMYFUNCTION("""COMPUTED_VALUE"""),4.0)</f>
        <v>4</v>
      </c>
      <c r="O604" s="5">
        <f>IFERROR(__xludf.DUMMYFUNCTION("""COMPUTED_VALUE"""),2.0)</f>
        <v>2</v>
      </c>
    </row>
    <row r="605">
      <c r="A605" s="1" t="s">
        <v>362</v>
      </c>
      <c r="B605" s="4">
        <v>11.0</v>
      </c>
      <c r="C605" s="1" t="s">
        <v>116</v>
      </c>
      <c r="D605" s="4">
        <v>17.0</v>
      </c>
      <c r="E605" s="4">
        <v>10.0</v>
      </c>
      <c r="F605" s="4">
        <v>8.0</v>
      </c>
      <c r="G605" s="4">
        <v>1.0</v>
      </c>
      <c r="H605" s="4">
        <v>1.0</v>
      </c>
      <c r="I605" s="4">
        <v>52.0</v>
      </c>
      <c r="J605" s="4">
        <v>8.0</v>
      </c>
      <c r="K605" s="4">
        <v>44.0</v>
      </c>
      <c r="L605" s="2" t="s">
        <v>166</v>
      </c>
      <c r="M605" s="5">
        <f>IFERROR(__xludf.DUMMYFUNCTION("""COMPUTED_VALUE"""),18.0)</f>
        <v>18</v>
      </c>
      <c r="N605" s="5">
        <f>IFERROR(__xludf.DUMMYFUNCTION("""COMPUTED_VALUE"""),5.0)</f>
        <v>5</v>
      </c>
      <c r="O605" s="5">
        <f>IFERROR(__xludf.DUMMYFUNCTION("""COMPUTED_VALUE"""),1.0)</f>
        <v>1</v>
      </c>
    </row>
    <row r="606">
      <c r="A606" s="1" t="s">
        <v>362</v>
      </c>
      <c r="B606" s="4">
        <v>12.0</v>
      </c>
      <c r="C606" s="1" t="s">
        <v>16</v>
      </c>
      <c r="D606" s="4">
        <v>16.0</v>
      </c>
      <c r="E606" s="4">
        <v>8.0</v>
      </c>
      <c r="F606" s="4">
        <v>8.0</v>
      </c>
      <c r="G606" s="4">
        <v>0.0</v>
      </c>
      <c r="H606" s="4">
        <v>0.0</v>
      </c>
      <c r="I606" s="4">
        <v>58.0</v>
      </c>
      <c r="J606" s="4">
        <v>14.0</v>
      </c>
      <c r="K606" s="4">
        <v>44.0</v>
      </c>
      <c r="L606" s="2" t="s">
        <v>238</v>
      </c>
      <c r="M606" s="5">
        <f>IFERROR(__xludf.DUMMYFUNCTION("""COMPUTED_VALUE"""),17.0)</f>
        <v>17</v>
      </c>
      <c r="N606" s="5">
        <f>IFERROR(__xludf.DUMMYFUNCTION("""COMPUTED_VALUE"""),5.0)</f>
        <v>5</v>
      </c>
      <c r="O606" s="5">
        <f>IFERROR(__xludf.DUMMYFUNCTION("""COMPUTED_VALUE"""),1.0)</f>
        <v>1</v>
      </c>
    </row>
    <row r="607">
      <c r="A607" s="1" t="s">
        <v>362</v>
      </c>
      <c r="B607" s="4">
        <v>13.0</v>
      </c>
      <c r="C607" s="1" t="s">
        <v>134</v>
      </c>
      <c r="D607" s="4">
        <v>16.0</v>
      </c>
      <c r="E607" s="4">
        <v>12.0</v>
      </c>
      <c r="F607" s="4">
        <v>8.0</v>
      </c>
      <c r="G607" s="4">
        <v>4.0</v>
      </c>
      <c r="H607" s="4">
        <v>0.0</v>
      </c>
      <c r="I607" s="4">
        <v>55.0</v>
      </c>
      <c r="J607" s="4">
        <v>35.0</v>
      </c>
      <c r="K607" s="4">
        <v>20.0</v>
      </c>
      <c r="L607" s="2" t="s">
        <v>40</v>
      </c>
      <c r="M607" s="5">
        <f>IFERROR(__xludf.DUMMYFUNCTION("""COMPUTED_VALUE"""),17.0)</f>
        <v>17</v>
      </c>
      <c r="N607" s="5">
        <f>IFERROR(__xludf.DUMMYFUNCTION("""COMPUTED_VALUE"""),6.0)</f>
        <v>6</v>
      </c>
      <c r="O607" s="5">
        <f>IFERROR(__xludf.DUMMYFUNCTION("""COMPUTED_VALUE"""),1.0)</f>
        <v>1</v>
      </c>
    </row>
    <row r="608">
      <c r="A608" s="1" t="s">
        <v>362</v>
      </c>
      <c r="B608" s="4">
        <v>14.0</v>
      </c>
      <c r="C608" s="1" t="s">
        <v>117</v>
      </c>
      <c r="D608" s="4">
        <v>16.0</v>
      </c>
      <c r="E608" s="4">
        <v>13.0</v>
      </c>
      <c r="F608" s="4">
        <v>8.0</v>
      </c>
      <c r="G608" s="4">
        <v>5.0</v>
      </c>
      <c r="H608" s="4">
        <v>0.0</v>
      </c>
      <c r="I608" s="4">
        <v>62.0</v>
      </c>
      <c r="J608" s="4">
        <v>52.0</v>
      </c>
      <c r="K608" s="4">
        <v>10.0</v>
      </c>
      <c r="L608" s="2" t="s">
        <v>182</v>
      </c>
      <c r="M608" s="5">
        <f>IFERROR(__xludf.DUMMYFUNCTION("""COMPUTED_VALUE"""),12.0)</f>
        <v>12</v>
      </c>
      <c r="N608" s="5">
        <f>IFERROR(__xludf.DUMMYFUNCTION("""COMPUTED_VALUE"""),11.0)</f>
        <v>11</v>
      </c>
      <c r="O608" s="5">
        <f>IFERROR(__xludf.DUMMYFUNCTION("""COMPUTED_VALUE"""),2001.0)</f>
        <v>2001</v>
      </c>
    </row>
    <row r="609">
      <c r="A609" s="1" t="s">
        <v>362</v>
      </c>
      <c r="B609" s="4">
        <v>15.0</v>
      </c>
      <c r="C609" s="1" t="s">
        <v>156</v>
      </c>
      <c r="D609" s="4">
        <v>16.0</v>
      </c>
      <c r="E609" s="4">
        <v>14.0</v>
      </c>
      <c r="F609" s="4">
        <v>8.0</v>
      </c>
      <c r="G609" s="4">
        <v>6.0</v>
      </c>
      <c r="H609" s="4">
        <v>0.0</v>
      </c>
      <c r="I609" s="4">
        <v>47.0</v>
      </c>
      <c r="J609" s="4">
        <v>49.0</v>
      </c>
      <c r="K609" s="4">
        <v>-2.0</v>
      </c>
      <c r="L609" s="2" t="s">
        <v>51</v>
      </c>
      <c r="M609" s="5">
        <f>IFERROR(__xludf.DUMMYFUNCTION("""COMPUTED_VALUE"""),15.0)</f>
        <v>15</v>
      </c>
      <c r="N609" s="5">
        <f>IFERROR(__xludf.DUMMYFUNCTION("""COMPUTED_VALUE"""),9.0)</f>
        <v>9</v>
      </c>
      <c r="O609" s="5">
        <f>IFERROR(__xludf.DUMMYFUNCTION("""COMPUTED_VALUE"""),0.0)</f>
        <v>0</v>
      </c>
    </row>
    <row r="610">
      <c r="A610" s="1" t="s">
        <v>362</v>
      </c>
      <c r="B610" s="4">
        <v>16.0</v>
      </c>
      <c r="C610" s="1" t="s">
        <v>94</v>
      </c>
      <c r="D610" s="4">
        <v>15.0</v>
      </c>
      <c r="E610" s="4">
        <v>14.0</v>
      </c>
      <c r="F610" s="4">
        <v>7.0</v>
      </c>
      <c r="G610" s="4">
        <v>6.0</v>
      </c>
      <c r="H610" s="4">
        <v>1.0</v>
      </c>
      <c r="I610" s="4">
        <v>58.0</v>
      </c>
      <c r="J610" s="4">
        <v>35.0</v>
      </c>
      <c r="K610" s="4">
        <v>23.0</v>
      </c>
      <c r="L610" s="2" t="s">
        <v>353</v>
      </c>
      <c r="M610" s="5">
        <f>IFERROR(__xludf.DUMMYFUNCTION("""COMPUTED_VALUE"""),13.0)</f>
        <v>13</v>
      </c>
      <c r="N610" s="5">
        <f>IFERROR(__xludf.DUMMYFUNCTION("""COMPUTED_VALUE"""),8.0)</f>
        <v>8</v>
      </c>
      <c r="O610" s="5">
        <f>IFERROR(__xludf.DUMMYFUNCTION("""COMPUTED_VALUE"""),3.0)</f>
        <v>3</v>
      </c>
    </row>
    <row r="611">
      <c r="A611" s="1" t="s">
        <v>362</v>
      </c>
      <c r="B611" s="4">
        <v>17.0</v>
      </c>
      <c r="C611" s="1" t="s">
        <v>33</v>
      </c>
      <c r="D611" s="4">
        <v>15.0</v>
      </c>
      <c r="E611" s="4">
        <v>10.0</v>
      </c>
      <c r="F611" s="4">
        <v>7.0</v>
      </c>
      <c r="G611" s="4">
        <v>2.0</v>
      </c>
      <c r="H611" s="4">
        <v>1.0</v>
      </c>
      <c r="I611" s="4">
        <v>35.0</v>
      </c>
      <c r="J611" s="4">
        <v>21.0</v>
      </c>
      <c r="K611" s="4">
        <v>14.0</v>
      </c>
      <c r="L611" s="2" t="s">
        <v>182</v>
      </c>
      <c r="M611" s="5">
        <f>IFERROR(__xludf.DUMMYFUNCTION("""COMPUTED_VALUE"""),12.0)</f>
        <v>12</v>
      </c>
      <c r="N611" s="5">
        <f>IFERROR(__xludf.DUMMYFUNCTION("""COMPUTED_VALUE"""),11.0)</f>
        <v>11</v>
      </c>
      <c r="O611" s="5">
        <f>IFERROR(__xludf.DUMMYFUNCTION("""COMPUTED_VALUE"""),2001.0)</f>
        <v>2001</v>
      </c>
    </row>
    <row r="612">
      <c r="A612" s="1" t="s">
        <v>362</v>
      </c>
      <c r="B612" s="4">
        <v>18.0</v>
      </c>
      <c r="C612" s="1" t="s">
        <v>130</v>
      </c>
      <c r="D612" s="4">
        <v>14.0</v>
      </c>
      <c r="E612" s="4">
        <v>8.0</v>
      </c>
      <c r="F612" s="4">
        <v>7.0</v>
      </c>
      <c r="G612" s="4">
        <v>1.0</v>
      </c>
      <c r="H612" s="4">
        <v>0.0</v>
      </c>
      <c r="I612" s="4">
        <v>52.0</v>
      </c>
      <c r="J612" s="4">
        <v>15.0</v>
      </c>
      <c r="K612" s="4">
        <v>37.0</v>
      </c>
      <c r="L612" s="2" t="s">
        <v>55</v>
      </c>
      <c r="M612" s="5">
        <f>IFERROR(__xludf.DUMMYFUNCTION("""COMPUTED_VALUE"""),17.0)</f>
        <v>17</v>
      </c>
      <c r="N612" s="5">
        <f>IFERROR(__xludf.DUMMYFUNCTION("""COMPUTED_VALUE"""),6.0)</f>
        <v>6</v>
      </c>
      <c r="O612" s="5">
        <f>IFERROR(__xludf.DUMMYFUNCTION("""COMPUTED_VALUE"""),0.0)</f>
        <v>0</v>
      </c>
    </row>
    <row r="613">
      <c r="A613" s="1" t="s">
        <v>362</v>
      </c>
      <c r="B613" s="4">
        <v>19.0</v>
      </c>
      <c r="C613" s="1" t="s">
        <v>131</v>
      </c>
      <c r="D613" s="4">
        <v>14.0</v>
      </c>
      <c r="E613" s="4">
        <v>8.0</v>
      </c>
      <c r="F613" s="4">
        <v>7.0</v>
      </c>
      <c r="G613" s="4">
        <v>1.0</v>
      </c>
      <c r="H613" s="4">
        <v>0.0</v>
      </c>
      <c r="I613" s="4">
        <v>50.0</v>
      </c>
      <c r="J613" s="4">
        <v>19.0</v>
      </c>
      <c r="K613" s="4">
        <v>31.0</v>
      </c>
      <c r="L613" s="2" t="s">
        <v>19</v>
      </c>
      <c r="M613" s="5">
        <f>IFERROR(__xludf.DUMMYFUNCTION("""COMPUTED_VALUE"""),18.0)</f>
        <v>18</v>
      </c>
      <c r="N613" s="5">
        <f>IFERROR(__xludf.DUMMYFUNCTION("""COMPUTED_VALUE"""),6.0)</f>
        <v>6</v>
      </c>
      <c r="O613" s="5">
        <f>IFERROR(__xludf.DUMMYFUNCTION("""COMPUTED_VALUE"""),0.0)</f>
        <v>0</v>
      </c>
    </row>
    <row r="614">
      <c r="A614" s="1" t="s">
        <v>362</v>
      </c>
      <c r="B614" s="4">
        <v>20.0</v>
      </c>
      <c r="C614" s="1" t="s">
        <v>64</v>
      </c>
      <c r="D614" s="4">
        <v>14.0</v>
      </c>
      <c r="E614" s="4">
        <v>8.0</v>
      </c>
      <c r="F614" s="4">
        <v>7.0</v>
      </c>
      <c r="G614" s="4">
        <v>1.0</v>
      </c>
      <c r="H614" s="4">
        <v>0.0</v>
      </c>
      <c r="I614" s="4">
        <v>39.0</v>
      </c>
      <c r="J614" s="4">
        <v>13.0</v>
      </c>
      <c r="K614" s="4">
        <v>26.0</v>
      </c>
      <c r="L614" s="2" t="s">
        <v>220</v>
      </c>
      <c r="M614" s="5">
        <f>IFERROR(__xludf.DUMMYFUNCTION("""COMPUTED_VALUE"""),10.0)</f>
        <v>10</v>
      </c>
      <c r="N614" s="5">
        <f>IFERROR(__xludf.DUMMYFUNCTION("""COMPUTED_VALUE"""),12.0)</f>
        <v>12</v>
      </c>
      <c r="O614" s="5">
        <f>IFERROR(__xludf.DUMMYFUNCTION("""COMPUTED_VALUE"""),2002.0)</f>
        <v>2002</v>
      </c>
    </row>
    <row r="615">
      <c r="A615" s="1" t="s">
        <v>362</v>
      </c>
      <c r="B615" s="4">
        <v>21.0</v>
      </c>
      <c r="C615" s="1" t="s">
        <v>114</v>
      </c>
      <c r="D615" s="4">
        <v>14.0</v>
      </c>
      <c r="E615" s="4">
        <v>7.0</v>
      </c>
      <c r="F615" s="4">
        <v>7.0</v>
      </c>
      <c r="G615" s="4">
        <v>0.0</v>
      </c>
      <c r="H615" s="4">
        <v>0.0</v>
      </c>
      <c r="I615" s="4">
        <v>34.0</v>
      </c>
      <c r="J615" s="4">
        <v>10.0</v>
      </c>
      <c r="K615" s="4">
        <v>24.0</v>
      </c>
      <c r="L615" s="2" t="s">
        <v>21</v>
      </c>
      <c r="M615" s="5">
        <f>IFERROR(__xludf.DUMMYFUNCTION("""COMPUTED_VALUE"""),15.0)</f>
        <v>15</v>
      </c>
      <c r="N615" s="5">
        <f>IFERROR(__xludf.DUMMYFUNCTION("""COMPUTED_VALUE"""),8.0)</f>
        <v>8</v>
      </c>
      <c r="O615" s="5">
        <f>IFERROR(__xludf.DUMMYFUNCTION("""COMPUTED_VALUE"""),0.0)</f>
        <v>0</v>
      </c>
    </row>
    <row r="616">
      <c r="A616" s="1" t="s">
        <v>362</v>
      </c>
      <c r="B616" s="4">
        <v>22.0</v>
      </c>
      <c r="C616" s="1" t="s">
        <v>75</v>
      </c>
      <c r="D616" s="4">
        <v>14.0</v>
      </c>
      <c r="E616" s="4">
        <v>13.0</v>
      </c>
      <c r="F616" s="4">
        <v>7.0</v>
      </c>
      <c r="G616" s="4">
        <v>6.0</v>
      </c>
      <c r="H616" s="4">
        <v>0.0</v>
      </c>
      <c r="I616" s="4">
        <v>55.0</v>
      </c>
      <c r="J616" s="4">
        <v>51.0</v>
      </c>
      <c r="K616" s="4">
        <v>4.0</v>
      </c>
      <c r="L616" s="2" t="s">
        <v>219</v>
      </c>
      <c r="M616" s="5">
        <f>IFERROR(__xludf.DUMMYFUNCTION("""COMPUTED_VALUE"""),11.0)</f>
        <v>11</v>
      </c>
      <c r="N616" s="5">
        <f>IFERROR(__xludf.DUMMYFUNCTION("""COMPUTED_VALUE"""),12.0)</f>
        <v>12</v>
      </c>
      <c r="O616" s="5">
        <f>IFERROR(__xludf.DUMMYFUNCTION("""COMPUTED_VALUE"""),2000.0)</f>
        <v>2000</v>
      </c>
    </row>
    <row r="617">
      <c r="A617" s="1" t="s">
        <v>362</v>
      </c>
      <c r="B617" s="4">
        <v>23.0</v>
      </c>
      <c r="C617" s="1" t="s">
        <v>22</v>
      </c>
      <c r="D617" s="4">
        <v>14.0</v>
      </c>
      <c r="E617" s="4">
        <v>14.0</v>
      </c>
      <c r="F617" s="4">
        <v>7.0</v>
      </c>
      <c r="G617" s="4">
        <v>7.0</v>
      </c>
      <c r="H617" s="4">
        <v>0.0</v>
      </c>
      <c r="I617" s="4">
        <v>50.0</v>
      </c>
      <c r="J617" s="4">
        <v>48.0</v>
      </c>
      <c r="K617" s="4">
        <v>2.0</v>
      </c>
      <c r="L617" s="2" t="s">
        <v>178</v>
      </c>
      <c r="M617" s="5">
        <f>IFERROR(__xludf.DUMMYFUNCTION("""COMPUTED_VALUE"""),11.0)</f>
        <v>11</v>
      </c>
      <c r="N617" s="5">
        <f>IFERROR(__xludf.DUMMYFUNCTION("""COMPUTED_VALUE"""),11.0)</f>
        <v>11</v>
      </c>
      <c r="O617" s="5">
        <f>IFERROR(__xludf.DUMMYFUNCTION("""COMPUTED_VALUE"""),2002.0)</f>
        <v>2002</v>
      </c>
    </row>
    <row r="618">
      <c r="A618" s="1" t="s">
        <v>362</v>
      </c>
      <c r="B618" s="4">
        <v>24.0</v>
      </c>
      <c r="C618" s="1" t="s">
        <v>41</v>
      </c>
      <c r="D618" s="4">
        <v>13.0</v>
      </c>
      <c r="E618" s="4">
        <v>9.0</v>
      </c>
      <c r="F618" s="4">
        <v>6.0</v>
      </c>
      <c r="G618" s="4">
        <v>2.0</v>
      </c>
      <c r="H618" s="4">
        <v>1.0</v>
      </c>
      <c r="I618" s="4">
        <v>50.0</v>
      </c>
      <c r="J618" s="4">
        <v>13.0</v>
      </c>
      <c r="K618" s="4">
        <v>37.0</v>
      </c>
      <c r="L618" s="2" t="s">
        <v>347</v>
      </c>
      <c r="M618" s="5">
        <f>IFERROR(__xludf.DUMMYFUNCTION("""COMPUTED_VALUE"""),15.0)</f>
        <v>15</v>
      </c>
      <c r="N618" s="5">
        <f>IFERROR(__xludf.DUMMYFUNCTION("""COMPUTED_VALUE"""),7.0)</f>
        <v>7</v>
      </c>
      <c r="O618" s="5">
        <f>IFERROR(__xludf.DUMMYFUNCTION("""COMPUTED_VALUE"""),2.0)</f>
        <v>2</v>
      </c>
    </row>
    <row r="619">
      <c r="A619" s="1" t="s">
        <v>362</v>
      </c>
      <c r="B619" s="4">
        <v>25.0</v>
      </c>
      <c r="C619" s="1" t="s">
        <v>96</v>
      </c>
      <c r="D619" s="4">
        <v>13.0</v>
      </c>
      <c r="E619" s="4">
        <v>7.0</v>
      </c>
      <c r="F619" s="4">
        <v>6.0</v>
      </c>
      <c r="G619" s="4">
        <v>0.0</v>
      </c>
      <c r="H619" s="4">
        <v>1.0</v>
      </c>
      <c r="I619" s="4">
        <v>28.0</v>
      </c>
      <c r="J619" s="4">
        <v>6.0</v>
      </c>
      <c r="K619" s="4">
        <v>22.0</v>
      </c>
      <c r="L619" s="2" t="s">
        <v>366</v>
      </c>
      <c r="M619" s="5">
        <f>IFERROR(__xludf.DUMMYFUNCTION("""COMPUTED_VALUE"""),17.0)</f>
        <v>17</v>
      </c>
      <c r="N619" s="5">
        <f>IFERROR(__xludf.DUMMYFUNCTION("""COMPUTED_VALUE"""),4.0)</f>
        <v>4</v>
      </c>
      <c r="O619" s="5">
        <f>IFERROR(__xludf.DUMMYFUNCTION("""COMPUTED_VALUE"""),3.0)</f>
        <v>3</v>
      </c>
    </row>
    <row r="620">
      <c r="A620" s="1" t="s">
        <v>362</v>
      </c>
      <c r="B620" s="4">
        <v>26.0</v>
      </c>
      <c r="C620" s="1" t="s">
        <v>101</v>
      </c>
      <c r="D620" s="4">
        <v>12.0</v>
      </c>
      <c r="E620" s="4">
        <v>6.0</v>
      </c>
      <c r="F620" s="4">
        <v>6.0</v>
      </c>
      <c r="G620" s="4">
        <v>0.0</v>
      </c>
      <c r="H620" s="4">
        <v>0.0</v>
      </c>
      <c r="I620" s="4">
        <v>47.0</v>
      </c>
      <c r="J620" s="4">
        <v>9.0</v>
      </c>
      <c r="K620" s="4">
        <v>38.0</v>
      </c>
      <c r="L620" s="2" t="s">
        <v>57</v>
      </c>
      <c r="M620" s="5">
        <f>IFERROR(__xludf.DUMMYFUNCTION("""COMPUTED_VALUE"""),17.0)</f>
        <v>17</v>
      </c>
      <c r="N620" s="5">
        <f>IFERROR(__xludf.DUMMYFUNCTION("""COMPUTED_VALUE"""),7.0)</f>
        <v>7</v>
      </c>
      <c r="O620" s="5">
        <f>IFERROR(__xludf.DUMMYFUNCTION("""COMPUTED_VALUE"""),0.0)</f>
        <v>0</v>
      </c>
    </row>
    <row r="621">
      <c r="A621" s="1" t="s">
        <v>362</v>
      </c>
      <c r="B621" s="4">
        <v>27.0</v>
      </c>
      <c r="C621" s="1" t="s">
        <v>149</v>
      </c>
      <c r="D621" s="4">
        <v>12.0</v>
      </c>
      <c r="E621" s="4">
        <v>7.0</v>
      </c>
      <c r="F621" s="4">
        <v>6.0</v>
      </c>
      <c r="G621" s="4">
        <v>1.0</v>
      </c>
      <c r="H621" s="4">
        <v>0.0</v>
      </c>
      <c r="I621" s="4">
        <v>45.0</v>
      </c>
      <c r="J621" s="4">
        <v>8.0</v>
      </c>
      <c r="K621" s="4">
        <v>37.0</v>
      </c>
      <c r="L621" s="2" t="s">
        <v>32</v>
      </c>
      <c r="M621" s="5">
        <f>IFERROR(__xludf.DUMMYFUNCTION("""COMPUTED_VALUE"""),21.0)</f>
        <v>21</v>
      </c>
      <c r="N621" s="5">
        <f>IFERROR(__xludf.DUMMYFUNCTION("""COMPUTED_VALUE"""),3.0)</f>
        <v>3</v>
      </c>
      <c r="O621" s="5">
        <f>IFERROR(__xludf.DUMMYFUNCTION("""COMPUTED_VALUE"""),0.0)</f>
        <v>0</v>
      </c>
    </row>
    <row r="622">
      <c r="A622" s="1" t="s">
        <v>362</v>
      </c>
      <c r="B622" s="4">
        <v>28.0</v>
      </c>
      <c r="C622" s="1" t="s">
        <v>71</v>
      </c>
      <c r="D622" s="4">
        <v>12.0</v>
      </c>
      <c r="E622" s="4">
        <v>10.0</v>
      </c>
      <c r="F622" s="4">
        <v>6.0</v>
      </c>
      <c r="G622" s="4">
        <v>4.0</v>
      </c>
      <c r="H622" s="4">
        <v>0.0</v>
      </c>
      <c r="I622" s="4">
        <v>56.0</v>
      </c>
      <c r="J622" s="4">
        <v>25.0</v>
      </c>
      <c r="K622" s="4">
        <v>31.0</v>
      </c>
      <c r="L622" s="2" t="s">
        <v>343</v>
      </c>
      <c r="M622" s="5">
        <f>IFERROR(__xludf.DUMMYFUNCTION("""COMPUTED_VALUE"""),16.0)</f>
        <v>16</v>
      </c>
      <c r="N622" s="5">
        <f>IFERROR(__xludf.DUMMYFUNCTION("""COMPUTED_VALUE"""),6.0)</f>
        <v>6</v>
      </c>
      <c r="O622" s="5">
        <f>IFERROR(__xludf.DUMMYFUNCTION("""COMPUTED_VALUE"""),2.0)</f>
        <v>2</v>
      </c>
    </row>
    <row r="623">
      <c r="A623" s="1" t="s">
        <v>362</v>
      </c>
      <c r="B623" s="4">
        <v>29.0</v>
      </c>
      <c r="C623" s="1" t="s">
        <v>68</v>
      </c>
      <c r="D623" s="4">
        <v>12.0</v>
      </c>
      <c r="E623" s="4">
        <v>8.0</v>
      </c>
      <c r="F623" s="4">
        <v>6.0</v>
      </c>
      <c r="G623" s="4">
        <v>2.0</v>
      </c>
      <c r="H623" s="4">
        <v>0.0</v>
      </c>
      <c r="I623" s="4">
        <v>44.0</v>
      </c>
      <c r="J623" s="4">
        <v>23.0</v>
      </c>
      <c r="K623" s="4">
        <v>21.0</v>
      </c>
      <c r="L623" s="2" t="s">
        <v>206</v>
      </c>
      <c r="M623" s="5">
        <f>IFERROR(__xludf.DUMMYFUNCTION("""COMPUTED_VALUE"""),16.0)</f>
        <v>16</v>
      </c>
      <c r="N623" s="5">
        <f>IFERROR(__xludf.DUMMYFUNCTION("""COMPUTED_VALUE"""),6.0)</f>
        <v>6</v>
      </c>
      <c r="O623" s="5">
        <f>IFERROR(__xludf.DUMMYFUNCTION("""COMPUTED_VALUE"""),1.0)</f>
        <v>1</v>
      </c>
    </row>
    <row r="624">
      <c r="A624" s="1" t="s">
        <v>362</v>
      </c>
      <c r="B624" s="4">
        <v>30.0</v>
      </c>
      <c r="C624" s="1" t="s">
        <v>66</v>
      </c>
      <c r="D624" s="4">
        <v>12.0</v>
      </c>
      <c r="E624" s="4">
        <v>12.0</v>
      </c>
      <c r="F624" s="4">
        <v>6.0</v>
      </c>
      <c r="G624" s="4">
        <v>6.0</v>
      </c>
      <c r="H624" s="4">
        <v>0.0</v>
      </c>
      <c r="I624" s="4">
        <v>40.0</v>
      </c>
      <c r="J624" s="4">
        <v>32.0</v>
      </c>
      <c r="K624" s="4">
        <v>8.0</v>
      </c>
      <c r="L624" s="2" t="s">
        <v>177</v>
      </c>
      <c r="M624" s="5">
        <f>IFERROR(__xludf.DUMMYFUNCTION("""COMPUTED_VALUE"""),13.0)</f>
        <v>13</v>
      </c>
      <c r="N624" s="5">
        <f>IFERROR(__xludf.DUMMYFUNCTION("""COMPUTED_VALUE"""),10.0)</f>
        <v>10</v>
      </c>
      <c r="O624" s="5">
        <f>IFERROR(__xludf.DUMMYFUNCTION("""COMPUTED_VALUE"""),1.0)</f>
        <v>1</v>
      </c>
    </row>
    <row r="625">
      <c r="A625" s="1" t="s">
        <v>362</v>
      </c>
      <c r="B625" s="4">
        <v>31.0</v>
      </c>
      <c r="C625" s="1" t="s">
        <v>106</v>
      </c>
      <c r="D625" s="4">
        <v>12.0</v>
      </c>
      <c r="E625" s="4">
        <v>14.0</v>
      </c>
      <c r="F625" s="4">
        <v>6.0</v>
      </c>
      <c r="G625" s="4">
        <v>8.0</v>
      </c>
      <c r="H625" s="4">
        <v>0.0</v>
      </c>
      <c r="I625" s="4">
        <v>45.0</v>
      </c>
      <c r="J625" s="4">
        <v>52.0</v>
      </c>
      <c r="K625" s="4">
        <v>-7.0</v>
      </c>
      <c r="L625" s="2" t="s">
        <v>120</v>
      </c>
      <c r="M625" s="5">
        <f>IFERROR(__xludf.DUMMYFUNCTION("""COMPUTED_VALUE"""),7.0)</f>
        <v>7</v>
      </c>
      <c r="N625" s="5">
        <f>IFERROR(__xludf.DUMMYFUNCTION("""COMPUTED_VALUE"""),16.0)</f>
        <v>16</v>
      </c>
      <c r="O625" s="5">
        <f>IFERROR(__xludf.DUMMYFUNCTION("""COMPUTED_VALUE"""),2000.0)</f>
        <v>2000</v>
      </c>
    </row>
    <row r="626">
      <c r="A626" s="1" t="s">
        <v>362</v>
      </c>
      <c r="B626" s="4">
        <v>32.0</v>
      </c>
      <c r="C626" s="1" t="s">
        <v>92</v>
      </c>
      <c r="D626" s="4">
        <v>11.0</v>
      </c>
      <c r="E626" s="4">
        <v>9.0</v>
      </c>
      <c r="F626" s="4">
        <v>5.0</v>
      </c>
      <c r="G626" s="4">
        <v>3.0</v>
      </c>
      <c r="H626" s="4">
        <v>1.0</v>
      </c>
      <c r="I626" s="4">
        <v>32.0</v>
      </c>
      <c r="J626" s="4">
        <v>23.0</v>
      </c>
      <c r="K626" s="4">
        <v>9.0</v>
      </c>
      <c r="L626" s="2" t="s">
        <v>63</v>
      </c>
      <c r="M626" s="5">
        <f>IFERROR(__xludf.DUMMYFUNCTION("""COMPUTED_VALUE"""),16.0)</f>
        <v>16</v>
      </c>
      <c r="N626" s="5">
        <f>IFERROR(__xludf.DUMMYFUNCTION("""COMPUTED_VALUE"""),7.0)</f>
        <v>7</v>
      </c>
      <c r="O626" s="5">
        <f>IFERROR(__xludf.DUMMYFUNCTION("""COMPUTED_VALUE"""),1.0)</f>
        <v>1</v>
      </c>
    </row>
    <row r="627">
      <c r="A627" s="1" t="s">
        <v>362</v>
      </c>
      <c r="B627" s="4">
        <v>33.0</v>
      </c>
      <c r="C627" s="1" t="s">
        <v>73</v>
      </c>
      <c r="D627" s="4">
        <v>11.0</v>
      </c>
      <c r="E627" s="4">
        <v>10.0</v>
      </c>
      <c r="F627" s="4">
        <v>5.0</v>
      </c>
      <c r="G627" s="4">
        <v>4.0</v>
      </c>
      <c r="H627" s="4">
        <v>1.0</v>
      </c>
      <c r="I627" s="4">
        <v>27.0</v>
      </c>
      <c r="J627" s="4">
        <v>28.0</v>
      </c>
      <c r="K627" s="4">
        <v>-1.0</v>
      </c>
      <c r="L627" s="2" t="s">
        <v>367</v>
      </c>
      <c r="M627" s="5">
        <f>IFERROR(__xludf.DUMMYFUNCTION("""COMPUTED_VALUE"""),15.0)</f>
        <v>15</v>
      </c>
      <c r="N627" s="5">
        <f>IFERROR(__xludf.DUMMYFUNCTION("""COMPUTED_VALUE"""),4.0)</f>
        <v>4</v>
      </c>
      <c r="O627" s="5">
        <f>IFERROR(__xludf.DUMMYFUNCTION("""COMPUTED_VALUE"""),1.0)</f>
        <v>1</v>
      </c>
    </row>
    <row r="628">
      <c r="A628" s="1" t="s">
        <v>362</v>
      </c>
      <c r="B628" s="4">
        <v>34.0</v>
      </c>
      <c r="C628" s="1" t="s">
        <v>121</v>
      </c>
      <c r="D628" s="4">
        <v>10.0</v>
      </c>
      <c r="E628" s="4">
        <v>10.0</v>
      </c>
      <c r="F628" s="4">
        <v>5.0</v>
      </c>
      <c r="G628" s="4">
        <v>5.0</v>
      </c>
      <c r="H628" s="4">
        <v>0.0</v>
      </c>
      <c r="I628" s="4">
        <v>38.0</v>
      </c>
      <c r="J628" s="4">
        <v>42.0</v>
      </c>
      <c r="K628" s="4">
        <v>-4.0</v>
      </c>
      <c r="L628" s="2" t="s">
        <v>173</v>
      </c>
      <c r="M628" s="5">
        <f>IFERROR(__xludf.DUMMYFUNCTION("""COMPUTED_VALUE"""),8.0)</f>
        <v>8</v>
      </c>
      <c r="N628" s="5">
        <f>IFERROR(__xludf.DUMMYFUNCTION("""COMPUTED_VALUE"""),15.0)</f>
        <v>15</v>
      </c>
      <c r="O628" s="5">
        <f>IFERROR(__xludf.DUMMYFUNCTION("""COMPUTED_VALUE"""),2001.0)</f>
        <v>2001</v>
      </c>
    </row>
    <row r="629">
      <c r="A629" s="1" t="s">
        <v>362</v>
      </c>
      <c r="B629" s="4">
        <v>35.0</v>
      </c>
      <c r="C629" s="1" t="s">
        <v>29</v>
      </c>
      <c r="D629" s="4">
        <v>10.0</v>
      </c>
      <c r="E629" s="4">
        <v>12.0</v>
      </c>
      <c r="F629" s="4">
        <v>5.0</v>
      </c>
      <c r="G629" s="4">
        <v>7.0</v>
      </c>
      <c r="H629" s="4">
        <v>0.0</v>
      </c>
      <c r="I629" s="4">
        <v>34.0</v>
      </c>
      <c r="J629" s="4">
        <v>57.0</v>
      </c>
      <c r="K629" s="4">
        <v>-23.0</v>
      </c>
      <c r="L629" s="2" t="s">
        <v>89</v>
      </c>
      <c r="M629" s="5">
        <f>IFERROR(__xludf.DUMMYFUNCTION("""COMPUTED_VALUE"""),12.0)</f>
        <v>12</v>
      </c>
      <c r="N629" s="5">
        <f>IFERROR(__xludf.DUMMYFUNCTION("""COMPUTED_VALUE"""),10.0)</f>
        <v>10</v>
      </c>
      <c r="O629" s="5">
        <f>IFERROR(__xludf.DUMMYFUNCTION("""COMPUTED_VALUE"""),2001.0)</f>
        <v>2001</v>
      </c>
    </row>
    <row r="630">
      <c r="A630" s="1" t="s">
        <v>362</v>
      </c>
      <c r="B630" s="4">
        <v>36.0</v>
      </c>
      <c r="C630" s="1" t="s">
        <v>98</v>
      </c>
      <c r="D630" s="4">
        <v>9.0</v>
      </c>
      <c r="E630" s="4">
        <v>7.0</v>
      </c>
      <c r="F630" s="4">
        <v>4.0</v>
      </c>
      <c r="G630" s="4">
        <v>2.0</v>
      </c>
      <c r="H630" s="4">
        <v>1.0</v>
      </c>
      <c r="I630" s="4">
        <v>33.0</v>
      </c>
      <c r="J630" s="4">
        <v>13.0</v>
      </c>
      <c r="K630" s="4">
        <v>20.0</v>
      </c>
      <c r="L630" s="2" t="s">
        <v>208</v>
      </c>
      <c r="M630" s="5">
        <f>IFERROR(__xludf.DUMMYFUNCTION("""COMPUTED_VALUE"""),14.0)</f>
        <v>14</v>
      </c>
      <c r="N630" s="5">
        <f>IFERROR(__xludf.DUMMYFUNCTION("""COMPUTED_VALUE"""),8.0)</f>
        <v>8</v>
      </c>
      <c r="O630" s="5">
        <f>IFERROR(__xludf.DUMMYFUNCTION("""COMPUTED_VALUE"""),2.0)</f>
        <v>2</v>
      </c>
    </row>
    <row r="631">
      <c r="A631" s="1" t="s">
        <v>362</v>
      </c>
      <c r="B631" s="4">
        <v>37.0</v>
      </c>
      <c r="C631" s="1" t="s">
        <v>144</v>
      </c>
      <c r="D631" s="4">
        <v>8.0</v>
      </c>
      <c r="E631" s="4">
        <v>5.0</v>
      </c>
      <c r="F631" s="4">
        <v>4.0</v>
      </c>
      <c r="G631" s="4">
        <v>1.0</v>
      </c>
      <c r="H631" s="4">
        <v>0.0</v>
      </c>
      <c r="I631" s="4">
        <v>30.0</v>
      </c>
      <c r="J631" s="4">
        <v>7.0</v>
      </c>
      <c r="K631" s="4">
        <v>23.0</v>
      </c>
      <c r="L631" s="2" t="s">
        <v>57</v>
      </c>
      <c r="M631" s="5">
        <f>IFERROR(__xludf.DUMMYFUNCTION("""COMPUTED_VALUE"""),17.0)</f>
        <v>17</v>
      </c>
      <c r="N631" s="5">
        <f>IFERROR(__xludf.DUMMYFUNCTION("""COMPUTED_VALUE"""),7.0)</f>
        <v>7</v>
      </c>
      <c r="O631" s="5">
        <f>IFERROR(__xludf.DUMMYFUNCTION("""COMPUTED_VALUE"""),0.0)</f>
        <v>0</v>
      </c>
    </row>
    <row r="632">
      <c r="A632" s="1" t="s">
        <v>362</v>
      </c>
      <c r="B632" s="4">
        <v>38.0</v>
      </c>
      <c r="C632" s="1" t="s">
        <v>54</v>
      </c>
      <c r="D632" s="4">
        <v>8.0</v>
      </c>
      <c r="E632" s="4">
        <v>7.0</v>
      </c>
      <c r="F632" s="4">
        <v>4.0</v>
      </c>
      <c r="G632" s="4">
        <v>3.0</v>
      </c>
      <c r="H632" s="4">
        <v>0.0</v>
      </c>
      <c r="I632" s="4">
        <v>30.0</v>
      </c>
      <c r="J632" s="4">
        <v>15.0</v>
      </c>
      <c r="K632" s="4">
        <v>15.0</v>
      </c>
      <c r="L632" s="2" t="s">
        <v>213</v>
      </c>
      <c r="M632" s="5">
        <f>IFERROR(__xludf.DUMMYFUNCTION("""COMPUTED_VALUE"""),12.0)</f>
        <v>12</v>
      </c>
      <c r="N632" s="5">
        <f>IFERROR(__xludf.DUMMYFUNCTION("""COMPUTED_VALUE"""),9.0)</f>
        <v>9</v>
      </c>
      <c r="O632" s="5">
        <f>IFERROR(__xludf.DUMMYFUNCTION("""COMPUTED_VALUE"""),2000.0)</f>
        <v>2000</v>
      </c>
    </row>
    <row r="633">
      <c r="A633" s="1" t="s">
        <v>362</v>
      </c>
      <c r="B633" s="4">
        <v>39.0</v>
      </c>
      <c r="C633" s="1" t="s">
        <v>108</v>
      </c>
      <c r="D633" s="4">
        <v>8.0</v>
      </c>
      <c r="E633" s="4">
        <v>6.0</v>
      </c>
      <c r="F633" s="4">
        <v>4.0</v>
      </c>
      <c r="G633" s="4">
        <v>2.0</v>
      </c>
      <c r="H633" s="4">
        <v>0.0</v>
      </c>
      <c r="I633" s="4">
        <v>30.0</v>
      </c>
      <c r="J633" s="4">
        <v>19.0</v>
      </c>
      <c r="K633" s="4">
        <v>11.0</v>
      </c>
      <c r="L633" s="2" t="s">
        <v>82</v>
      </c>
      <c r="M633" s="5">
        <f>IFERROR(__xludf.DUMMYFUNCTION("""COMPUTED_VALUE"""),11.0)</f>
        <v>11</v>
      </c>
      <c r="N633" s="5">
        <f>IFERROR(__xludf.DUMMYFUNCTION("""COMPUTED_VALUE"""),12.0)</f>
        <v>12</v>
      </c>
      <c r="O633" s="5">
        <f>IFERROR(__xludf.DUMMYFUNCTION("""COMPUTED_VALUE"""),2001.0)</f>
        <v>2001</v>
      </c>
    </row>
    <row r="634">
      <c r="A634" s="1" t="s">
        <v>362</v>
      </c>
      <c r="B634" s="4">
        <v>40.0</v>
      </c>
      <c r="C634" s="1" t="s">
        <v>36</v>
      </c>
      <c r="D634" s="4">
        <v>8.0</v>
      </c>
      <c r="E634" s="4">
        <v>7.0</v>
      </c>
      <c r="F634" s="4">
        <v>4.0</v>
      </c>
      <c r="G634" s="4">
        <v>3.0</v>
      </c>
      <c r="H634" s="4">
        <v>0.0</v>
      </c>
      <c r="I634" s="4">
        <v>20.0</v>
      </c>
      <c r="J634" s="4">
        <v>12.0</v>
      </c>
      <c r="K634" s="4">
        <v>8.0</v>
      </c>
      <c r="L634" s="2" t="s">
        <v>183</v>
      </c>
      <c r="M634" s="5">
        <f>IFERROR(__xludf.DUMMYFUNCTION("""COMPUTED_VALUE"""),14.0)</f>
        <v>14</v>
      </c>
      <c r="N634" s="5">
        <f>IFERROR(__xludf.DUMMYFUNCTION("""COMPUTED_VALUE"""),8.0)</f>
        <v>8</v>
      </c>
      <c r="O634" s="5">
        <f>IFERROR(__xludf.DUMMYFUNCTION("""COMPUTED_VALUE"""),1.0)</f>
        <v>1</v>
      </c>
    </row>
    <row r="635">
      <c r="A635" s="1" t="s">
        <v>362</v>
      </c>
      <c r="B635" s="4">
        <v>41.0</v>
      </c>
      <c r="C635" s="1" t="s">
        <v>122</v>
      </c>
      <c r="D635" s="4">
        <v>8.0</v>
      </c>
      <c r="E635" s="4">
        <v>10.0</v>
      </c>
      <c r="F635" s="4">
        <v>4.0</v>
      </c>
      <c r="G635" s="4">
        <v>6.0</v>
      </c>
      <c r="H635" s="4">
        <v>0.0</v>
      </c>
      <c r="I635" s="4">
        <v>30.0</v>
      </c>
      <c r="J635" s="4">
        <v>27.0</v>
      </c>
      <c r="K635" s="4">
        <v>3.0</v>
      </c>
      <c r="L635" s="2" t="s">
        <v>87</v>
      </c>
      <c r="M635" s="5">
        <f>IFERROR(__xludf.DUMMYFUNCTION("""COMPUTED_VALUE"""),8.0)</f>
        <v>8</v>
      </c>
      <c r="N635" s="5">
        <f>IFERROR(__xludf.DUMMYFUNCTION("""COMPUTED_VALUE"""),16.0)</f>
        <v>16</v>
      </c>
      <c r="O635" s="5">
        <f>IFERROR(__xludf.DUMMYFUNCTION("""COMPUTED_VALUE"""),2000.0)</f>
        <v>2000</v>
      </c>
    </row>
    <row r="636">
      <c r="A636" s="1" t="s">
        <v>362</v>
      </c>
      <c r="B636" s="4">
        <v>42.0</v>
      </c>
      <c r="C636" s="1" t="s">
        <v>99</v>
      </c>
      <c r="D636" s="4">
        <v>8.0</v>
      </c>
      <c r="E636" s="4">
        <v>10.0</v>
      </c>
      <c r="F636" s="4">
        <v>4.0</v>
      </c>
      <c r="G636" s="4">
        <v>6.0</v>
      </c>
      <c r="H636" s="4">
        <v>0.0</v>
      </c>
      <c r="I636" s="4">
        <v>39.0</v>
      </c>
      <c r="J636" s="4">
        <v>39.0</v>
      </c>
      <c r="K636" s="4">
        <v>0.0</v>
      </c>
      <c r="L636" s="2" t="s">
        <v>179</v>
      </c>
      <c r="M636" s="5">
        <f>IFERROR(__xludf.DUMMYFUNCTION("""COMPUTED_VALUE"""),10.0)</f>
        <v>10</v>
      </c>
      <c r="N636" s="5">
        <f>IFERROR(__xludf.DUMMYFUNCTION("""COMPUTED_VALUE"""),13.0)</f>
        <v>13</v>
      </c>
      <c r="O636" s="5">
        <f>IFERROR(__xludf.DUMMYFUNCTION("""COMPUTED_VALUE"""),2001.0)</f>
        <v>2001</v>
      </c>
    </row>
    <row r="637">
      <c r="A637" s="1" t="s">
        <v>362</v>
      </c>
      <c r="B637" s="4">
        <v>43.0</v>
      </c>
      <c r="C637" s="1" t="s">
        <v>39</v>
      </c>
      <c r="D637" s="4">
        <v>8.0</v>
      </c>
      <c r="E637" s="4">
        <v>8.0</v>
      </c>
      <c r="F637" s="4">
        <v>4.0</v>
      </c>
      <c r="G637" s="4">
        <v>4.0</v>
      </c>
      <c r="H637" s="4">
        <v>0.0</v>
      </c>
      <c r="I637" s="4">
        <v>27.0</v>
      </c>
      <c r="J637" s="4">
        <v>31.0</v>
      </c>
      <c r="K637" s="4">
        <v>-4.0</v>
      </c>
      <c r="L637" s="2" t="s">
        <v>23</v>
      </c>
      <c r="M637" s="5">
        <f>IFERROR(__xludf.DUMMYFUNCTION("""COMPUTED_VALUE"""),14.0)</f>
        <v>14</v>
      </c>
      <c r="N637" s="5">
        <f>IFERROR(__xludf.DUMMYFUNCTION("""COMPUTED_VALUE"""),10.0)</f>
        <v>10</v>
      </c>
      <c r="O637" s="5">
        <f>IFERROR(__xludf.DUMMYFUNCTION("""COMPUTED_VALUE"""),0.0)</f>
        <v>0</v>
      </c>
    </row>
    <row r="638">
      <c r="A638" s="1" t="s">
        <v>362</v>
      </c>
      <c r="B638" s="4">
        <v>44.0</v>
      </c>
      <c r="C638" s="1" t="s">
        <v>152</v>
      </c>
      <c r="D638" s="4">
        <v>8.0</v>
      </c>
      <c r="E638" s="4">
        <v>8.0</v>
      </c>
      <c r="F638" s="4">
        <v>4.0</v>
      </c>
      <c r="G638" s="4">
        <v>4.0</v>
      </c>
      <c r="H638" s="4">
        <v>0.0</v>
      </c>
      <c r="I638" s="4">
        <v>29.0</v>
      </c>
      <c r="J638" s="4">
        <v>38.0</v>
      </c>
      <c r="K638" s="4">
        <v>-9.0</v>
      </c>
      <c r="L638" s="2" t="s">
        <v>153</v>
      </c>
      <c r="M638" s="5">
        <f>IFERROR(__xludf.DUMMYFUNCTION("""COMPUTED_VALUE"""),5.0)</f>
        <v>5</v>
      </c>
      <c r="N638" s="5">
        <f>IFERROR(__xludf.DUMMYFUNCTION("""COMPUTED_VALUE"""),18.0)</f>
        <v>18</v>
      </c>
      <c r="O638" s="5">
        <f>IFERROR(__xludf.DUMMYFUNCTION("""COMPUTED_VALUE"""),2000.0)</f>
        <v>2000</v>
      </c>
    </row>
    <row r="639">
      <c r="A639" s="1" t="s">
        <v>362</v>
      </c>
      <c r="B639" s="4">
        <v>45.0</v>
      </c>
      <c r="C639" s="1" t="s">
        <v>105</v>
      </c>
      <c r="D639" s="4">
        <v>8.0</v>
      </c>
      <c r="E639" s="4">
        <v>10.0</v>
      </c>
      <c r="F639" s="4">
        <v>4.0</v>
      </c>
      <c r="G639" s="4">
        <v>6.0</v>
      </c>
      <c r="H639" s="4">
        <v>0.0</v>
      </c>
      <c r="I639" s="4">
        <v>31.0</v>
      </c>
      <c r="J639" s="4">
        <v>41.0</v>
      </c>
      <c r="K639" s="4">
        <v>-10.0</v>
      </c>
      <c r="L639" s="2" t="s">
        <v>182</v>
      </c>
      <c r="M639" s="5">
        <f>IFERROR(__xludf.DUMMYFUNCTION("""COMPUTED_VALUE"""),12.0)</f>
        <v>12</v>
      </c>
      <c r="N639" s="5">
        <f>IFERROR(__xludf.DUMMYFUNCTION("""COMPUTED_VALUE"""),11.0)</f>
        <v>11</v>
      </c>
      <c r="O639" s="5">
        <f>IFERROR(__xludf.DUMMYFUNCTION("""COMPUTED_VALUE"""),2001.0)</f>
        <v>2001</v>
      </c>
    </row>
    <row r="640">
      <c r="A640" s="1" t="s">
        <v>362</v>
      </c>
      <c r="B640" s="4">
        <v>46.0</v>
      </c>
      <c r="C640" s="1" t="s">
        <v>368</v>
      </c>
      <c r="D640" s="4">
        <v>7.0</v>
      </c>
      <c r="E640" s="4">
        <v>8.0</v>
      </c>
      <c r="F640" s="4">
        <v>3.0</v>
      </c>
      <c r="G640" s="4">
        <v>4.0</v>
      </c>
      <c r="H640" s="4">
        <v>1.0</v>
      </c>
      <c r="I640" s="4">
        <v>43.0</v>
      </c>
      <c r="J640" s="4">
        <v>39.0</v>
      </c>
      <c r="K640" s="4">
        <v>4.0</v>
      </c>
      <c r="L640" s="2" t="s">
        <v>369</v>
      </c>
      <c r="M640" s="5">
        <f>IFERROR(__xludf.DUMMYFUNCTION("""COMPUTED_VALUE"""),11.0)</f>
        <v>11</v>
      </c>
      <c r="N640" s="5">
        <f>IFERROR(__xludf.DUMMYFUNCTION("""COMPUTED_VALUE"""),9.0)</f>
        <v>9</v>
      </c>
      <c r="O640" s="5">
        <f>IFERROR(__xludf.DUMMYFUNCTION("""COMPUTED_VALUE"""),2001.0)</f>
        <v>2001</v>
      </c>
    </row>
    <row r="641">
      <c r="A641" s="1" t="s">
        <v>362</v>
      </c>
      <c r="B641" s="4">
        <v>47.0</v>
      </c>
      <c r="C641" s="1" t="s">
        <v>56</v>
      </c>
      <c r="D641" s="4">
        <v>6.0</v>
      </c>
      <c r="E641" s="4">
        <v>6.0</v>
      </c>
      <c r="F641" s="4">
        <v>3.0</v>
      </c>
      <c r="G641" s="4">
        <v>3.0</v>
      </c>
      <c r="H641" s="4">
        <v>0.0</v>
      </c>
      <c r="I641" s="4">
        <v>20.0</v>
      </c>
      <c r="J641" s="4">
        <v>21.0</v>
      </c>
      <c r="K641" s="4">
        <v>-1.0</v>
      </c>
      <c r="L641" s="2" t="s">
        <v>57</v>
      </c>
      <c r="M641" s="5">
        <f>IFERROR(__xludf.DUMMYFUNCTION("""COMPUTED_VALUE"""),17.0)</f>
        <v>17</v>
      </c>
      <c r="N641" s="5">
        <f>IFERROR(__xludf.DUMMYFUNCTION("""COMPUTED_VALUE"""),7.0)</f>
        <v>7</v>
      </c>
      <c r="O641" s="5">
        <f>IFERROR(__xludf.DUMMYFUNCTION("""COMPUTED_VALUE"""),0.0)</f>
        <v>0</v>
      </c>
    </row>
    <row r="642">
      <c r="A642" s="1" t="s">
        <v>362</v>
      </c>
      <c r="B642" s="4">
        <v>48.0</v>
      </c>
      <c r="C642" s="1" t="s">
        <v>81</v>
      </c>
      <c r="D642" s="4">
        <v>6.0</v>
      </c>
      <c r="E642" s="4">
        <v>10.0</v>
      </c>
      <c r="F642" s="4">
        <v>3.0</v>
      </c>
      <c r="G642" s="4">
        <v>7.0</v>
      </c>
      <c r="H642" s="4">
        <v>0.0</v>
      </c>
      <c r="I642" s="4">
        <v>38.0</v>
      </c>
      <c r="J642" s="4">
        <v>46.0</v>
      </c>
      <c r="K642" s="4">
        <v>-8.0</v>
      </c>
      <c r="L642" s="2" t="s">
        <v>179</v>
      </c>
      <c r="M642" s="5">
        <f>IFERROR(__xludf.DUMMYFUNCTION("""COMPUTED_VALUE"""),10.0)</f>
        <v>10</v>
      </c>
      <c r="N642" s="5">
        <f>IFERROR(__xludf.DUMMYFUNCTION("""COMPUTED_VALUE"""),13.0)</f>
        <v>13</v>
      </c>
      <c r="O642" s="5">
        <f>IFERROR(__xludf.DUMMYFUNCTION("""COMPUTED_VALUE"""),2001.0)</f>
        <v>2001</v>
      </c>
    </row>
    <row r="643">
      <c r="A643" s="1" t="s">
        <v>362</v>
      </c>
      <c r="B643" s="4">
        <v>49.0</v>
      </c>
      <c r="C643" s="1" t="s">
        <v>52</v>
      </c>
      <c r="D643" s="4">
        <v>6.0</v>
      </c>
      <c r="E643" s="4">
        <v>12.0</v>
      </c>
      <c r="F643" s="4">
        <v>3.0</v>
      </c>
      <c r="G643" s="4">
        <v>9.0</v>
      </c>
      <c r="H643" s="4">
        <v>0.0</v>
      </c>
      <c r="I643" s="4">
        <v>29.0</v>
      </c>
      <c r="J643" s="4">
        <v>54.0</v>
      </c>
      <c r="K643" s="4">
        <v>-25.0</v>
      </c>
      <c r="L643" s="2" t="s">
        <v>370</v>
      </c>
      <c r="M643" s="5">
        <f>IFERROR(__xludf.DUMMYFUNCTION("""COMPUTED_VALUE"""),4.0)</f>
        <v>4</v>
      </c>
      <c r="N643" s="5">
        <f>IFERROR(__xludf.DUMMYFUNCTION("""COMPUTED_VALUE"""),13.0)</f>
        <v>13</v>
      </c>
      <c r="O643" s="5">
        <f>IFERROR(__xludf.DUMMYFUNCTION("""COMPUTED_VALUE"""),2001.0)</f>
        <v>2001</v>
      </c>
    </row>
    <row r="644">
      <c r="A644" s="1" t="s">
        <v>362</v>
      </c>
      <c r="B644" s="4">
        <v>50.0</v>
      </c>
      <c r="C644" s="1" t="s">
        <v>46</v>
      </c>
      <c r="D644" s="4">
        <v>6.0</v>
      </c>
      <c r="E644" s="4">
        <v>13.0</v>
      </c>
      <c r="F644" s="4">
        <v>3.0</v>
      </c>
      <c r="G644" s="4">
        <v>10.0</v>
      </c>
      <c r="H644" s="4">
        <v>0.0</v>
      </c>
      <c r="I644" s="4">
        <v>36.0</v>
      </c>
      <c r="J644" s="4">
        <v>72.0</v>
      </c>
      <c r="K644" s="4">
        <v>-36.0</v>
      </c>
      <c r="L644" s="2" t="s">
        <v>335</v>
      </c>
      <c r="M644" s="5">
        <f>IFERROR(__xludf.DUMMYFUNCTION("""COMPUTED_VALUE"""),4.0)</f>
        <v>4</v>
      </c>
      <c r="N644" s="5">
        <f>IFERROR(__xludf.DUMMYFUNCTION("""COMPUTED_VALUE"""),19.0)</f>
        <v>19</v>
      </c>
      <c r="O644" s="5">
        <f>IFERROR(__xludf.DUMMYFUNCTION("""COMPUTED_VALUE"""),2000.0)</f>
        <v>2000</v>
      </c>
    </row>
    <row r="645">
      <c r="A645" s="1" t="s">
        <v>362</v>
      </c>
      <c r="B645" s="4">
        <v>51.0</v>
      </c>
      <c r="C645" s="1" t="s">
        <v>150</v>
      </c>
      <c r="D645" s="4">
        <v>4.0</v>
      </c>
      <c r="E645" s="4">
        <v>8.0</v>
      </c>
      <c r="F645" s="4">
        <v>2.0</v>
      </c>
      <c r="G645" s="4">
        <v>6.0</v>
      </c>
      <c r="H645" s="4">
        <v>0.0</v>
      </c>
      <c r="I645" s="4">
        <v>34.0</v>
      </c>
      <c r="J645" s="4">
        <v>41.0</v>
      </c>
      <c r="K645" s="4">
        <v>-7.0</v>
      </c>
      <c r="L645" s="2" t="s">
        <v>189</v>
      </c>
      <c r="M645" s="5">
        <f>IFERROR(__xludf.DUMMYFUNCTION("""COMPUTED_VALUE"""),7.0)</f>
        <v>7</v>
      </c>
      <c r="N645" s="5">
        <f>IFERROR(__xludf.DUMMYFUNCTION("""COMPUTED_VALUE"""),17.0)</f>
        <v>17</v>
      </c>
      <c r="O645" s="5">
        <f>IFERROR(__xludf.DUMMYFUNCTION("""COMPUTED_VALUE"""),2000.0)</f>
        <v>2000</v>
      </c>
    </row>
    <row r="646">
      <c r="A646" s="1" t="s">
        <v>362</v>
      </c>
      <c r="B646" s="4">
        <v>52.0</v>
      </c>
      <c r="C646" s="1" t="s">
        <v>31</v>
      </c>
      <c r="D646" s="4">
        <v>4.0</v>
      </c>
      <c r="E646" s="4">
        <v>7.0</v>
      </c>
      <c r="F646" s="4">
        <v>2.0</v>
      </c>
      <c r="G646" s="4">
        <v>5.0</v>
      </c>
      <c r="H646" s="4">
        <v>0.0</v>
      </c>
      <c r="I646" s="4">
        <v>14.0</v>
      </c>
      <c r="J646" s="4">
        <v>27.0</v>
      </c>
      <c r="K646" s="4">
        <v>-13.0</v>
      </c>
      <c r="L646" s="2" t="s">
        <v>91</v>
      </c>
      <c r="M646" s="5">
        <f>IFERROR(__xludf.DUMMYFUNCTION("""COMPUTED_VALUE"""),6.0)</f>
        <v>6</v>
      </c>
      <c r="N646" s="5">
        <f>IFERROR(__xludf.DUMMYFUNCTION("""COMPUTED_VALUE"""),17.0)</f>
        <v>17</v>
      </c>
      <c r="O646" s="5">
        <f>IFERROR(__xludf.DUMMYFUNCTION("""COMPUTED_VALUE"""),2001.0)</f>
        <v>2001</v>
      </c>
    </row>
    <row r="647">
      <c r="A647" s="1" t="s">
        <v>362</v>
      </c>
      <c r="B647" s="4">
        <v>53.0</v>
      </c>
      <c r="C647" s="1" t="s">
        <v>141</v>
      </c>
      <c r="D647" s="4">
        <v>4.0</v>
      </c>
      <c r="E647" s="4">
        <v>6.0</v>
      </c>
      <c r="F647" s="4">
        <v>2.0</v>
      </c>
      <c r="G647" s="4">
        <v>4.0</v>
      </c>
      <c r="H647" s="4">
        <v>0.0</v>
      </c>
      <c r="I647" s="4">
        <v>19.0</v>
      </c>
      <c r="J647" s="4">
        <v>32.0</v>
      </c>
      <c r="K647" s="4">
        <v>-13.0</v>
      </c>
      <c r="L647" s="2" t="s">
        <v>328</v>
      </c>
      <c r="M647" s="5">
        <f>IFERROR(__xludf.DUMMYFUNCTION("""COMPUTED_VALUE"""),8.0)</f>
        <v>8</v>
      </c>
      <c r="N647" s="5">
        <f>IFERROR(__xludf.DUMMYFUNCTION("""COMPUTED_VALUE"""),14.0)</f>
        <v>14</v>
      </c>
      <c r="O647" s="5">
        <f>IFERROR(__xludf.DUMMYFUNCTION("""COMPUTED_VALUE"""),2001.0)</f>
        <v>2001</v>
      </c>
    </row>
    <row r="648">
      <c r="A648" s="1" t="s">
        <v>362</v>
      </c>
      <c r="B648" s="4">
        <v>54.0</v>
      </c>
      <c r="C648" s="1" t="s">
        <v>69</v>
      </c>
      <c r="D648" s="4">
        <v>4.0</v>
      </c>
      <c r="E648" s="4">
        <v>8.0</v>
      </c>
      <c r="F648" s="4">
        <v>2.0</v>
      </c>
      <c r="G648" s="4">
        <v>6.0</v>
      </c>
      <c r="H648" s="4">
        <v>0.0</v>
      </c>
      <c r="I648" s="4">
        <v>12.0</v>
      </c>
      <c r="J648" s="4">
        <v>51.0</v>
      </c>
      <c r="K648" s="4">
        <v>-39.0</v>
      </c>
      <c r="L648" s="2" t="s">
        <v>229</v>
      </c>
      <c r="M648" s="5">
        <f>IFERROR(__xludf.DUMMYFUNCTION("""COMPUTED_VALUE"""),6.0)</f>
        <v>6</v>
      </c>
      <c r="N648" s="5">
        <f>IFERROR(__xludf.DUMMYFUNCTION("""COMPUTED_VALUE"""),17.0)</f>
        <v>17</v>
      </c>
      <c r="O648" s="5">
        <f>IFERROR(__xludf.DUMMYFUNCTION("""COMPUTED_VALUE"""),2000.0)</f>
        <v>2000</v>
      </c>
    </row>
    <row r="649">
      <c r="A649" s="1" t="s">
        <v>362</v>
      </c>
      <c r="B649" s="4">
        <v>55.0</v>
      </c>
      <c r="C649" s="1" t="s">
        <v>123</v>
      </c>
      <c r="D649" s="4">
        <v>4.0</v>
      </c>
      <c r="E649" s="4">
        <v>12.0</v>
      </c>
      <c r="F649" s="4">
        <v>2.0</v>
      </c>
      <c r="G649" s="4">
        <v>10.0</v>
      </c>
      <c r="H649" s="4">
        <v>0.0</v>
      </c>
      <c r="I649" s="4">
        <v>29.0</v>
      </c>
      <c r="J649" s="4">
        <v>69.0</v>
      </c>
      <c r="K649" s="4">
        <v>-40.0</v>
      </c>
      <c r="L649" s="2" t="s">
        <v>95</v>
      </c>
      <c r="M649" s="5">
        <f>IFERROR(__xludf.DUMMYFUNCTION("""COMPUTED_VALUE"""),9.0)</f>
        <v>9</v>
      </c>
      <c r="N649" s="5">
        <f>IFERROR(__xludf.DUMMYFUNCTION("""COMPUTED_VALUE"""),14.0)</f>
        <v>14</v>
      </c>
      <c r="O649" s="5">
        <f>IFERROR(__xludf.DUMMYFUNCTION("""COMPUTED_VALUE"""),2000.0)</f>
        <v>2000</v>
      </c>
    </row>
    <row r="650">
      <c r="A650" s="1" t="s">
        <v>362</v>
      </c>
      <c r="B650" s="4">
        <v>56.0</v>
      </c>
      <c r="C650" s="1" t="s">
        <v>371</v>
      </c>
      <c r="D650" s="4">
        <v>4.0</v>
      </c>
      <c r="E650" s="4">
        <v>8.0</v>
      </c>
      <c r="F650" s="4">
        <v>2.0</v>
      </c>
      <c r="G650" s="4">
        <v>6.0</v>
      </c>
      <c r="H650" s="4">
        <v>0.0</v>
      </c>
      <c r="I650" s="4">
        <v>15.0</v>
      </c>
      <c r="J650" s="4">
        <v>59.0</v>
      </c>
      <c r="K650" s="4">
        <v>-44.0</v>
      </c>
      <c r="L650" s="2" t="s">
        <v>372</v>
      </c>
      <c r="M650" s="5">
        <f>IFERROR(__xludf.DUMMYFUNCTION("""COMPUTED_VALUE"""),6.0)</f>
        <v>6</v>
      </c>
      <c r="N650" s="5">
        <f>IFERROR(__xludf.DUMMYFUNCTION("""COMPUTED_VALUE"""),11.0)</f>
        <v>11</v>
      </c>
      <c r="O650" s="5">
        <f>IFERROR(__xludf.DUMMYFUNCTION("""COMPUTED_VALUE"""),2001.0)</f>
        <v>2001</v>
      </c>
    </row>
    <row r="651">
      <c r="A651" s="1" t="s">
        <v>362</v>
      </c>
      <c r="B651" s="4">
        <v>57.0</v>
      </c>
      <c r="C651" s="1" t="s">
        <v>146</v>
      </c>
      <c r="D651" s="4">
        <v>4.0</v>
      </c>
      <c r="E651" s="4">
        <v>14.0</v>
      </c>
      <c r="F651" s="4">
        <v>2.0</v>
      </c>
      <c r="G651" s="4">
        <v>12.0</v>
      </c>
      <c r="H651" s="4">
        <v>0.0</v>
      </c>
      <c r="I651" s="4">
        <v>21.0</v>
      </c>
      <c r="J651" s="4">
        <v>70.0</v>
      </c>
      <c r="K651" s="4">
        <v>-49.0</v>
      </c>
      <c r="L651" s="2" t="s">
        <v>87</v>
      </c>
      <c r="M651" s="5">
        <f>IFERROR(__xludf.DUMMYFUNCTION("""COMPUTED_VALUE"""),8.0)</f>
        <v>8</v>
      </c>
      <c r="N651" s="5">
        <f>IFERROR(__xludf.DUMMYFUNCTION("""COMPUTED_VALUE"""),16.0)</f>
        <v>16</v>
      </c>
      <c r="O651" s="5">
        <f>IFERROR(__xludf.DUMMYFUNCTION("""COMPUTED_VALUE"""),2000.0)</f>
        <v>2000</v>
      </c>
    </row>
    <row r="652">
      <c r="A652" s="1" t="s">
        <v>362</v>
      </c>
      <c r="B652" s="4">
        <v>58.0</v>
      </c>
      <c r="C652" s="1" t="s">
        <v>83</v>
      </c>
      <c r="D652" s="4">
        <v>2.0</v>
      </c>
      <c r="E652" s="4">
        <v>3.0</v>
      </c>
      <c r="F652" s="4">
        <v>1.0</v>
      </c>
      <c r="G652" s="4">
        <v>2.0</v>
      </c>
      <c r="H652" s="4">
        <v>0.0</v>
      </c>
      <c r="I652" s="4">
        <v>11.0</v>
      </c>
      <c r="J652" s="4">
        <v>4.0</v>
      </c>
      <c r="K652" s="4">
        <v>7.0</v>
      </c>
      <c r="L652" s="2" t="s">
        <v>373</v>
      </c>
      <c r="M652" s="5">
        <f>IFERROR(__xludf.DUMMYFUNCTION("""COMPUTED_VALUE"""),10.0)</f>
        <v>10</v>
      </c>
      <c r="N652" s="5">
        <f>IFERROR(__xludf.DUMMYFUNCTION("""COMPUTED_VALUE"""),9.0)</f>
        <v>9</v>
      </c>
      <c r="O652" s="5">
        <f>IFERROR(__xludf.DUMMYFUNCTION("""COMPUTED_VALUE"""),2004.0)</f>
        <v>2004</v>
      </c>
    </row>
    <row r="653">
      <c r="A653" s="1" t="s">
        <v>362</v>
      </c>
      <c r="B653" s="4">
        <v>59.0</v>
      </c>
      <c r="C653" s="1" t="s">
        <v>142</v>
      </c>
      <c r="D653" s="4">
        <v>2.0</v>
      </c>
      <c r="E653" s="4">
        <v>1.0</v>
      </c>
      <c r="F653" s="4">
        <v>1.0</v>
      </c>
      <c r="G653" s="4">
        <v>0.0</v>
      </c>
      <c r="H653" s="4">
        <v>0.0</v>
      </c>
      <c r="I653" s="4">
        <v>5.0</v>
      </c>
      <c r="J653" s="4">
        <v>1.0</v>
      </c>
      <c r="K653" s="4">
        <v>4.0</v>
      </c>
      <c r="L653" s="2" t="s">
        <v>180</v>
      </c>
      <c r="M653" s="5">
        <f>IFERROR(__xludf.DUMMYFUNCTION("""COMPUTED_VALUE"""),12.0)</f>
        <v>12</v>
      </c>
      <c r="N653" s="5">
        <f>IFERROR(__xludf.DUMMYFUNCTION("""COMPUTED_VALUE"""),10.0)</f>
        <v>10</v>
      </c>
      <c r="O653" s="5">
        <f>IFERROR(__xludf.DUMMYFUNCTION("""COMPUTED_VALUE"""),2002.0)</f>
        <v>2002</v>
      </c>
    </row>
    <row r="654">
      <c r="A654" s="1" t="s">
        <v>362</v>
      </c>
      <c r="B654" s="4">
        <v>60.0</v>
      </c>
      <c r="C654" s="1" t="s">
        <v>112</v>
      </c>
      <c r="D654" s="4">
        <v>2.0</v>
      </c>
      <c r="E654" s="4">
        <v>1.0</v>
      </c>
      <c r="F654" s="4">
        <v>1.0</v>
      </c>
      <c r="G654" s="4">
        <v>0.0</v>
      </c>
      <c r="H654" s="4">
        <v>0.0</v>
      </c>
      <c r="I654" s="4">
        <v>7.0</v>
      </c>
      <c r="J654" s="4">
        <v>4.0</v>
      </c>
      <c r="K654" s="4">
        <v>3.0</v>
      </c>
      <c r="L654" s="2" t="s">
        <v>282</v>
      </c>
      <c r="M654" s="5">
        <f>IFERROR(__xludf.DUMMYFUNCTION("""COMPUTED_VALUE"""),2.0)</f>
        <v>2</v>
      </c>
      <c r="N654" s="5">
        <f>IFERROR(__xludf.DUMMYFUNCTION("""COMPUTED_VALUE"""),4.0)</f>
        <v>4</v>
      </c>
      <c r="O654" s="5">
        <f>IFERROR(__xludf.DUMMYFUNCTION("""COMPUTED_VALUE"""),2000.0)</f>
        <v>2000</v>
      </c>
    </row>
    <row r="655">
      <c r="A655" s="1" t="s">
        <v>362</v>
      </c>
      <c r="B655" s="4">
        <v>61.0</v>
      </c>
      <c r="C655" s="1" t="s">
        <v>147</v>
      </c>
      <c r="D655" s="4">
        <v>2.0</v>
      </c>
      <c r="E655" s="4">
        <v>6.0</v>
      </c>
      <c r="F655" s="4">
        <v>1.0</v>
      </c>
      <c r="G655" s="4">
        <v>5.0</v>
      </c>
      <c r="H655" s="4">
        <v>0.0</v>
      </c>
      <c r="I655" s="4">
        <v>17.0</v>
      </c>
      <c r="J655" s="4">
        <v>41.0</v>
      </c>
      <c r="K655" s="4">
        <v>-24.0</v>
      </c>
      <c r="L655" s="2" t="s">
        <v>374</v>
      </c>
      <c r="M655" s="5">
        <f>IFERROR(__xludf.DUMMYFUNCTION("""COMPUTED_VALUE"""),9.0)</f>
        <v>9</v>
      </c>
      <c r="N655" s="5">
        <f>IFERROR(__xludf.DUMMYFUNCTION("""COMPUTED_VALUE"""),10.0)</f>
        <v>10</v>
      </c>
      <c r="O655" s="5">
        <f>IFERROR(__xludf.DUMMYFUNCTION("""COMPUTED_VALUE"""),2000.0)</f>
        <v>2000</v>
      </c>
    </row>
    <row r="656">
      <c r="A656" s="1" t="s">
        <v>362</v>
      </c>
      <c r="B656" s="4">
        <v>62.0</v>
      </c>
      <c r="C656" s="1" t="s">
        <v>126</v>
      </c>
      <c r="D656" s="4">
        <v>2.0</v>
      </c>
      <c r="E656" s="4">
        <v>5.0</v>
      </c>
      <c r="F656" s="4">
        <v>1.0</v>
      </c>
      <c r="G656" s="4">
        <v>4.0</v>
      </c>
      <c r="H656" s="4">
        <v>0.0</v>
      </c>
      <c r="I656" s="4">
        <v>6.0</v>
      </c>
      <c r="J656" s="4">
        <v>32.0</v>
      </c>
      <c r="K656" s="4">
        <v>-26.0</v>
      </c>
      <c r="L656" s="2" t="s">
        <v>375</v>
      </c>
      <c r="M656" s="5">
        <f>IFERROR(__xludf.DUMMYFUNCTION("""COMPUTED_VALUE"""),3.0)</f>
        <v>3</v>
      </c>
      <c r="N656" s="5">
        <f>IFERROR(__xludf.DUMMYFUNCTION("""COMPUTED_VALUE"""),16.0)</f>
        <v>16</v>
      </c>
      <c r="O656" s="5">
        <f>IFERROR(__xludf.DUMMYFUNCTION("""COMPUTED_VALUE"""),2002.0)</f>
        <v>2002</v>
      </c>
    </row>
    <row r="657">
      <c r="A657" s="1" t="s">
        <v>362</v>
      </c>
      <c r="B657" s="4">
        <v>63.0</v>
      </c>
      <c r="C657" s="1" t="s">
        <v>62</v>
      </c>
      <c r="D657" s="4">
        <v>2.0</v>
      </c>
      <c r="E657" s="4">
        <v>8.0</v>
      </c>
      <c r="F657" s="4">
        <v>1.0</v>
      </c>
      <c r="G657" s="4">
        <v>7.0</v>
      </c>
      <c r="H657" s="4">
        <v>0.0</v>
      </c>
      <c r="I657" s="4">
        <v>15.0</v>
      </c>
      <c r="J657" s="4">
        <v>43.0</v>
      </c>
      <c r="K657" s="4">
        <v>-28.0</v>
      </c>
      <c r="L657" s="2" t="s">
        <v>107</v>
      </c>
      <c r="M657" s="5">
        <f>IFERROR(__xludf.DUMMYFUNCTION("""COMPUTED_VALUE"""),5.0)</f>
        <v>5</v>
      </c>
      <c r="N657" s="5">
        <f>IFERROR(__xludf.DUMMYFUNCTION("""COMPUTED_VALUE"""),19.0)</f>
        <v>19</v>
      </c>
      <c r="O657" s="5">
        <f>IFERROR(__xludf.DUMMYFUNCTION("""COMPUTED_VALUE"""),2000.0)</f>
        <v>2000</v>
      </c>
    </row>
    <row r="658">
      <c r="A658" s="1" t="s">
        <v>362</v>
      </c>
      <c r="B658" s="4">
        <v>64.0</v>
      </c>
      <c r="C658" s="1" t="s">
        <v>77</v>
      </c>
      <c r="D658" s="4">
        <v>2.0</v>
      </c>
      <c r="E658" s="4">
        <v>8.0</v>
      </c>
      <c r="F658" s="4">
        <v>1.0</v>
      </c>
      <c r="G658" s="4">
        <v>7.0</v>
      </c>
      <c r="H658" s="4">
        <v>0.0</v>
      </c>
      <c r="I658" s="4">
        <v>33.0</v>
      </c>
      <c r="J658" s="4">
        <v>63.0</v>
      </c>
      <c r="K658" s="4">
        <v>-30.0</v>
      </c>
      <c r="L658" s="2" t="s">
        <v>376</v>
      </c>
      <c r="M658" s="5">
        <f>IFERROR(__xludf.DUMMYFUNCTION("""COMPUTED_VALUE"""),1.0)</f>
        <v>1</v>
      </c>
      <c r="N658" s="5">
        <f>IFERROR(__xludf.DUMMYFUNCTION("""COMPUTED_VALUE"""),19.0)</f>
        <v>19</v>
      </c>
      <c r="O658" s="5">
        <f>IFERROR(__xludf.DUMMYFUNCTION("""COMPUTED_VALUE"""),2000.0)</f>
        <v>2000</v>
      </c>
    </row>
    <row r="659">
      <c r="A659" s="1" t="s">
        <v>362</v>
      </c>
      <c r="B659" s="4">
        <v>65.0</v>
      </c>
      <c r="C659" s="1" t="s">
        <v>85</v>
      </c>
      <c r="D659" s="4">
        <v>2.0</v>
      </c>
      <c r="E659" s="4">
        <v>8.0</v>
      </c>
      <c r="F659" s="4">
        <v>1.0</v>
      </c>
      <c r="G659" s="4">
        <v>7.0</v>
      </c>
      <c r="H659" s="4">
        <v>0.0</v>
      </c>
      <c r="I659" s="4">
        <v>11.0</v>
      </c>
      <c r="J659" s="4">
        <v>44.0</v>
      </c>
      <c r="K659" s="4">
        <v>-33.0</v>
      </c>
      <c r="L659" s="2" t="s">
        <v>186</v>
      </c>
      <c r="M659" s="5">
        <f>IFERROR(__xludf.DUMMYFUNCTION("""COMPUTED_VALUE"""),10.0)</f>
        <v>10</v>
      </c>
      <c r="N659" s="5">
        <f>IFERROR(__xludf.DUMMYFUNCTION("""COMPUTED_VALUE"""),14.0)</f>
        <v>14</v>
      </c>
      <c r="O659" s="5">
        <f>IFERROR(__xludf.DUMMYFUNCTION("""COMPUTED_VALUE"""),2000.0)</f>
        <v>2000</v>
      </c>
    </row>
    <row r="660">
      <c r="A660" s="1" t="s">
        <v>362</v>
      </c>
      <c r="B660" s="4">
        <v>66.0</v>
      </c>
      <c r="C660" s="1" t="s">
        <v>158</v>
      </c>
      <c r="D660" s="4">
        <v>2.0</v>
      </c>
      <c r="E660" s="4">
        <v>10.0</v>
      </c>
      <c r="F660" s="4">
        <v>1.0</v>
      </c>
      <c r="G660" s="4">
        <v>9.0</v>
      </c>
      <c r="H660" s="4">
        <v>0.0</v>
      </c>
      <c r="I660" s="4">
        <v>17.0</v>
      </c>
      <c r="J660" s="4">
        <v>52.0</v>
      </c>
      <c r="K660" s="4">
        <v>-35.0</v>
      </c>
      <c r="L660" s="2" t="s">
        <v>170</v>
      </c>
      <c r="M660" s="5">
        <f>IFERROR(__xludf.DUMMYFUNCTION("""COMPUTED_VALUE"""),11.0)</f>
        <v>11</v>
      </c>
      <c r="N660" s="5">
        <f>IFERROR(__xludf.DUMMYFUNCTION("""COMPUTED_VALUE"""),13.0)</f>
        <v>13</v>
      </c>
      <c r="O660" s="5">
        <f>IFERROR(__xludf.DUMMYFUNCTION("""COMPUTED_VALUE"""),2000.0)</f>
        <v>2000</v>
      </c>
    </row>
    <row r="661">
      <c r="A661" s="1" t="s">
        <v>362</v>
      </c>
      <c r="B661" s="4">
        <v>67.0</v>
      </c>
      <c r="C661" s="1" t="s">
        <v>138</v>
      </c>
      <c r="D661" s="4">
        <v>2.0</v>
      </c>
      <c r="E661" s="4">
        <v>12.0</v>
      </c>
      <c r="F661" s="4">
        <v>1.0</v>
      </c>
      <c r="G661" s="4">
        <v>11.0</v>
      </c>
      <c r="H661" s="4">
        <v>0.0</v>
      </c>
      <c r="I661" s="4">
        <v>17.0</v>
      </c>
      <c r="J661" s="4">
        <v>72.0</v>
      </c>
      <c r="K661" s="4">
        <v>-55.0</v>
      </c>
      <c r="L661" s="2" t="s">
        <v>107</v>
      </c>
      <c r="M661" s="5">
        <f>IFERROR(__xludf.DUMMYFUNCTION("""COMPUTED_VALUE"""),5.0)</f>
        <v>5</v>
      </c>
      <c r="N661" s="5">
        <f>IFERROR(__xludf.DUMMYFUNCTION("""COMPUTED_VALUE"""),19.0)</f>
        <v>19</v>
      </c>
      <c r="O661" s="5">
        <f>IFERROR(__xludf.DUMMYFUNCTION("""COMPUTED_VALUE"""),2000.0)</f>
        <v>2000</v>
      </c>
    </row>
    <row r="662">
      <c r="A662" s="1" t="s">
        <v>362</v>
      </c>
      <c r="B662" s="4">
        <v>68.0</v>
      </c>
      <c r="C662" s="1" t="s">
        <v>140</v>
      </c>
      <c r="D662" s="4">
        <v>2.0</v>
      </c>
      <c r="E662" s="4">
        <v>10.0</v>
      </c>
      <c r="F662" s="4">
        <v>1.0</v>
      </c>
      <c r="G662" s="4">
        <v>9.0</v>
      </c>
      <c r="H662" s="4">
        <v>0.0</v>
      </c>
      <c r="I662" s="4">
        <v>7.0</v>
      </c>
      <c r="J662" s="4">
        <v>77.0</v>
      </c>
      <c r="K662" s="4">
        <v>-70.0</v>
      </c>
      <c r="L662" s="2" t="s">
        <v>153</v>
      </c>
      <c r="M662" s="5">
        <f>IFERROR(__xludf.DUMMYFUNCTION("""COMPUTED_VALUE"""),5.0)</f>
        <v>5</v>
      </c>
      <c r="N662" s="5">
        <f>IFERROR(__xludf.DUMMYFUNCTION("""COMPUTED_VALUE"""),18.0)</f>
        <v>18</v>
      </c>
      <c r="O662" s="5">
        <f>IFERROR(__xludf.DUMMYFUNCTION("""COMPUTED_VALUE"""),2000.0)</f>
        <v>2000</v>
      </c>
    </row>
    <row r="663">
      <c r="A663" s="1" t="s">
        <v>362</v>
      </c>
      <c r="B663" s="4">
        <v>69.0</v>
      </c>
      <c r="C663" s="1" t="s">
        <v>159</v>
      </c>
      <c r="D663" s="4">
        <v>2.0</v>
      </c>
      <c r="E663" s="4">
        <v>9.0</v>
      </c>
      <c r="F663" s="4">
        <v>1.0</v>
      </c>
      <c r="G663" s="4">
        <v>8.0</v>
      </c>
      <c r="H663" s="4">
        <v>0.0</v>
      </c>
      <c r="I663" s="4">
        <v>11.0</v>
      </c>
      <c r="J663" s="4">
        <v>85.0</v>
      </c>
      <c r="K663" s="4">
        <v>-74.0</v>
      </c>
      <c r="L663" s="2" t="s">
        <v>136</v>
      </c>
      <c r="M663" s="5">
        <f>IFERROR(__xludf.DUMMYFUNCTION("""COMPUTED_VALUE"""),4.0)</f>
        <v>4</v>
      </c>
      <c r="N663" s="5">
        <f>IFERROR(__xludf.DUMMYFUNCTION("""COMPUTED_VALUE"""),20.0)</f>
        <v>20</v>
      </c>
      <c r="O663" s="5">
        <f>IFERROR(__xludf.DUMMYFUNCTION("""COMPUTED_VALUE"""),2000.0)</f>
        <v>2000</v>
      </c>
    </row>
    <row r="664">
      <c r="A664" s="1" t="s">
        <v>362</v>
      </c>
      <c r="B664" s="4">
        <v>70.0</v>
      </c>
      <c r="C664" s="1" t="s">
        <v>377</v>
      </c>
      <c r="D664" s="4">
        <v>1.0</v>
      </c>
      <c r="E664" s="4">
        <v>8.0</v>
      </c>
      <c r="F664" s="4">
        <v>0.0</v>
      </c>
      <c r="G664" s="4">
        <v>7.0</v>
      </c>
      <c r="H664" s="4">
        <v>1.0</v>
      </c>
      <c r="I664" s="4">
        <v>16.0</v>
      </c>
      <c r="J664" s="4">
        <v>44.0</v>
      </c>
      <c r="K664" s="4">
        <v>-28.0</v>
      </c>
      <c r="L664" s="2" t="s">
        <v>330</v>
      </c>
      <c r="M664" s="5">
        <f>IFERROR(__xludf.DUMMYFUNCTION("""COMPUTED_VALUE"""),5.0)</f>
        <v>5</v>
      </c>
      <c r="N664" s="5">
        <f>IFERROR(__xludf.DUMMYFUNCTION("""COMPUTED_VALUE"""),17.0)</f>
        <v>17</v>
      </c>
      <c r="O664" s="5">
        <f>IFERROR(__xludf.DUMMYFUNCTION("""COMPUTED_VALUE"""),2002.0)</f>
        <v>2002</v>
      </c>
    </row>
    <row r="665">
      <c r="A665" s="1" t="s">
        <v>362</v>
      </c>
      <c r="B665" s="4">
        <v>71.0</v>
      </c>
      <c r="C665" s="1" t="s">
        <v>119</v>
      </c>
      <c r="D665" s="4">
        <v>0.0</v>
      </c>
      <c r="E665" s="4">
        <v>10.0</v>
      </c>
      <c r="F665" s="4">
        <v>0.0</v>
      </c>
      <c r="G665" s="4">
        <v>10.0</v>
      </c>
      <c r="H665" s="4">
        <v>0.0</v>
      </c>
      <c r="I665" s="4">
        <v>14.0</v>
      </c>
      <c r="J665" s="4">
        <v>55.0</v>
      </c>
      <c r="K665" s="4">
        <v>-41.0</v>
      </c>
      <c r="L665" s="2" t="s">
        <v>335</v>
      </c>
      <c r="M665" s="5">
        <f>IFERROR(__xludf.DUMMYFUNCTION("""COMPUTED_VALUE"""),4.0)</f>
        <v>4</v>
      </c>
      <c r="N665" s="5">
        <f>IFERROR(__xludf.DUMMYFUNCTION("""COMPUTED_VALUE"""),19.0)</f>
        <v>19</v>
      </c>
      <c r="O665" s="5">
        <f>IFERROR(__xludf.DUMMYFUNCTION("""COMPUTED_VALUE"""),2000.0)</f>
        <v>2000</v>
      </c>
    </row>
    <row r="666">
      <c r="A666" s="1" t="s">
        <v>362</v>
      </c>
      <c r="B666" s="4">
        <v>72.0</v>
      </c>
      <c r="C666" s="1" t="s">
        <v>110</v>
      </c>
      <c r="D666" s="4">
        <v>0.0</v>
      </c>
      <c r="E666" s="4">
        <v>9.0</v>
      </c>
      <c r="F666" s="4">
        <v>0.0</v>
      </c>
      <c r="G666" s="4">
        <v>9.0</v>
      </c>
      <c r="H666" s="4">
        <v>0.0</v>
      </c>
      <c r="I666" s="4">
        <v>15.0</v>
      </c>
      <c r="J666" s="4">
        <v>64.0</v>
      </c>
      <c r="K666" s="4">
        <v>-49.0</v>
      </c>
      <c r="L666" s="2" t="s">
        <v>139</v>
      </c>
      <c r="M666" s="5">
        <f>IFERROR(__xludf.DUMMYFUNCTION("""COMPUTED_VALUE"""),6.0)</f>
        <v>6</v>
      </c>
      <c r="N666" s="5">
        <f>IFERROR(__xludf.DUMMYFUNCTION("""COMPUTED_VALUE"""),18.0)</f>
        <v>18</v>
      </c>
      <c r="O666" s="5">
        <f>IFERROR(__xludf.DUMMYFUNCTION("""COMPUTED_VALUE"""),2000.0)</f>
        <v>2000</v>
      </c>
    </row>
    <row r="667">
      <c r="A667" s="1" t="s">
        <v>362</v>
      </c>
      <c r="B667" s="4">
        <v>73.0</v>
      </c>
      <c r="C667" s="1" t="s">
        <v>103</v>
      </c>
      <c r="D667" s="4">
        <v>0.0</v>
      </c>
      <c r="E667" s="4">
        <v>8.0</v>
      </c>
      <c r="F667" s="4">
        <v>0.0</v>
      </c>
      <c r="G667" s="4">
        <v>8.0</v>
      </c>
      <c r="H667" s="4">
        <v>0.0</v>
      </c>
      <c r="I667" s="4">
        <v>7.0</v>
      </c>
      <c r="J667" s="4">
        <v>57.0</v>
      </c>
      <c r="K667" s="4">
        <v>-50.0</v>
      </c>
      <c r="L667" s="2" t="s">
        <v>334</v>
      </c>
      <c r="M667" s="5">
        <f>IFERROR(__xludf.DUMMYFUNCTION("""COMPUTED_VALUE"""),3.0)</f>
        <v>3</v>
      </c>
      <c r="N667" s="5">
        <f>IFERROR(__xludf.DUMMYFUNCTION("""COMPUTED_VALUE"""),20.0)</f>
        <v>20</v>
      </c>
      <c r="O667" s="5">
        <f>IFERROR(__xludf.DUMMYFUNCTION("""COMPUTED_VALUE"""),2000.0)</f>
        <v>2000</v>
      </c>
    </row>
    <row r="668">
      <c r="A668" s="1" t="s">
        <v>362</v>
      </c>
      <c r="B668" s="4">
        <v>74.0</v>
      </c>
      <c r="C668" s="1" t="s">
        <v>135</v>
      </c>
      <c r="D668" s="4">
        <v>0.0</v>
      </c>
      <c r="E668" s="4">
        <v>14.0</v>
      </c>
      <c r="F668" s="4">
        <v>0.0</v>
      </c>
      <c r="G668" s="4">
        <v>14.0</v>
      </c>
      <c r="H668" s="4">
        <v>0.0</v>
      </c>
      <c r="I668" s="4">
        <v>12.0</v>
      </c>
      <c r="J668" s="4">
        <v>87.0</v>
      </c>
      <c r="K668" s="4">
        <v>-75.0</v>
      </c>
      <c r="L668" s="2" t="s">
        <v>378</v>
      </c>
      <c r="M668" s="5">
        <f>IFERROR(__xludf.DUMMYFUNCTION("""COMPUTED_VALUE"""),1.0)</f>
        <v>1</v>
      </c>
      <c r="N668" s="5">
        <f>IFERROR(__xludf.DUMMYFUNCTION("""COMPUTED_VALUE"""),22.0)</f>
        <v>22</v>
      </c>
      <c r="O668" s="5">
        <f>IFERROR(__xludf.DUMMYFUNCTION("""COMPUTED_VALUE"""),2000.0)</f>
        <v>2000</v>
      </c>
    </row>
    <row r="669">
      <c r="A669" s="1" t="s">
        <v>362</v>
      </c>
      <c r="B669" s="4">
        <v>75.0</v>
      </c>
      <c r="C669" s="1" t="s">
        <v>233</v>
      </c>
      <c r="D669" s="4">
        <v>0.0</v>
      </c>
      <c r="E669" s="4">
        <v>14.0</v>
      </c>
      <c r="F669" s="4">
        <v>0.0</v>
      </c>
      <c r="G669" s="4">
        <v>14.0</v>
      </c>
      <c r="H669" s="4">
        <v>0.0</v>
      </c>
      <c r="I669" s="4">
        <v>4.0</v>
      </c>
      <c r="J669" s="4">
        <v>116.0</v>
      </c>
      <c r="K669" s="4">
        <v>-112.0</v>
      </c>
      <c r="L669" s="2" t="s">
        <v>379</v>
      </c>
      <c r="M669" s="5">
        <f>IFERROR(__xludf.DUMMYFUNCTION("""COMPUTED_VALUE"""),2.0)</f>
        <v>2</v>
      </c>
      <c r="N669" s="5">
        <f>IFERROR(__xludf.DUMMYFUNCTION("""COMPUTED_VALUE"""),19.0)</f>
        <v>19</v>
      </c>
      <c r="O669" s="5">
        <f>IFERROR(__xludf.DUMMYFUNCTION("""COMPUTED_VALUE"""),2001.0)</f>
        <v>2001</v>
      </c>
    </row>
    <row r="670">
      <c r="A670" s="1" t="s">
        <v>380</v>
      </c>
      <c r="B670" s="4">
        <v>1.0</v>
      </c>
      <c r="C670" s="1" t="s">
        <v>79</v>
      </c>
      <c r="D670" s="4">
        <v>23.0</v>
      </c>
      <c r="E670" s="4">
        <v>14.0</v>
      </c>
      <c r="F670" s="4">
        <v>11.0</v>
      </c>
      <c r="G670" s="4">
        <v>2.0</v>
      </c>
      <c r="H670" s="4">
        <v>1.0</v>
      </c>
      <c r="I670" s="4">
        <v>68.0</v>
      </c>
      <c r="J670" s="4">
        <v>28.0</v>
      </c>
      <c r="K670" s="4">
        <v>40.0</v>
      </c>
      <c r="L670" s="2" t="s">
        <v>47</v>
      </c>
      <c r="M670" s="5">
        <f>IFERROR(__xludf.DUMMYFUNCTION("""COMPUTED_VALUE"""),14.0)</f>
        <v>14</v>
      </c>
      <c r="N670" s="5">
        <f>IFERROR(__xludf.DUMMYFUNCTION("""COMPUTED_VALUE"""),9.0)</f>
        <v>9</v>
      </c>
      <c r="O670" s="5">
        <f>IFERROR(__xludf.DUMMYFUNCTION("""COMPUTED_VALUE"""),1.0)</f>
        <v>1</v>
      </c>
    </row>
    <row r="671">
      <c r="A671" s="1" t="s">
        <v>380</v>
      </c>
      <c r="B671" s="4">
        <v>2.0</v>
      </c>
      <c r="C671" s="1" t="s">
        <v>20</v>
      </c>
      <c r="D671" s="4">
        <v>22.0</v>
      </c>
      <c r="E671" s="4">
        <v>12.0</v>
      </c>
      <c r="F671" s="4">
        <v>11.0</v>
      </c>
      <c r="G671" s="4">
        <v>1.0</v>
      </c>
      <c r="H671" s="4">
        <v>0.0</v>
      </c>
      <c r="I671" s="4">
        <v>71.0</v>
      </c>
      <c r="J671" s="4">
        <v>9.0</v>
      </c>
      <c r="K671" s="4">
        <v>62.0</v>
      </c>
      <c r="L671" s="2" t="s">
        <v>381</v>
      </c>
      <c r="M671" s="5">
        <f>IFERROR(__xludf.DUMMYFUNCTION("""COMPUTED_VALUE"""),21.0)</f>
        <v>21</v>
      </c>
      <c r="N671" s="5">
        <f>IFERROR(__xludf.DUMMYFUNCTION("""COMPUTED_VALUE"""),2.0)</f>
        <v>2</v>
      </c>
      <c r="O671" s="5">
        <f>IFERROR(__xludf.DUMMYFUNCTION("""COMPUTED_VALUE"""),1.0)</f>
        <v>1</v>
      </c>
    </row>
    <row r="672">
      <c r="A672" s="1" t="s">
        <v>380</v>
      </c>
      <c r="B672" s="4">
        <v>3.0</v>
      </c>
      <c r="C672" s="1" t="s">
        <v>24</v>
      </c>
      <c r="D672" s="4">
        <v>22.0</v>
      </c>
      <c r="E672" s="4">
        <v>14.0</v>
      </c>
      <c r="F672" s="4">
        <v>11.0</v>
      </c>
      <c r="G672" s="4">
        <v>3.0</v>
      </c>
      <c r="H672" s="4">
        <v>0.0</v>
      </c>
      <c r="I672" s="4">
        <v>72.0</v>
      </c>
      <c r="J672" s="4">
        <v>35.0</v>
      </c>
      <c r="K672" s="4">
        <v>37.0</v>
      </c>
      <c r="L672" s="2" t="s">
        <v>182</v>
      </c>
      <c r="M672" s="5">
        <f>IFERROR(__xludf.DUMMYFUNCTION("""COMPUTED_VALUE"""),12.0)</f>
        <v>12</v>
      </c>
      <c r="N672" s="5">
        <f>IFERROR(__xludf.DUMMYFUNCTION("""COMPUTED_VALUE"""),11.0)</f>
        <v>11</v>
      </c>
      <c r="O672" s="5">
        <f>IFERROR(__xludf.DUMMYFUNCTION("""COMPUTED_VALUE"""),2001.0)</f>
        <v>2001</v>
      </c>
    </row>
    <row r="673">
      <c r="A673" s="1" t="s">
        <v>380</v>
      </c>
      <c r="B673" s="4">
        <v>4.0</v>
      </c>
      <c r="C673" s="1" t="s">
        <v>106</v>
      </c>
      <c r="D673" s="4">
        <v>21.0</v>
      </c>
      <c r="E673" s="4">
        <v>14.0</v>
      </c>
      <c r="F673" s="4">
        <v>10.0</v>
      </c>
      <c r="G673" s="4">
        <v>3.0</v>
      </c>
      <c r="H673" s="4">
        <v>1.0</v>
      </c>
      <c r="I673" s="4">
        <v>68.0</v>
      </c>
      <c r="J673" s="4">
        <v>36.0</v>
      </c>
      <c r="K673" s="4">
        <v>32.0</v>
      </c>
      <c r="L673" s="2" t="s">
        <v>63</v>
      </c>
      <c r="M673" s="5">
        <f>IFERROR(__xludf.DUMMYFUNCTION("""COMPUTED_VALUE"""),16.0)</f>
        <v>16</v>
      </c>
      <c r="N673" s="5">
        <f>IFERROR(__xludf.DUMMYFUNCTION("""COMPUTED_VALUE"""),7.0)</f>
        <v>7</v>
      </c>
      <c r="O673" s="5">
        <f>IFERROR(__xludf.DUMMYFUNCTION("""COMPUTED_VALUE"""),1.0)</f>
        <v>1</v>
      </c>
    </row>
    <row r="674">
      <c r="A674" s="1" t="s">
        <v>380</v>
      </c>
      <c r="B674" s="4">
        <v>5.0</v>
      </c>
      <c r="C674" s="1" t="s">
        <v>16</v>
      </c>
      <c r="D674" s="4">
        <v>20.0</v>
      </c>
      <c r="E674" s="4">
        <v>10.0</v>
      </c>
      <c r="F674" s="4">
        <v>10.0</v>
      </c>
      <c r="G674" s="4">
        <v>0.0</v>
      </c>
      <c r="H674" s="4">
        <v>0.0</v>
      </c>
      <c r="I674" s="4">
        <v>69.0</v>
      </c>
      <c r="J674" s="4">
        <v>8.0</v>
      </c>
      <c r="K674" s="4">
        <v>61.0</v>
      </c>
      <c r="L674" s="2" t="s">
        <v>382</v>
      </c>
      <c r="M674" s="5">
        <f>IFERROR(__xludf.DUMMYFUNCTION("""COMPUTED_VALUE"""),15.0)</f>
        <v>15</v>
      </c>
      <c r="N674" s="5">
        <f>IFERROR(__xludf.DUMMYFUNCTION("""COMPUTED_VALUE"""),6.0)</f>
        <v>6</v>
      </c>
      <c r="O674" s="5">
        <f>IFERROR(__xludf.DUMMYFUNCTION("""COMPUTED_VALUE"""),0.0)</f>
        <v>0</v>
      </c>
    </row>
    <row r="675">
      <c r="A675" s="1" t="s">
        <v>380</v>
      </c>
      <c r="B675" s="4">
        <v>6.0</v>
      </c>
      <c r="C675" s="1" t="s">
        <v>64</v>
      </c>
      <c r="D675" s="4">
        <v>20.0</v>
      </c>
      <c r="E675" s="4">
        <v>10.0</v>
      </c>
      <c r="F675" s="4">
        <v>10.0</v>
      </c>
      <c r="G675" s="4">
        <v>0.0</v>
      </c>
      <c r="H675" s="4">
        <v>0.0</v>
      </c>
      <c r="I675" s="4">
        <v>52.0</v>
      </c>
      <c r="J675" s="4">
        <v>5.0</v>
      </c>
      <c r="K675" s="4">
        <v>47.0</v>
      </c>
      <c r="L675" s="2" t="s">
        <v>19</v>
      </c>
      <c r="M675" s="5">
        <f>IFERROR(__xludf.DUMMYFUNCTION("""COMPUTED_VALUE"""),18.0)</f>
        <v>18</v>
      </c>
      <c r="N675" s="5">
        <f>IFERROR(__xludf.DUMMYFUNCTION("""COMPUTED_VALUE"""),6.0)</f>
        <v>6</v>
      </c>
      <c r="O675" s="5">
        <f>IFERROR(__xludf.DUMMYFUNCTION("""COMPUTED_VALUE"""),0.0)</f>
        <v>0</v>
      </c>
    </row>
    <row r="676">
      <c r="A676" s="1" t="s">
        <v>380</v>
      </c>
      <c r="B676" s="4">
        <v>7.0</v>
      </c>
      <c r="C676" s="1" t="s">
        <v>117</v>
      </c>
      <c r="D676" s="4">
        <v>19.0</v>
      </c>
      <c r="E676" s="4">
        <v>14.0</v>
      </c>
      <c r="F676" s="4">
        <v>9.0</v>
      </c>
      <c r="G676" s="4">
        <v>4.0</v>
      </c>
      <c r="H676" s="4">
        <v>1.0</v>
      </c>
      <c r="I676" s="4">
        <v>68.0</v>
      </c>
      <c r="J676" s="4">
        <v>47.0</v>
      </c>
      <c r="K676" s="4">
        <v>21.0</v>
      </c>
      <c r="L676" s="2" t="s">
        <v>47</v>
      </c>
      <c r="M676" s="5">
        <f>IFERROR(__xludf.DUMMYFUNCTION("""COMPUTED_VALUE"""),14.0)</f>
        <v>14</v>
      </c>
      <c r="N676" s="5">
        <f>IFERROR(__xludf.DUMMYFUNCTION("""COMPUTED_VALUE"""),9.0)</f>
        <v>9</v>
      </c>
      <c r="O676" s="5">
        <f>IFERROR(__xludf.DUMMYFUNCTION("""COMPUTED_VALUE"""),1.0)</f>
        <v>1</v>
      </c>
    </row>
    <row r="677">
      <c r="A677" s="1" t="s">
        <v>380</v>
      </c>
      <c r="B677" s="4">
        <v>8.0</v>
      </c>
      <c r="C677" s="1" t="s">
        <v>18</v>
      </c>
      <c r="D677" s="4">
        <v>18.0</v>
      </c>
      <c r="E677" s="4">
        <v>10.0</v>
      </c>
      <c r="F677" s="4">
        <v>9.0</v>
      </c>
      <c r="G677" s="4">
        <v>1.0</v>
      </c>
      <c r="H677" s="4">
        <v>0.0</v>
      </c>
      <c r="I677" s="4">
        <v>74.0</v>
      </c>
      <c r="J677" s="4">
        <v>15.0</v>
      </c>
      <c r="K677" s="4">
        <v>59.0</v>
      </c>
      <c r="L677" s="2" t="s">
        <v>177</v>
      </c>
      <c r="M677" s="5">
        <f>IFERROR(__xludf.DUMMYFUNCTION("""COMPUTED_VALUE"""),13.0)</f>
        <v>13</v>
      </c>
      <c r="N677" s="5">
        <f>IFERROR(__xludf.DUMMYFUNCTION("""COMPUTED_VALUE"""),10.0)</f>
        <v>10</v>
      </c>
      <c r="O677" s="5">
        <f>IFERROR(__xludf.DUMMYFUNCTION("""COMPUTED_VALUE"""),1.0)</f>
        <v>1</v>
      </c>
    </row>
    <row r="678">
      <c r="A678" s="1" t="s">
        <v>380</v>
      </c>
      <c r="B678" s="4">
        <v>9.0</v>
      </c>
      <c r="C678" s="1" t="s">
        <v>27</v>
      </c>
      <c r="D678" s="4">
        <v>18.0</v>
      </c>
      <c r="E678" s="4">
        <v>10.0</v>
      </c>
      <c r="F678" s="4">
        <v>9.0</v>
      </c>
      <c r="G678" s="4">
        <v>1.0</v>
      </c>
      <c r="H678" s="4">
        <v>0.0</v>
      </c>
      <c r="I678" s="4">
        <v>72.0</v>
      </c>
      <c r="J678" s="4">
        <v>13.0</v>
      </c>
      <c r="K678" s="4">
        <v>59.0</v>
      </c>
      <c r="L678" s="2" t="s">
        <v>239</v>
      </c>
      <c r="M678" s="5">
        <f>IFERROR(__xludf.DUMMYFUNCTION("""COMPUTED_VALUE"""),19.0)</f>
        <v>19</v>
      </c>
      <c r="N678" s="5">
        <f>IFERROR(__xludf.DUMMYFUNCTION("""COMPUTED_VALUE"""),2.0)</f>
        <v>2</v>
      </c>
      <c r="O678" s="5">
        <f>IFERROR(__xludf.DUMMYFUNCTION("""COMPUTED_VALUE"""),1.0)</f>
        <v>1</v>
      </c>
    </row>
    <row r="679">
      <c r="A679" s="1" t="s">
        <v>380</v>
      </c>
      <c r="B679" s="4">
        <v>10.0</v>
      </c>
      <c r="C679" s="1" t="s">
        <v>45</v>
      </c>
      <c r="D679" s="4">
        <v>18.0</v>
      </c>
      <c r="E679" s="4">
        <v>10.0</v>
      </c>
      <c r="F679" s="4">
        <v>9.0</v>
      </c>
      <c r="G679" s="4">
        <v>1.0</v>
      </c>
      <c r="H679" s="4">
        <v>0.0</v>
      </c>
      <c r="I679" s="4">
        <v>64.0</v>
      </c>
      <c r="J679" s="4">
        <v>9.0</v>
      </c>
      <c r="K679" s="4">
        <v>55.0</v>
      </c>
      <c r="L679" s="2" t="s">
        <v>35</v>
      </c>
      <c r="M679" s="5">
        <f>IFERROR(__xludf.DUMMYFUNCTION("""COMPUTED_VALUE"""),20.0)</f>
        <v>20</v>
      </c>
      <c r="N679" s="5">
        <f>IFERROR(__xludf.DUMMYFUNCTION("""COMPUTED_VALUE"""),3.0)</f>
        <v>3</v>
      </c>
      <c r="O679" s="5">
        <f>IFERROR(__xludf.DUMMYFUNCTION("""COMPUTED_VALUE"""),1.0)</f>
        <v>1</v>
      </c>
    </row>
    <row r="680">
      <c r="A680" s="1" t="s">
        <v>380</v>
      </c>
      <c r="B680" s="4">
        <v>11.0</v>
      </c>
      <c r="C680" s="1" t="s">
        <v>25</v>
      </c>
      <c r="D680" s="4">
        <v>18.0</v>
      </c>
      <c r="E680" s="4">
        <v>12.0</v>
      </c>
      <c r="F680" s="4">
        <v>9.0</v>
      </c>
      <c r="G680" s="4">
        <v>3.0</v>
      </c>
      <c r="H680" s="4">
        <v>0.0</v>
      </c>
      <c r="I680" s="4">
        <v>52.0</v>
      </c>
      <c r="J680" s="4">
        <v>25.0</v>
      </c>
      <c r="K680" s="4">
        <v>27.0</v>
      </c>
      <c r="L680" s="2" t="s">
        <v>44</v>
      </c>
      <c r="M680" s="5">
        <f>IFERROR(__xludf.DUMMYFUNCTION("""COMPUTED_VALUE"""),15.0)</f>
        <v>15</v>
      </c>
      <c r="N680" s="5">
        <f>IFERROR(__xludf.DUMMYFUNCTION("""COMPUTED_VALUE"""),7.0)</f>
        <v>7</v>
      </c>
      <c r="O680" s="5">
        <f>IFERROR(__xludf.DUMMYFUNCTION("""COMPUTED_VALUE"""),1.0)</f>
        <v>1</v>
      </c>
    </row>
    <row r="681">
      <c r="A681" s="1" t="s">
        <v>380</v>
      </c>
      <c r="B681" s="4">
        <v>12.0</v>
      </c>
      <c r="C681" s="1" t="s">
        <v>50</v>
      </c>
      <c r="D681" s="4">
        <v>16.0</v>
      </c>
      <c r="E681" s="4">
        <v>10.0</v>
      </c>
      <c r="F681" s="4">
        <v>8.0</v>
      </c>
      <c r="G681" s="4">
        <v>2.0</v>
      </c>
      <c r="H681" s="4">
        <v>0.0</v>
      </c>
      <c r="I681" s="4">
        <v>63.0</v>
      </c>
      <c r="J681" s="4">
        <v>19.0</v>
      </c>
      <c r="K681" s="4">
        <v>44.0</v>
      </c>
      <c r="L681" s="2" t="s">
        <v>166</v>
      </c>
      <c r="M681" s="5">
        <f>IFERROR(__xludf.DUMMYFUNCTION("""COMPUTED_VALUE"""),18.0)</f>
        <v>18</v>
      </c>
      <c r="N681" s="5">
        <f>IFERROR(__xludf.DUMMYFUNCTION("""COMPUTED_VALUE"""),5.0)</f>
        <v>5</v>
      </c>
      <c r="O681" s="5">
        <f>IFERROR(__xludf.DUMMYFUNCTION("""COMPUTED_VALUE"""),1.0)</f>
        <v>1</v>
      </c>
    </row>
    <row r="682">
      <c r="A682" s="1" t="s">
        <v>380</v>
      </c>
      <c r="B682" s="4">
        <v>13.0</v>
      </c>
      <c r="C682" s="1" t="s">
        <v>131</v>
      </c>
      <c r="D682" s="4">
        <v>16.0</v>
      </c>
      <c r="E682" s="4">
        <v>8.0</v>
      </c>
      <c r="F682" s="4">
        <v>8.0</v>
      </c>
      <c r="G682" s="4">
        <v>0.0</v>
      </c>
      <c r="H682" s="4">
        <v>0.0</v>
      </c>
      <c r="I682" s="4">
        <v>50.0</v>
      </c>
      <c r="J682" s="4">
        <v>10.0</v>
      </c>
      <c r="K682" s="4">
        <v>40.0</v>
      </c>
      <c r="L682" s="2" t="s">
        <v>205</v>
      </c>
      <c r="M682" s="5">
        <f>IFERROR(__xludf.DUMMYFUNCTION("""COMPUTED_VALUE"""),19.0)</f>
        <v>19</v>
      </c>
      <c r="N682" s="5">
        <f>IFERROR(__xludf.DUMMYFUNCTION("""COMPUTED_VALUE"""),4.0)</f>
        <v>4</v>
      </c>
      <c r="O682" s="5">
        <f>IFERROR(__xludf.DUMMYFUNCTION("""COMPUTED_VALUE"""),0.0)</f>
        <v>0</v>
      </c>
    </row>
    <row r="683">
      <c r="A683" s="1" t="s">
        <v>380</v>
      </c>
      <c r="B683" s="4">
        <v>14.0</v>
      </c>
      <c r="C683" s="1" t="s">
        <v>62</v>
      </c>
      <c r="D683" s="4">
        <v>16.0</v>
      </c>
      <c r="E683" s="4">
        <v>10.0</v>
      </c>
      <c r="F683" s="4">
        <v>8.0</v>
      </c>
      <c r="G683" s="4">
        <v>2.0</v>
      </c>
      <c r="H683" s="4">
        <v>0.0</v>
      </c>
      <c r="I683" s="4">
        <v>49.0</v>
      </c>
      <c r="J683" s="4">
        <v>11.0</v>
      </c>
      <c r="K683" s="4">
        <v>38.0</v>
      </c>
      <c r="L683" s="2" t="s">
        <v>70</v>
      </c>
      <c r="M683" s="5">
        <f>IFERROR(__xludf.DUMMYFUNCTION("""COMPUTED_VALUE"""),16.0)</f>
        <v>16</v>
      </c>
      <c r="N683" s="5">
        <f>IFERROR(__xludf.DUMMYFUNCTION("""COMPUTED_VALUE"""),7.0)</f>
        <v>7</v>
      </c>
      <c r="O683" s="5">
        <f>IFERROR(__xludf.DUMMYFUNCTION("""COMPUTED_VALUE"""),0.0)</f>
        <v>0</v>
      </c>
    </row>
    <row r="684">
      <c r="A684" s="1" t="s">
        <v>380</v>
      </c>
      <c r="B684" s="4">
        <v>15.0</v>
      </c>
      <c r="C684" s="1" t="s">
        <v>41</v>
      </c>
      <c r="D684" s="4">
        <v>16.0</v>
      </c>
      <c r="E684" s="4">
        <v>10.0</v>
      </c>
      <c r="F684" s="4">
        <v>8.0</v>
      </c>
      <c r="G684" s="4">
        <v>2.0</v>
      </c>
      <c r="H684" s="4">
        <v>0.0</v>
      </c>
      <c r="I684" s="4">
        <v>46.0</v>
      </c>
      <c r="J684" s="4">
        <v>15.0</v>
      </c>
      <c r="K684" s="4">
        <v>31.0</v>
      </c>
      <c r="L684" s="2" t="s">
        <v>38</v>
      </c>
      <c r="M684" s="5">
        <f>IFERROR(__xludf.DUMMYFUNCTION("""COMPUTED_VALUE"""),16.0)</f>
        <v>16</v>
      </c>
      <c r="N684" s="5">
        <f>IFERROR(__xludf.DUMMYFUNCTION("""COMPUTED_VALUE"""),8.0)</f>
        <v>8</v>
      </c>
      <c r="O684" s="5">
        <f>IFERROR(__xludf.DUMMYFUNCTION("""COMPUTED_VALUE"""),0.0)</f>
        <v>0</v>
      </c>
    </row>
    <row r="685">
      <c r="A685" s="1" t="s">
        <v>380</v>
      </c>
      <c r="B685" s="4">
        <v>16.0</v>
      </c>
      <c r="C685" s="1" t="s">
        <v>58</v>
      </c>
      <c r="D685" s="4">
        <v>16.0</v>
      </c>
      <c r="E685" s="4">
        <v>14.0</v>
      </c>
      <c r="F685" s="4">
        <v>7.0</v>
      </c>
      <c r="G685" s="4">
        <v>5.0</v>
      </c>
      <c r="H685" s="4">
        <v>2.0</v>
      </c>
      <c r="I685" s="4">
        <v>70.0</v>
      </c>
      <c r="J685" s="4">
        <v>43.0</v>
      </c>
      <c r="K685" s="4">
        <v>27.0</v>
      </c>
      <c r="L685" s="2" t="s">
        <v>383</v>
      </c>
      <c r="M685" s="5">
        <f>IFERROR(__xludf.DUMMYFUNCTION("""COMPUTED_VALUE"""),13.0)</f>
        <v>13</v>
      </c>
      <c r="N685" s="5">
        <f>IFERROR(__xludf.DUMMYFUNCTION("""COMPUTED_VALUE"""),8.0)</f>
        <v>8</v>
      </c>
      <c r="O685" s="5">
        <f>IFERROR(__xludf.DUMMYFUNCTION("""COMPUTED_VALUE"""),2.0)</f>
        <v>2</v>
      </c>
    </row>
    <row r="686">
      <c r="A686" s="1" t="s">
        <v>380</v>
      </c>
      <c r="B686" s="4">
        <v>17.0</v>
      </c>
      <c r="C686" s="1" t="s">
        <v>66</v>
      </c>
      <c r="D686" s="4">
        <v>16.0</v>
      </c>
      <c r="E686" s="4">
        <v>12.0</v>
      </c>
      <c r="F686" s="4">
        <v>8.0</v>
      </c>
      <c r="G686" s="4">
        <v>4.0</v>
      </c>
      <c r="H686" s="4">
        <v>0.0</v>
      </c>
      <c r="I686" s="4">
        <v>48.0</v>
      </c>
      <c r="J686" s="4">
        <v>28.0</v>
      </c>
      <c r="K686" s="4">
        <v>20.0</v>
      </c>
      <c r="L686" s="2" t="s">
        <v>358</v>
      </c>
      <c r="M686" s="5">
        <f>IFERROR(__xludf.DUMMYFUNCTION("""COMPUTED_VALUE"""),16.0)</f>
        <v>16</v>
      </c>
      <c r="N686" s="5">
        <f>IFERROR(__xludf.DUMMYFUNCTION("""COMPUTED_VALUE"""),6.0)</f>
        <v>6</v>
      </c>
      <c r="O686" s="5">
        <f>IFERROR(__xludf.DUMMYFUNCTION("""COMPUTED_VALUE"""),0.0)</f>
        <v>0</v>
      </c>
    </row>
    <row r="687">
      <c r="A687" s="1" t="s">
        <v>380</v>
      </c>
      <c r="B687" s="4">
        <v>18.0</v>
      </c>
      <c r="C687" s="1" t="s">
        <v>22</v>
      </c>
      <c r="D687" s="4">
        <v>16.0</v>
      </c>
      <c r="E687" s="4">
        <v>14.0</v>
      </c>
      <c r="F687" s="4">
        <v>8.0</v>
      </c>
      <c r="G687" s="4">
        <v>6.0</v>
      </c>
      <c r="H687" s="4">
        <v>0.0</v>
      </c>
      <c r="I687" s="4">
        <v>53.0</v>
      </c>
      <c r="J687" s="4">
        <v>35.0</v>
      </c>
      <c r="K687" s="4">
        <v>18.0</v>
      </c>
      <c r="L687" s="2" t="s">
        <v>21</v>
      </c>
      <c r="M687" s="5">
        <f>IFERROR(__xludf.DUMMYFUNCTION("""COMPUTED_VALUE"""),15.0)</f>
        <v>15</v>
      </c>
      <c r="N687" s="5">
        <f>IFERROR(__xludf.DUMMYFUNCTION("""COMPUTED_VALUE"""),8.0)</f>
        <v>8</v>
      </c>
      <c r="O687" s="5">
        <f>IFERROR(__xludf.DUMMYFUNCTION("""COMPUTED_VALUE"""),0.0)</f>
        <v>0</v>
      </c>
    </row>
    <row r="688">
      <c r="A688" s="1" t="s">
        <v>380</v>
      </c>
      <c r="B688" s="4">
        <v>19.0</v>
      </c>
      <c r="C688" s="1" t="s">
        <v>134</v>
      </c>
      <c r="D688" s="4">
        <v>16.0</v>
      </c>
      <c r="E688" s="4">
        <v>12.0</v>
      </c>
      <c r="F688" s="4">
        <v>8.0</v>
      </c>
      <c r="G688" s="4">
        <v>4.0</v>
      </c>
      <c r="H688" s="4">
        <v>0.0</v>
      </c>
      <c r="I688" s="4">
        <v>55.0</v>
      </c>
      <c r="J688" s="4">
        <v>40.0</v>
      </c>
      <c r="K688" s="4">
        <v>15.0</v>
      </c>
      <c r="L688" s="2" t="s">
        <v>19</v>
      </c>
      <c r="M688" s="5">
        <f>IFERROR(__xludf.DUMMYFUNCTION("""COMPUTED_VALUE"""),18.0)</f>
        <v>18</v>
      </c>
      <c r="N688" s="5">
        <f>IFERROR(__xludf.DUMMYFUNCTION("""COMPUTED_VALUE"""),6.0)</f>
        <v>6</v>
      </c>
      <c r="O688" s="5">
        <f>IFERROR(__xludf.DUMMYFUNCTION("""COMPUTED_VALUE"""),0.0)</f>
        <v>0</v>
      </c>
    </row>
    <row r="689">
      <c r="A689" s="1" t="s">
        <v>380</v>
      </c>
      <c r="B689" s="4">
        <v>20.0</v>
      </c>
      <c r="C689" s="1" t="s">
        <v>33</v>
      </c>
      <c r="D689" s="4">
        <v>16.0</v>
      </c>
      <c r="E689" s="4">
        <v>10.0</v>
      </c>
      <c r="F689" s="4">
        <v>8.0</v>
      </c>
      <c r="G689" s="4">
        <v>2.0</v>
      </c>
      <c r="H689" s="4">
        <v>0.0</v>
      </c>
      <c r="I689" s="4">
        <v>31.0</v>
      </c>
      <c r="J689" s="4">
        <v>20.0</v>
      </c>
      <c r="K689" s="4">
        <v>11.0</v>
      </c>
      <c r="L689" s="2" t="s">
        <v>80</v>
      </c>
      <c r="M689" s="5">
        <f>IFERROR(__xludf.DUMMYFUNCTION("""COMPUTED_VALUE"""),12.0)</f>
        <v>12</v>
      </c>
      <c r="N689" s="5">
        <f>IFERROR(__xludf.DUMMYFUNCTION("""COMPUTED_VALUE"""),12.0)</f>
        <v>12</v>
      </c>
      <c r="O689" s="5">
        <f>IFERROR(__xludf.DUMMYFUNCTION("""COMPUTED_VALUE"""),2000.0)</f>
        <v>2000</v>
      </c>
    </row>
    <row r="690">
      <c r="A690" s="1" t="s">
        <v>380</v>
      </c>
      <c r="B690" s="4">
        <v>21.0</v>
      </c>
      <c r="C690" s="1" t="s">
        <v>121</v>
      </c>
      <c r="D690" s="4">
        <v>15.0</v>
      </c>
      <c r="E690" s="4">
        <v>10.0</v>
      </c>
      <c r="F690" s="4">
        <v>7.0</v>
      </c>
      <c r="G690" s="4">
        <v>2.0</v>
      </c>
      <c r="H690" s="4">
        <v>1.0</v>
      </c>
      <c r="I690" s="4">
        <v>44.0</v>
      </c>
      <c r="J690" s="4">
        <v>26.0</v>
      </c>
      <c r="K690" s="4">
        <v>18.0</v>
      </c>
      <c r="L690" s="2" t="s">
        <v>72</v>
      </c>
      <c r="M690" s="5">
        <f>IFERROR(__xludf.DUMMYFUNCTION("""COMPUTED_VALUE"""),15.0)</f>
        <v>15</v>
      </c>
      <c r="N690" s="5">
        <f>IFERROR(__xludf.DUMMYFUNCTION("""COMPUTED_VALUE"""),8.0)</f>
        <v>8</v>
      </c>
      <c r="O690" s="5">
        <f>IFERROR(__xludf.DUMMYFUNCTION("""COMPUTED_VALUE"""),1.0)</f>
        <v>1</v>
      </c>
    </row>
    <row r="691">
      <c r="A691" s="1" t="s">
        <v>380</v>
      </c>
      <c r="B691" s="4">
        <v>22.0</v>
      </c>
      <c r="C691" s="1" t="s">
        <v>43</v>
      </c>
      <c r="D691" s="4">
        <v>14.0</v>
      </c>
      <c r="E691" s="4">
        <v>7.0</v>
      </c>
      <c r="F691" s="4">
        <v>7.0</v>
      </c>
      <c r="G691" s="4">
        <v>0.0</v>
      </c>
      <c r="H691" s="4">
        <v>0.0</v>
      </c>
      <c r="I691" s="4">
        <v>45.0</v>
      </c>
      <c r="J691" s="4">
        <v>9.0</v>
      </c>
      <c r="K691" s="4">
        <v>36.0</v>
      </c>
      <c r="L691" s="2" t="s">
        <v>93</v>
      </c>
      <c r="M691" s="5">
        <f>IFERROR(__xludf.DUMMYFUNCTION("""COMPUTED_VALUE"""),13.0)</f>
        <v>13</v>
      </c>
      <c r="N691" s="5">
        <f>IFERROR(__xludf.DUMMYFUNCTION("""COMPUTED_VALUE"""),10.0)</f>
        <v>10</v>
      </c>
      <c r="O691" s="5">
        <f>IFERROR(__xludf.DUMMYFUNCTION("""COMPUTED_VALUE"""),0.0)</f>
        <v>0</v>
      </c>
    </row>
    <row r="692">
      <c r="A692" s="1" t="s">
        <v>380</v>
      </c>
      <c r="B692" s="4">
        <v>23.0</v>
      </c>
      <c r="C692" s="1" t="s">
        <v>60</v>
      </c>
      <c r="D692" s="4">
        <v>14.0</v>
      </c>
      <c r="E692" s="4">
        <v>10.0</v>
      </c>
      <c r="F692" s="4">
        <v>7.0</v>
      </c>
      <c r="G692" s="4">
        <v>3.0</v>
      </c>
      <c r="H692" s="4">
        <v>0.0</v>
      </c>
      <c r="I692" s="4">
        <v>37.0</v>
      </c>
      <c r="J692" s="4">
        <v>21.0</v>
      </c>
      <c r="K692" s="4">
        <v>16.0</v>
      </c>
      <c r="L692" s="2" t="s">
        <v>57</v>
      </c>
      <c r="M692" s="5">
        <f>IFERROR(__xludf.DUMMYFUNCTION("""COMPUTED_VALUE"""),17.0)</f>
        <v>17</v>
      </c>
      <c r="N692" s="5">
        <f>IFERROR(__xludf.DUMMYFUNCTION("""COMPUTED_VALUE"""),7.0)</f>
        <v>7</v>
      </c>
      <c r="O692" s="5">
        <f>IFERROR(__xludf.DUMMYFUNCTION("""COMPUTED_VALUE"""),0.0)</f>
        <v>0</v>
      </c>
    </row>
    <row r="693">
      <c r="A693" s="1" t="s">
        <v>380</v>
      </c>
      <c r="B693" s="4">
        <v>24.0</v>
      </c>
      <c r="C693" s="1" t="s">
        <v>61</v>
      </c>
      <c r="D693" s="4">
        <v>14.0</v>
      </c>
      <c r="E693" s="4">
        <v>10.0</v>
      </c>
      <c r="F693" s="4">
        <v>7.0</v>
      </c>
      <c r="G693" s="4">
        <v>3.0</v>
      </c>
      <c r="H693" s="4">
        <v>0.0</v>
      </c>
      <c r="I693" s="4">
        <v>32.0</v>
      </c>
      <c r="J693" s="4">
        <v>30.0</v>
      </c>
      <c r="K693" s="4">
        <v>2.0</v>
      </c>
      <c r="L693" s="2" t="s">
        <v>51</v>
      </c>
      <c r="M693" s="5">
        <f>IFERROR(__xludf.DUMMYFUNCTION("""COMPUTED_VALUE"""),15.0)</f>
        <v>15</v>
      </c>
      <c r="N693" s="5">
        <f>IFERROR(__xludf.DUMMYFUNCTION("""COMPUTED_VALUE"""),9.0)</f>
        <v>9</v>
      </c>
      <c r="O693" s="5">
        <f>IFERROR(__xludf.DUMMYFUNCTION("""COMPUTED_VALUE"""),0.0)</f>
        <v>0</v>
      </c>
    </row>
    <row r="694">
      <c r="A694" s="1" t="s">
        <v>380</v>
      </c>
      <c r="B694" s="4">
        <v>25.0</v>
      </c>
      <c r="C694" s="1" t="s">
        <v>86</v>
      </c>
      <c r="D694" s="4">
        <v>14.0</v>
      </c>
      <c r="E694" s="4">
        <v>14.0</v>
      </c>
      <c r="F694" s="4">
        <v>7.0</v>
      </c>
      <c r="G694" s="4">
        <v>7.0</v>
      </c>
      <c r="H694" s="4">
        <v>0.0</v>
      </c>
      <c r="I694" s="4">
        <v>43.0</v>
      </c>
      <c r="J694" s="4">
        <v>47.0</v>
      </c>
      <c r="K694" s="4">
        <v>-4.0</v>
      </c>
      <c r="L694" s="2" t="s">
        <v>80</v>
      </c>
      <c r="M694" s="5">
        <f>IFERROR(__xludf.DUMMYFUNCTION("""COMPUTED_VALUE"""),12.0)</f>
        <v>12</v>
      </c>
      <c r="N694" s="5">
        <f>IFERROR(__xludf.DUMMYFUNCTION("""COMPUTED_VALUE"""),12.0)</f>
        <v>12</v>
      </c>
      <c r="O694" s="5">
        <f>IFERROR(__xludf.DUMMYFUNCTION("""COMPUTED_VALUE"""),2000.0)</f>
        <v>2000</v>
      </c>
    </row>
    <row r="695">
      <c r="A695" s="1" t="s">
        <v>380</v>
      </c>
      <c r="B695" s="4">
        <v>26.0</v>
      </c>
      <c r="C695" s="1" t="s">
        <v>46</v>
      </c>
      <c r="D695" s="4">
        <v>14.0</v>
      </c>
      <c r="E695" s="4">
        <v>14.0</v>
      </c>
      <c r="F695" s="4">
        <v>7.0</v>
      </c>
      <c r="G695" s="4">
        <v>7.0</v>
      </c>
      <c r="H695" s="4">
        <v>0.0</v>
      </c>
      <c r="I695" s="4">
        <v>34.0</v>
      </c>
      <c r="J695" s="4">
        <v>39.0</v>
      </c>
      <c r="K695" s="4">
        <v>-5.0</v>
      </c>
      <c r="L695" s="2" t="s">
        <v>95</v>
      </c>
      <c r="M695" s="5">
        <f>IFERROR(__xludf.DUMMYFUNCTION("""COMPUTED_VALUE"""),9.0)</f>
        <v>9</v>
      </c>
      <c r="N695" s="5">
        <f>IFERROR(__xludf.DUMMYFUNCTION("""COMPUTED_VALUE"""),14.0)</f>
        <v>14</v>
      </c>
      <c r="O695" s="5">
        <f>IFERROR(__xludf.DUMMYFUNCTION("""COMPUTED_VALUE"""),2000.0)</f>
        <v>2000</v>
      </c>
    </row>
    <row r="696">
      <c r="A696" s="1" t="s">
        <v>380</v>
      </c>
      <c r="B696" s="4">
        <v>27.0</v>
      </c>
      <c r="C696" s="1" t="s">
        <v>146</v>
      </c>
      <c r="D696" s="4">
        <v>13.0</v>
      </c>
      <c r="E696" s="4">
        <v>14.0</v>
      </c>
      <c r="F696" s="4">
        <v>6.0</v>
      </c>
      <c r="G696" s="4">
        <v>7.0</v>
      </c>
      <c r="H696" s="4">
        <v>1.0</v>
      </c>
      <c r="I696" s="4">
        <v>61.0</v>
      </c>
      <c r="J696" s="4">
        <v>52.0</v>
      </c>
      <c r="K696" s="4">
        <v>9.0</v>
      </c>
      <c r="L696" s="2" t="s">
        <v>182</v>
      </c>
      <c r="M696" s="5">
        <f>IFERROR(__xludf.DUMMYFUNCTION("""COMPUTED_VALUE"""),12.0)</f>
        <v>12</v>
      </c>
      <c r="N696" s="5">
        <f>IFERROR(__xludf.DUMMYFUNCTION("""COMPUTED_VALUE"""),11.0)</f>
        <v>11</v>
      </c>
      <c r="O696" s="5">
        <f>IFERROR(__xludf.DUMMYFUNCTION("""COMPUTED_VALUE"""),2001.0)</f>
        <v>2001</v>
      </c>
    </row>
    <row r="697">
      <c r="A697" s="1" t="s">
        <v>380</v>
      </c>
      <c r="B697" s="4">
        <v>28.0</v>
      </c>
      <c r="C697" s="1" t="s">
        <v>36</v>
      </c>
      <c r="D697" s="4">
        <v>12.0</v>
      </c>
      <c r="E697" s="4">
        <v>7.0</v>
      </c>
      <c r="F697" s="4">
        <v>6.0</v>
      </c>
      <c r="G697" s="4">
        <v>1.0</v>
      </c>
      <c r="H697" s="4">
        <v>0.0</v>
      </c>
      <c r="I697" s="4">
        <v>40.0</v>
      </c>
      <c r="J697" s="4">
        <v>14.0</v>
      </c>
      <c r="K697" s="4">
        <v>26.0</v>
      </c>
      <c r="L697" s="2" t="s">
        <v>381</v>
      </c>
      <c r="M697" s="5">
        <f>IFERROR(__xludf.DUMMYFUNCTION("""COMPUTED_VALUE"""),21.0)</f>
        <v>21</v>
      </c>
      <c r="N697" s="5">
        <f>IFERROR(__xludf.DUMMYFUNCTION("""COMPUTED_VALUE"""),2.0)</f>
        <v>2</v>
      </c>
      <c r="O697" s="5">
        <f>IFERROR(__xludf.DUMMYFUNCTION("""COMPUTED_VALUE"""),1.0)</f>
        <v>1</v>
      </c>
    </row>
    <row r="698">
      <c r="A698" s="1" t="s">
        <v>380</v>
      </c>
      <c r="B698" s="4">
        <v>29.0</v>
      </c>
      <c r="C698" s="1" t="s">
        <v>68</v>
      </c>
      <c r="D698" s="4">
        <v>12.0</v>
      </c>
      <c r="E698" s="4">
        <v>10.0</v>
      </c>
      <c r="F698" s="4">
        <v>6.0</v>
      </c>
      <c r="G698" s="4">
        <v>4.0</v>
      </c>
      <c r="H698" s="4">
        <v>0.0</v>
      </c>
      <c r="I698" s="4">
        <v>51.0</v>
      </c>
      <c r="J698" s="4">
        <v>27.0</v>
      </c>
      <c r="K698" s="4">
        <v>24.0</v>
      </c>
      <c r="L698" s="2" t="s">
        <v>217</v>
      </c>
      <c r="M698" s="5">
        <f>IFERROR(__xludf.DUMMYFUNCTION("""COMPUTED_VALUE"""),18.0)</f>
        <v>18</v>
      </c>
      <c r="N698" s="5">
        <f>IFERROR(__xludf.DUMMYFUNCTION("""COMPUTED_VALUE"""),4.0)</f>
        <v>4</v>
      </c>
      <c r="O698" s="5">
        <f>IFERROR(__xludf.DUMMYFUNCTION("""COMPUTED_VALUE"""),0.0)</f>
        <v>0</v>
      </c>
    </row>
    <row r="699">
      <c r="A699" s="1" t="s">
        <v>380</v>
      </c>
      <c r="B699" s="4">
        <v>30.0</v>
      </c>
      <c r="C699" s="1" t="s">
        <v>92</v>
      </c>
      <c r="D699" s="4">
        <v>12.0</v>
      </c>
      <c r="E699" s="4">
        <v>10.0</v>
      </c>
      <c r="F699" s="4">
        <v>6.0</v>
      </c>
      <c r="G699" s="4">
        <v>4.0</v>
      </c>
      <c r="H699" s="4">
        <v>0.0</v>
      </c>
      <c r="I699" s="4">
        <v>43.0</v>
      </c>
      <c r="J699" s="4">
        <v>21.0</v>
      </c>
      <c r="K699" s="4">
        <v>22.0</v>
      </c>
      <c r="L699" s="2" t="s">
        <v>70</v>
      </c>
      <c r="M699" s="5">
        <f>IFERROR(__xludf.DUMMYFUNCTION("""COMPUTED_VALUE"""),16.0)</f>
        <v>16</v>
      </c>
      <c r="N699" s="5">
        <f>IFERROR(__xludf.DUMMYFUNCTION("""COMPUTED_VALUE"""),7.0)</f>
        <v>7</v>
      </c>
      <c r="O699" s="5">
        <f>IFERROR(__xludf.DUMMYFUNCTION("""COMPUTED_VALUE"""),0.0)</f>
        <v>0</v>
      </c>
    </row>
    <row r="700">
      <c r="A700" s="1" t="s">
        <v>380</v>
      </c>
      <c r="B700" s="4">
        <v>31.0</v>
      </c>
      <c r="C700" s="1" t="s">
        <v>96</v>
      </c>
      <c r="D700" s="4">
        <v>12.0</v>
      </c>
      <c r="E700" s="4">
        <v>7.0</v>
      </c>
      <c r="F700" s="4">
        <v>6.0</v>
      </c>
      <c r="G700" s="4">
        <v>1.0</v>
      </c>
      <c r="H700" s="4">
        <v>0.0</v>
      </c>
      <c r="I700" s="4">
        <v>32.0</v>
      </c>
      <c r="J700" s="4">
        <v>13.0</v>
      </c>
      <c r="K700" s="4">
        <v>19.0</v>
      </c>
      <c r="L700" s="2" t="s">
        <v>32</v>
      </c>
      <c r="M700" s="5">
        <f>IFERROR(__xludf.DUMMYFUNCTION("""COMPUTED_VALUE"""),21.0)</f>
        <v>21</v>
      </c>
      <c r="N700" s="5">
        <f>IFERROR(__xludf.DUMMYFUNCTION("""COMPUTED_VALUE"""),3.0)</f>
        <v>3</v>
      </c>
      <c r="O700" s="5">
        <f>IFERROR(__xludf.DUMMYFUNCTION("""COMPUTED_VALUE"""),0.0)</f>
        <v>0</v>
      </c>
    </row>
    <row r="701">
      <c r="A701" s="1" t="s">
        <v>380</v>
      </c>
      <c r="B701" s="4">
        <v>32.0</v>
      </c>
      <c r="C701" s="1" t="s">
        <v>37</v>
      </c>
      <c r="D701" s="4">
        <v>12.0</v>
      </c>
      <c r="E701" s="4">
        <v>10.0</v>
      </c>
      <c r="F701" s="4">
        <v>6.0</v>
      </c>
      <c r="G701" s="4">
        <v>4.0</v>
      </c>
      <c r="H701" s="4">
        <v>0.0</v>
      </c>
      <c r="I701" s="4">
        <v>48.0</v>
      </c>
      <c r="J701" s="4">
        <v>33.0</v>
      </c>
      <c r="K701" s="4">
        <v>15.0</v>
      </c>
      <c r="L701" s="2" t="s">
        <v>87</v>
      </c>
      <c r="M701" s="5">
        <f>IFERROR(__xludf.DUMMYFUNCTION("""COMPUTED_VALUE"""),8.0)</f>
        <v>8</v>
      </c>
      <c r="N701" s="5">
        <f>IFERROR(__xludf.DUMMYFUNCTION("""COMPUTED_VALUE"""),16.0)</f>
        <v>16</v>
      </c>
      <c r="O701" s="5">
        <f>IFERROR(__xludf.DUMMYFUNCTION("""COMPUTED_VALUE"""),2000.0)</f>
        <v>2000</v>
      </c>
    </row>
    <row r="702">
      <c r="A702" s="1" t="s">
        <v>380</v>
      </c>
      <c r="B702" s="4">
        <v>33.0</v>
      </c>
      <c r="C702" s="1" t="s">
        <v>119</v>
      </c>
      <c r="D702" s="4">
        <v>12.0</v>
      </c>
      <c r="E702" s="4">
        <v>10.0</v>
      </c>
      <c r="F702" s="4">
        <v>6.0</v>
      </c>
      <c r="G702" s="4">
        <v>4.0</v>
      </c>
      <c r="H702" s="4">
        <v>0.0</v>
      </c>
      <c r="I702" s="4">
        <v>30.0</v>
      </c>
      <c r="J702" s="4">
        <v>22.0</v>
      </c>
      <c r="K702" s="4">
        <v>8.0</v>
      </c>
      <c r="L702" s="2" t="s">
        <v>177</v>
      </c>
      <c r="M702" s="5">
        <f>IFERROR(__xludf.DUMMYFUNCTION("""COMPUTED_VALUE"""),13.0)</f>
        <v>13</v>
      </c>
      <c r="N702" s="5">
        <f>IFERROR(__xludf.DUMMYFUNCTION("""COMPUTED_VALUE"""),10.0)</f>
        <v>10</v>
      </c>
      <c r="O702" s="5">
        <f>IFERROR(__xludf.DUMMYFUNCTION("""COMPUTED_VALUE"""),1.0)</f>
        <v>1</v>
      </c>
    </row>
    <row r="703">
      <c r="A703" s="1" t="s">
        <v>380</v>
      </c>
      <c r="B703" s="4">
        <v>34.0</v>
      </c>
      <c r="C703" s="1" t="s">
        <v>88</v>
      </c>
      <c r="D703" s="4">
        <v>12.0</v>
      </c>
      <c r="E703" s="4">
        <v>10.0</v>
      </c>
      <c r="F703" s="4">
        <v>6.0</v>
      </c>
      <c r="G703" s="4">
        <v>4.0</v>
      </c>
      <c r="H703" s="4">
        <v>0.0</v>
      </c>
      <c r="I703" s="4">
        <v>28.0</v>
      </c>
      <c r="J703" s="4">
        <v>29.0</v>
      </c>
      <c r="K703" s="4">
        <v>-1.0</v>
      </c>
      <c r="L703" s="2" t="s">
        <v>87</v>
      </c>
      <c r="M703" s="5">
        <f>IFERROR(__xludf.DUMMYFUNCTION("""COMPUTED_VALUE"""),8.0)</f>
        <v>8</v>
      </c>
      <c r="N703" s="5">
        <f>IFERROR(__xludf.DUMMYFUNCTION("""COMPUTED_VALUE"""),16.0)</f>
        <v>16</v>
      </c>
      <c r="O703" s="5">
        <f>IFERROR(__xludf.DUMMYFUNCTION("""COMPUTED_VALUE"""),2000.0)</f>
        <v>2000</v>
      </c>
    </row>
    <row r="704">
      <c r="A704" s="1" t="s">
        <v>380</v>
      </c>
      <c r="B704" s="4">
        <v>35.0</v>
      </c>
      <c r="C704" s="1" t="s">
        <v>116</v>
      </c>
      <c r="D704" s="4">
        <v>11.0</v>
      </c>
      <c r="E704" s="4">
        <v>10.0</v>
      </c>
      <c r="F704" s="4">
        <v>5.0</v>
      </c>
      <c r="G704" s="4">
        <v>4.0</v>
      </c>
      <c r="H704" s="4">
        <v>1.0</v>
      </c>
      <c r="I704" s="4">
        <v>31.0</v>
      </c>
      <c r="J704" s="4">
        <v>30.0</v>
      </c>
      <c r="K704" s="4">
        <v>1.0</v>
      </c>
      <c r="L704" s="2" t="s">
        <v>47</v>
      </c>
      <c r="M704" s="5">
        <f>IFERROR(__xludf.DUMMYFUNCTION("""COMPUTED_VALUE"""),14.0)</f>
        <v>14</v>
      </c>
      <c r="N704" s="5">
        <f>IFERROR(__xludf.DUMMYFUNCTION("""COMPUTED_VALUE"""),9.0)</f>
        <v>9</v>
      </c>
      <c r="O704" s="5">
        <f>IFERROR(__xludf.DUMMYFUNCTION("""COMPUTED_VALUE"""),1.0)</f>
        <v>1</v>
      </c>
    </row>
    <row r="705">
      <c r="A705" s="1" t="s">
        <v>380</v>
      </c>
      <c r="B705" s="4">
        <v>36.0</v>
      </c>
      <c r="C705" s="1" t="s">
        <v>90</v>
      </c>
      <c r="D705" s="4">
        <v>10.0</v>
      </c>
      <c r="E705" s="4">
        <v>7.0</v>
      </c>
      <c r="F705" s="4">
        <v>5.0</v>
      </c>
      <c r="G705" s="4">
        <v>2.0</v>
      </c>
      <c r="H705" s="4">
        <v>0.0</v>
      </c>
      <c r="I705" s="4">
        <v>34.0</v>
      </c>
      <c r="J705" s="4">
        <v>16.0</v>
      </c>
      <c r="K705" s="4">
        <v>18.0</v>
      </c>
      <c r="L705" s="2" t="s">
        <v>51</v>
      </c>
      <c r="M705" s="5">
        <f>IFERROR(__xludf.DUMMYFUNCTION("""COMPUTED_VALUE"""),15.0)</f>
        <v>15</v>
      </c>
      <c r="N705" s="5">
        <f>IFERROR(__xludf.DUMMYFUNCTION("""COMPUTED_VALUE"""),9.0)</f>
        <v>9</v>
      </c>
      <c r="O705" s="5">
        <f>IFERROR(__xludf.DUMMYFUNCTION("""COMPUTED_VALUE"""),0.0)</f>
        <v>0</v>
      </c>
    </row>
    <row r="706">
      <c r="A706" s="1" t="s">
        <v>380</v>
      </c>
      <c r="B706" s="4">
        <v>37.0</v>
      </c>
      <c r="C706" s="1" t="s">
        <v>149</v>
      </c>
      <c r="D706" s="4">
        <v>10.0</v>
      </c>
      <c r="E706" s="4">
        <v>7.0</v>
      </c>
      <c r="F706" s="4">
        <v>5.0</v>
      </c>
      <c r="G706" s="4">
        <v>2.0</v>
      </c>
      <c r="H706" s="4">
        <v>0.0</v>
      </c>
      <c r="I706" s="4">
        <v>31.0</v>
      </c>
      <c r="J706" s="4">
        <v>16.0</v>
      </c>
      <c r="K706" s="4">
        <v>15.0</v>
      </c>
      <c r="L706" s="2" t="s">
        <v>19</v>
      </c>
      <c r="M706" s="5">
        <f>IFERROR(__xludf.DUMMYFUNCTION("""COMPUTED_VALUE"""),18.0)</f>
        <v>18</v>
      </c>
      <c r="N706" s="5">
        <f>IFERROR(__xludf.DUMMYFUNCTION("""COMPUTED_VALUE"""),6.0)</f>
        <v>6</v>
      </c>
      <c r="O706" s="5">
        <f>IFERROR(__xludf.DUMMYFUNCTION("""COMPUTED_VALUE"""),0.0)</f>
        <v>0</v>
      </c>
    </row>
    <row r="707">
      <c r="A707" s="1" t="s">
        <v>380</v>
      </c>
      <c r="B707" s="4">
        <v>38.0</v>
      </c>
      <c r="C707" s="1" t="s">
        <v>101</v>
      </c>
      <c r="D707" s="4">
        <v>10.0</v>
      </c>
      <c r="E707" s="4">
        <v>6.0</v>
      </c>
      <c r="F707" s="4">
        <v>5.0</v>
      </c>
      <c r="G707" s="4">
        <v>1.0</v>
      </c>
      <c r="H707" s="4">
        <v>0.0</v>
      </c>
      <c r="I707" s="4">
        <v>29.0</v>
      </c>
      <c r="J707" s="4">
        <v>14.0</v>
      </c>
      <c r="K707" s="4">
        <v>15.0</v>
      </c>
      <c r="L707" s="2" t="s">
        <v>19</v>
      </c>
      <c r="M707" s="5">
        <f>IFERROR(__xludf.DUMMYFUNCTION("""COMPUTED_VALUE"""),18.0)</f>
        <v>18</v>
      </c>
      <c r="N707" s="5">
        <f>IFERROR(__xludf.DUMMYFUNCTION("""COMPUTED_VALUE"""),6.0)</f>
        <v>6</v>
      </c>
      <c r="O707" s="5">
        <f>IFERROR(__xludf.DUMMYFUNCTION("""COMPUTED_VALUE"""),0.0)</f>
        <v>0</v>
      </c>
    </row>
    <row r="708">
      <c r="A708" s="1" t="s">
        <v>380</v>
      </c>
      <c r="B708" s="4">
        <v>39.0</v>
      </c>
      <c r="C708" s="1" t="s">
        <v>130</v>
      </c>
      <c r="D708" s="4">
        <v>10.0</v>
      </c>
      <c r="E708" s="4">
        <v>8.0</v>
      </c>
      <c r="F708" s="4">
        <v>5.0</v>
      </c>
      <c r="G708" s="4">
        <v>3.0</v>
      </c>
      <c r="H708" s="4">
        <v>0.0</v>
      </c>
      <c r="I708" s="4">
        <v>36.0</v>
      </c>
      <c r="J708" s="4">
        <v>23.0</v>
      </c>
      <c r="K708" s="4">
        <v>13.0</v>
      </c>
      <c r="L708" s="2" t="s">
        <v>216</v>
      </c>
      <c r="M708" s="5">
        <f>IFERROR(__xludf.DUMMYFUNCTION("""COMPUTED_VALUE"""),14.0)</f>
        <v>14</v>
      </c>
      <c r="N708" s="5">
        <f>IFERROR(__xludf.DUMMYFUNCTION("""COMPUTED_VALUE"""),7.0)</f>
        <v>7</v>
      </c>
      <c r="O708" s="5">
        <f>IFERROR(__xludf.DUMMYFUNCTION("""COMPUTED_VALUE"""),0.0)</f>
        <v>0</v>
      </c>
    </row>
    <row r="709">
      <c r="A709" s="1" t="s">
        <v>380</v>
      </c>
      <c r="B709" s="4">
        <v>40.0</v>
      </c>
      <c r="C709" s="1" t="s">
        <v>71</v>
      </c>
      <c r="D709" s="4">
        <v>10.0</v>
      </c>
      <c r="E709" s="4">
        <v>10.0</v>
      </c>
      <c r="F709" s="4">
        <v>5.0</v>
      </c>
      <c r="G709" s="4">
        <v>5.0</v>
      </c>
      <c r="H709" s="4">
        <v>0.0</v>
      </c>
      <c r="I709" s="4">
        <v>36.0</v>
      </c>
      <c r="J709" s="4">
        <v>30.0</v>
      </c>
      <c r="K709" s="4">
        <v>6.0</v>
      </c>
      <c r="L709" s="2" t="s">
        <v>221</v>
      </c>
      <c r="M709" s="5">
        <f>IFERROR(__xludf.DUMMYFUNCTION("""COMPUTED_VALUE"""),14.0)</f>
        <v>14</v>
      </c>
      <c r="N709" s="5">
        <f>IFERROR(__xludf.DUMMYFUNCTION("""COMPUTED_VALUE"""),8.0)</f>
        <v>8</v>
      </c>
      <c r="O709" s="5">
        <f>IFERROR(__xludf.DUMMYFUNCTION("""COMPUTED_VALUE"""),0.0)</f>
        <v>0</v>
      </c>
    </row>
    <row r="710">
      <c r="A710" s="1" t="s">
        <v>380</v>
      </c>
      <c r="B710" s="4">
        <v>41.0</v>
      </c>
      <c r="C710" s="1" t="s">
        <v>94</v>
      </c>
      <c r="D710" s="4">
        <v>10.0</v>
      </c>
      <c r="E710" s="4">
        <v>14.0</v>
      </c>
      <c r="F710" s="4">
        <v>4.0</v>
      </c>
      <c r="G710" s="4">
        <v>8.0</v>
      </c>
      <c r="H710" s="4">
        <v>2.0</v>
      </c>
      <c r="I710" s="4">
        <v>34.0</v>
      </c>
      <c r="J710" s="4">
        <v>36.0</v>
      </c>
      <c r="K710" s="4">
        <v>-2.0</v>
      </c>
      <c r="L710" s="2" t="s">
        <v>220</v>
      </c>
      <c r="M710" s="5">
        <f>IFERROR(__xludf.DUMMYFUNCTION("""COMPUTED_VALUE"""),10.0)</f>
        <v>10</v>
      </c>
      <c r="N710" s="5">
        <f>IFERROR(__xludf.DUMMYFUNCTION("""COMPUTED_VALUE"""),12.0)</f>
        <v>12</v>
      </c>
      <c r="O710" s="5">
        <f>IFERROR(__xludf.DUMMYFUNCTION("""COMPUTED_VALUE"""),2002.0)</f>
        <v>2002</v>
      </c>
    </row>
    <row r="711">
      <c r="A711" s="1" t="s">
        <v>380</v>
      </c>
      <c r="B711" s="4">
        <v>42.0</v>
      </c>
      <c r="C711" s="1" t="s">
        <v>122</v>
      </c>
      <c r="D711" s="4">
        <v>9.0</v>
      </c>
      <c r="E711" s="4">
        <v>10.0</v>
      </c>
      <c r="F711" s="4">
        <v>4.0</v>
      </c>
      <c r="G711" s="4">
        <v>5.0</v>
      </c>
      <c r="H711" s="4">
        <v>1.0</v>
      </c>
      <c r="I711" s="4">
        <v>28.0</v>
      </c>
      <c r="J711" s="4">
        <v>26.0</v>
      </c>
      <c r="K711" s="4">
        <v>2.0</v>
      </c>
      <c r="L711" s="2" t="s">
        <v>384</v>
      </c>
      <c r="M711" s="5">
        <f>IFERROR(__xludf.DUMMYFUNCTION("""COMPUTED_VALUE"""),9.0)</f>
        <v>9</v>
      </c>
      <c r="N711" s="5">
        <f>IFERROR(__xludf.DUMMYFUNCTION("""COMPUTED_VALUE"""),13.0)</f>
        <v>13</v>
      </c>
      <c r="O711" s="5">
        <f>IFERROR(__xludf.DUMMYFUNCTION("""COMPUTED_VALUE"""),2002.0)</f>
        <v>2002</v>
      </c>
    </row>
    <row r="712">
      <c r="A712" s="1" t="s">
        <v>380</v>
      </c>
      <c r="B712" s="4">
        <v>43.0</v>
      </c>
      <c r="C712" s="1" t="s">
        <v>75</v>
      </c>
      <c r="D712" s="4">
        <v>9.0</v>
      </c>
      <c r="E712" s="4">
        <v>13.0</v>
      </c>
      <c r="F712" s="4">
        <v>4.0</v>
      </c>
      <c r="G712" s="4">
        <v>8.0</v>
      </c>
      <c r="H712" s="4">
        <v>1.0</v>
      </c>
      <c r="I712" s="4">
        <v>24.0</v>
      </c>
      <c r="J712" s="4">
        <v>42.0</v>
      </c>
      <c r="K712" s="4">
        <v>-18.0</v>
      </c>
      <c r="L712" s="2" t="s">
        <v>247</v>
      </c>
      <c r="M712" s="5">
        <f>IFERROR(__xludf.DUMMYFUNCTION("""COMPUTED_VALUE"""),9.0)</f>
        <v>9</v>
      </c>
      <c r="N712" s="5">
        <f>IFERROR(__xludf.DUMMYFUNCTION("""COMPUTED_VALUE"""),13.0)</f>
        <v>13</v>
      </c>
      <c r="O712" s="5">
        <f>IFERROR(__xludf.DUMMYFUNCTION("""COMPUTED_VALUE"""),2001.0)</f>
        <v>2001</v>
      </c>
    </row>
    <row r="713">
      <c r="A713" s="1" t="s">
        <v>380</v>
      </c>
      <c r="B713" s="4">
        <v>44.0</v>
      </c>
      <c r="C713" s="1" t="s">
        <v>135</v>
      </c>
      <c r="D713" s="4">
        <v>9.0</v>
      </c>
      <c r="E713" s="4">
        <v>13.0</v>
      </c>
      <c r="F713" s="4">
        <v>4.0</v>
      </c>
      <c r="G713" s="4">
        <v>8.0</v>
      </c>
      <c r="H713" s="4">
        <v>1.0</v>
      </c>
      <c r="I713" s="4">
        <v>35.0</v>
      </c>
      <c r="J713" s="4">
        <v>57.0</v>
      </c>
      <c r="K713" s="4">
        <v>-22.0</v>
      </c>
      <c r="L713" s="2" t="s">
        <v>385</v>
      </c>
      <c r="M713" s="5">
        <f>IFERROR(__xludf.DUMMYFUNCTION("""COMPUTED_VALUE"""),8.0)</f>
        <v>8</v>
      </c>
      <c r="N713" s="5">
        <f>IFERROR(__xludf.DUMMYFUNCTION("""COMPUTED_VALUE"""),10.0)</f>
        <v>10</v>
      </c>
      <c r="O713" s="5">
        <f>IFERROR(__xludf.DUMMYFUNCTION("""COMPUTED_VALUE"""),2002.0)</f>
        <v>2002</v>
      </c>
    </row>
    <row r="714">
      <c r="A714" s="1" t="s">
        <v>380</v>
      </c>
      <c r="B714" s="4">
        <v>45.0</v>
      </c>
      <c r="C714" s="1" t="s">
        <v>105</v>
      </c>
      <c r="D714" s="4">
        <v>9.0</v>
      </c>
      <c r="E714" s="4">
        <v>10.0</v>
      </c>
      <c r="F714" s="4">
        <v>4.0</v>
      </c>
      <c r="G714" s="4">
        <v>5.0</v>
      </c>
      <c r="H714" s="4">
        <v>1.0</v>
      </c>
      <c r="I714" s="4">
        <v>19.0</v>
      </c>
      <c r="J714" s="4">
        <v>45.0</v>
      </c>
      <c r="K714" s="4">
        <v>-26.0</v>
      </c>
      <c r="L714" s="2" t="s">
        <v>328</v>
      </c>
      <c r="M714" s="5">
        <f>IFERROR(__xludf.DUMMYFUNCTION("""COMPUTED_VALUE"""),8.0)</f>
        <v>8</v>
      </c>
      <c r="N714" s="5">
        <f>IFERROR(__xludf.DUMMYFUNCTION("""COMPUTED_VALUE"""),14.0)</f>
        <v>14</v>
      </c>
      <c r="O714" s="5">
        <f>IFERROR(__xludf.DUMMYFUNCTION("""COMPUTED_VALUE"""),2001.0)</f>
        <v>2001</v>
      </c>
    </row>
    <row r="715">
      <c r="A715" s="1" t="s">
        <v>380</v>
      </c>
      <c r="B715" s="4">
        <v>46.0</v>
      </c>
      <c r="C715" s="1" t="s">
        <v>114</v>
      </c>
      <c r="D715" s="4">
        <v>8.0</v>
      </c>
      <c r="E715" s="4">
        <v>5.0</v>
      </c>
      <c r="F715" s="4">
        <v>4.0</v>
      </c>
      <c r="G715" s="4">
        <v>1.0</v>
      </c>
      <c r="H715" s="4">
        <v>0.0</v>
      </c>
      <c r="I715" s="4">
        <v>29.0</v>
      </c>
      <c r="J715" s="4">
        <v>9.0</v>
      </c>
      <c r="K715" s="4">
        <v>20.0</v>
      </c>
      <c r="L715" s="2" t="s">
        <v>386</v>
      </c>
      <c r="M715" s="5">
        <f>IFERROR(__xludf.DUMMYFUNCTION("""COMPUTED_VALUE"""),15.0)</f>
        <v>15</v>
      </c>
      <c r="N715" s="5">
        <f>IFERROR(__xludf.DUMMYFUNCTION("""COMPUTED_VALUE"""),5.0)</f>
        <v>5</v>
      </c>
      <c r="O715" s="5">
        <f>IFERROR(__xludf.DUMMYFUNCTION("""COMPUTED_VALUE"""),0.0)</f>
        <v>0</v>
      </c>
    </row>
    <row r="716">
      <c r="A716" s="1" t="s">
        <v>380</v>
      </c>
      <c r="B716" s="4">
        <v>47.0</v>
      </c>
      <c r="C716" s="1" t="s">
        <v>144</v>
      </c>
      <c r="D716" s="4">
        <v>8.0</v>
      </c>
      <c r="E716" s="4">
        <v>4.0</v>
      </c>
      <c r="F716" s="4">
        <v>4.0</v>
      </c>
      <c r="G716" s="4">
        <v>0.0</v>
      </c>
      <c r="H716" s="4">
        <v>0.0</v>
      </c>
      <c r="I716" s="4">
        <v>25.0</v>
      </c>
      <c r="J716" s="4">
        <v>6.0</v>
      </c>
      <c r="K716" s="4">
        <v>19.0</v>
      </c>
      <c r="L716" s="2" t="s">
        <v>387</v>
      </c>
      <c r="M716" s="5">
        <f>IFERROR(__xludf.DUMMYFUNCTION("""COMPUTED_VALUE"""),17.0)</f>
        <v>17</v>
      </c>
      <c r="N716" s="5">
        <f>IFERROR(__xludf.DUMMYFUNCTION("""COMPUTED_VALUE"""),3.0)</f>
        <v>3</v>
      </c>
      <c r="O716" s="5">
        <f>IFERROR(__xludf.DUMMYFUNCTION("""COMPUTED_VALUE"""),1.0)</f>
        <v>1</v>
      </c>
    </row>
    <row r="717">
      <c r="A717" s="1" t="s">
        <v>380</v>
      </c>
      <c r="B717" s="4">
        <v>48.0</v>
      </c>
      <c r="C717" s="1" t="s">
        <v>368</v>
      </c>
      <c r="D717" s="4">
        <v>8.0</v>
      </c>
      <c r="E717" s="4">
        <v>8.0</v>
      </c>
      <c r="F717" s="4">
        <v>4.0</v>
      </c>
      <c r="G717" s="4">
        <v>4.0</v>
      </c>
      <c r="H717" s="4">
        <v>0.0</v>
      </c>
      <c r="I717" s="4">
        <v>34.0</v>
      </c>
      <c r="J717" s="4">
        <v>26.0</v>
      </c>
      <c r="K717" s="4">
        <v>8.0</v>
      </c>
      <c r="L717" s="2" t="s">
        <v>234</v>
      </c>
      <c r="M717" s="5">
        <f>IFERROR(__xludf.DUMMYFUNCTION("""COMPUTED_VALUE"""),10.0)</f>
        <v>10</v>
      </c>
      <c r="N717" s="5">
        <f>IFERROR(__xludf.DUMMYFUNCTION("""COMPUTED_VALUE"""),9.0)</f>
        <v>9</v>
      </c>
      <c r="O717" s="5">
        <f>IFERROR(__xludf.DUMMYFUNCTION("""COMPUTED_VALUE"""),2000.0)</f>
        <v>2000</v>
      </c>
    </row>
    <row r="718">
      <c r="A718" s="1" t="s">
        <v>380</v>
      </c>
      <c r="B718" s="4">
        <v>49.0</v>
      </c>
      <c r="C718" s="1" t="s">
        <v>152</v>
      </c>
      <c r="D718" s="4">
        <v>8.0</v>
      </c>
      <c r="E718" s="4">
        <v>8.0</v>
      </c>
      <c r="F718" s="4">
        <v>4.0</v>
      </c>
      <c r="G718" s="4">
        <v>4.0</v>
      </c>
      <c r="H718" s="4">
        <v>0.0</v>
      </c>
      <c r="I718" s="4">
        <v>31.0</v>
      </c>
      <c r="J718" s="4">
        <v>27.0</v>
      </c>
      <c r="K718" s="4">
        <v>4.0</v>
      </c>
      <c r="L718" s="2" t="s">
        <v>21</v>
      </c>
      <c r="M718" s="5">
        <f>IFERROR(__xludf.DUMMYFUNCTION("""COMPUTED_VALUE"""),15.0)</f>
        <v>15</v>
      </c>
      <c r="N718" s="5">
        <f>IFERROR(__xludf.DUMMYFUNCTION("""COMPUTED_VALUE"""),8.0)</f>
        <v>8</v>
      </c>
      <c r="O718" s="5">
        <f>IFERROR(__xludf.DUMMYFUNCTION("""COMPUTED_VALUE"""),0.0)</f>
        <v>0</v>
      </c>
    </row>
    <row r="719">
      <c r="A719" s="1" t="s">
        <v>380</v>
      </c>
      <c r="B719" s="4">
        <v>50.0</v>
      </c>
      <c r="C719" s="1" t="s">
        <v>161</v>
      </c>
      <c r="D719" s="4">
        <v>8.0</v>
      </c>
      <c r="E719" s="4">
        <v>10.0</v>
      </c>
      <c r="F719" s="4">
        <v>4.0</v>
      </c>
      <c r="G719" s="4">
        <v>6.0</v>
      </c>
      <c r="H719" s="4">
        <v>0.0</v>
      </c>
      <c r="I719" s="4">
        <v>37.0</v>
      </c>
      <c r="J719" s="4">
        <v>41.0</v>
      </c>
      <c r="K719" s="4">
        <v>-4.0</v>
      </c>
      <c r="L719" s="2" t="s">
        <v>200</v>
      </c>
      <c r="M719" s="5">
        <f>IFERROR(__xludf.DUMMYFUNCTION("""COMPUTED_VALUE"""),6.0)</f>
        <v>6</v>
      </c>
      <c r="N719" s="5">
        <f>IFERROR(__xludf.DUMMYFUNCTION("""COMPUTED_VALUE"""),16.0)</f>
        <v>16</v>
      </c>
      <c r="O719" s="5">
        <f>IFERROR(__xludf.DUMMYFUNCTION("""COMPUTED_VALUE"""),2001.0)</f>
        <v>2001</v>
      </c>
    </row>
    <row r="720">
      <c r="A720" s="1" t="s">
        <v>380</v>
      </c>
      <c r="B720" s="4">
        <v>51.0</v>
      </c>
      <c r="C720" s="1" t="s">
        <v>123</v>
      </c>
      <c r="D720" s="4">
        <v>8.0</v>
      </c>
      <c r="E720" s="4">
        <v>12.0</v>
      </c>
      <c r="F720" s="4">
        <v>4.0</v>
      </c>
      <c r="G720" s="4">
        <v>8.0</v>
      </c>
      <c r="H720" s="4">
        <v>0.0</v>
      </c>
      <c r="I720" s="4">
        <v>37.0</v>
      </c>
      <c r="J720" s="4">
        <v>41.0</v>
      </c>
      <c r="K720" s="4">
        <v>-4.0</v>
      </c>
      <c r="L720" s="2" t="s">
        <v>388</v>
      </c>
      <c r="M720" s="5">
        <f>IFERROR(__xludf.DUMMYFUNCTION("""COMPUTED_VALUE"""),8.0)</f>
        <v>8</v>
      </c>
      <c r="N720" s="5">
        <f>IFERROR(__xludf.DUMMYFUNCTION("""COMPUTED_VALUE"""),12.0)</f>
        <v>12</v>
      </c>
      <c r="O720" s="5">
        <f>IFERROR(__xludf.DUMMYFUNCTION("""COMPUTED_VALUE"""),2000.0)</f>
        <v>2000</v>
      </c>
    </row>
    <row r="721">
      <c r="A721" s="1" t="s">
        <v>380</v>
      </c>
      <c r="B721" s="4">
        <v>52.0</v>
      </c>
      <c r="C721" s="1" t="s">
        <v>54</v>
      </c>
      <c r="D721" s="4">
        <v>7.0</v>
      </c>
      <c r="E721" s="4">
        <v>7.0</v>
      </c>
      <c r="F721" s="4">
        <v>3.0</v>
      </c>
      <c r="G721" s="4">
        <v>3.0</v>
      </c>
      <c r="H721" s="4">
        <v>1.0</v>
      </c>
      <c r="I721" s="4">
        <v>32.0</v>
      </c>
      <c r="J721" s="4">
        <v>20.0</v>
      </c>
      <c r="K721" s="4">
        <v>12.0</v>
      </c>
      <c r="L721" s="2" t="s">
        <v>323</v>
      </c>
      <c r="M721" s="5">
        <f>IFERROR(__xludf.DUMMYFUNCTION("""COMPUTED_VALUE"""),10.0)</f>
        <v>10</v>
      </c>
      <c r="N721" s="5">
        <f>IFERROR(__xludf.DUMMYFUNCTION("""COMPUTED_VALUE"""),12.0)</f>
        <v>12</v>
      </c>
      <c r="O721" s="5">
        <f>IFERROR(__xludf.DUMMYFUNCTION("""COMPUTED_VALUE"""),2001.0)</f>
        <v>2001</v>
      </c>
    </row>
    <row r="722">
      <c r="A722" s="1" t="s">
        <v>380</v>
      </c>
      <c r="B722" s="4">
        <v>53.0</v>
      </c>
      <c r="C722" s="1" t="s">
        <v>103</v>
      </c>
      <c r="D722" s="4">
        <v>7.0</v>
      </c>
      <c r="E722" s="4">
        <v>7.0</v>
      </c>
      <c r="F722" s="4">
        <v>3.0</v>
      </c>
      <c r="G722" s="4">
        <v>3.0</v>
      </c>
      <c r="H722" s="4">
        <v>1.0</v>
      </c>
      <c r="I722" s="4">
        <v>29.0</v>
      </c>
      <c r="J722" s="4">
        <v>33.0</v>
      </c>
      <c r="K722" s="4">
        <v>-4.0</v>
      </c>
      <c r="L722" s="2" t="s">
        <v>82</v>
      </c>
      <c r="M722" s="5">
        <f>IFERROR(__xludf.DUMMYFUNCTION("""COMPUTED_VALUE"""),11.0)</f>
        <v>11</v>
      </c>
      <c r="N722" s="5">
        <f>IFERROR(__xludf.DUMMYFUNCTION("""COMPUTED_VALUE"""),12.0)</f>
        <v>12</v>
      </c>
      <c r="O722" s="5">
        <f>IFERROR(__xludf.DUMMYFUNCTION("""COMPUTED_VALUE"""),2001.0)</f>
        <v>2001</v>
      </c>
    </row>
    <row r="723">
      <c r="A723" s="1" t="s">
        <v>380</v>
      </c>
      <c r="B723" s="4">
        <v>54.0</v>
      </c>
      <c r="C723" s="1" t="s">
        <v>99</v>
      </c>
      <c r="D723" s="4">
        <v>7.0</v>
      </c>
      <c r="E723" s="4">
        <v>10.0</v>
      </c>
      <c r="F723" s="4">
        <v>3.0</v>
      </c>
      <c r="G723" s="4">
        <v>6.0</v>
      </c>
      <c r="H723" s="4">
        <v>1.0</v>
      </c>
      <c r="I723" s="4">
        <v>17.0</v>
      </c>
      <c r="J723" s="4">
        <v>39.0</v>
      </c>
      <c r="K723" s="4">
        <v>-22.0</v>
      </c>
      <c r="L723" s="2" t="s">
        <v>389</v>
      </c>
      <c r="M723" s="5">
        <f>IFERROR(__xludf.DUMMYFUNCTION("""COMPUTED_VALUE"""),10.0)</f>
        <v>10</v>
      </c>
      <c r="N723" s="5">
        <f>IFERROR(__xludf.DUMMYFUNCTION("""COMPUTED_VALUE"""),10.0)</f>
        <v>10</v>
      </c>
      <c r="O723" s="5">
        <f>IFERROR(__xludf.DUMMYFUNCTION("""COMPUTED_VALUE"""),2002.0)</f>
        <v>2002</v>
      </c>
    </row>
    <row r="724">
      <c r="A724" s="1" t="s">
        <v>380</v>
      </c>
      <c r="B724" s="4">
        <v>55.0</v>
      </c>
      <c r="C724" s="1" t="s">
        <v>83</v>
      </c>
      <c r="D724" s="4">
        <v>6.0</v>
      </c>
      <c r="E724" s="4">
        <v>4.0</v>
      </c>
      <c r="F724" s="4">
        <v>3.0</v>
      </c>
      <c r="G724" s="4">
        <v>1.0</v>
      </c>
      <c r="H724" s="4">
        <v>0.0</v>
      </c>
      <c r="I724" s="4">
        <v>16.0</v>
      </c>
      <c r="J724" s="4">
        <v>9.0</v>
      </c>
      <c r="K724" s="4">
        <v>7.0</v>
      </c>
      <c r="L724" s="2" t="s">
        <v>390</v>
      </c>
      <c r="M724" s="5">
        <f>IFERROR(__xludf.DUMMYFUNCTION("""COMPUTED_VALUE"""),12.0)</f>
        <v>12</v>
      </c>
      <c r="N724" s="5">
        <f>IFERROR(__xludf.DUMMYFUNCTION("""COMPUTED_VALUE"""),8.0)</f>
        <v>8</v>
      </c>
      <c r="O724" s="5">
        <f>IFERROR(__xludf.DUMMYFUNCTION("""COMPUTED_VALUE"""),2000.0)</f>
        <v>2000</v>
      </c>
    </row>
    <row r="725">
      <c r="A725" s="1" t="s">
        <v>380</v>
      </c>
      <c r="B725" s="4">
        <v>56.0</v>
      </c>
      <c r="C725" s="1" t="s">
        <v>147</v>
      </c>
      <c r="D725" s="4">
        <v>6.0</v>
      </c>
      <c r="E725" s="4">
        <v>6.0</v>
      </c>
      <c r="F725" s="4">
        <v>3.0</v>
      </c>
      <c r="G725" s="4">
        <v>3.0</v>
      </c>
      <c r="H725" s="4">
        <v>0.0</v>
      </c>
      <c r="I725" s="4">
        <v>20.0</v>
      </c>
      <c r="J725" s="4">
        <v>15.0</v>
      </c>
      <c r="K725" s="4">
        <v>5.0</v>
      </c>
      <c r="L725" s="2" t="s">
        <v>180</v>
      </c>
      <c r="M725" s="5">
        <f>IFERROR(__xludf.DUMMYFUNCTION("""COMPUTED_VALUE"""),12.0)</f>
        <v>12</v>
      </c>
      <c r="N725" s="5">
        <f>IFERROR(__xludf.DUMMYFUNCTION("""COMPUTED_VALUE"""),10.0)</f>
        <v>10</v>
      </c>
      <c r="O725" s="5">
        <f>IFERROR(__xludf.DUMMYFUNCTION("""COMPUTED_VALUE"""),2002.0)</f>
        <v>2002</v>
      </c>
    </row>
    <row r="726">
      <c r="A726" s="1" t="s">
        <v>380</v>
      </c>
      <c r="B726" s="4">
        <v>57.0</v>
      </c>
      <c r="C726" s="1" t="s">
        <v>108</v>
      </c>
      <c r="D726" s="4">
        <v>6.0</v>
      </c>
      <c r="E726" s="4">
        <v>6.0</v>
      </c>
      <c r="F726" s="4">
        <v>3.0</v>
      </c>
      <c r="G726" s="4">
        <v>3.0</v>
      </c>
      <c r="H726" s="4">
        <v>0.0</v>
      </c>
      <c r="I726" s="4">
        <v>20.0</v>
      </c>
      <c r="J726" s="4">
        <v>18.0</v>
      </c>
      <c r="K726" s="4">
        <v>2.0</v>
      </c>
      <c r="L726" s="2" t="s">
        <v>255</v>
      </c>
      <c r="M726" s="5">
        <f>IFERROR(__xludf.DUMMYFUNCTION("""COMPUTED_VALUE"""),6.0)</f>
        <v>6</v>
      </c>
      <c r="N726" s="5">
        <f>IFERROR(__xludf.DUMMYFUNCTION("""COMPUTED_VALUE"""),15.0)</f>
        <v>15</v>
      </c>
      <c r="O726" s="5">
        <f>IFERROR(__xludf.DUMMYFUNCTION("""COMPUTED_VALUE"""),2000.0)</f>
        <v>2000</v>
      </c>
    </row>
    <row r="727">
      <c r="A727" s="1" t="s">
        <v>380</v>
      </c>
      <c r="B727" s="4">
        <v>58.0</v>
      </c>
      <c r="C727" s="1" t="s">
        <v>56</v>
      </c>
      <c r="D727" s="4">
        <v>6.0</v>
      </c>
      <c r="E727" s="4">
        <v>6.0</v>
      </c>
      <c r="F727" s="4">
        <v>3.0</v>
      </c>
      <c r="G727" s="4">
        <v>3.0</v>
      </c>
      <c r="H727" s="4">
        <v>0.0</v>
      </c>
      <c r="I727" s="4">
        <v>20.0</v>
      </c>
      <c r="J727" s="4">
        <v>23.0</v>
      </c>
      <c r="K727" s="4">
        <v>-3.0</v>
      </c>
      <c r="L727" s="2" t="s">
        <v>97</v>
      </c>
      <c r="M727" s="5">
        <f>IFERROR(__xludf.DUMMYFUNCTION("""COMPUTED_VALUE"""),10.0)</f>
        <v>10</v>
      </c>
      <c r="N727" s="5">
        <f>IFERROR(__xludf.DUMMYFUNCTION("""COMPUTED_VALUE"""),13.0)</f>
        <v>13</v>
      </c>
      <c r="O727" s="5">
        <f>IFERROR(__xludf.DUMMYFUNCTION("""COMPUTED_VALUE"""),2000.0)</f>
        <v>2000</v>
      </c>
    </row>
    <row r="728">
      <c r="A728" s="1" t="s">
        <v>380</v>
      </c>
      <c r="B728" s="4">
        <v>59.0</v>
      </c>
      <c r="C728" s="1" t="s">
        <v>113</v>
      </c>
      <c r="D728" s="4">
        <v>6.0</v>
      </c>
      <c r="E728" s="4">
        <v>8.0</v>
      </c>
      <c r="F728" s="4">
        <v>3.0</v>
      </c>
      <c r="G728" s="4">
        <v>5.0</v>
      </c>
      <c r="H728" s="4">
        <v>0.0</v>
      </c>
      <c r="I728" s="4">
        <v>23.0</v>
      </c>
      <c r="J728" s="4">
        <v>27.0</v>
      </c>
      <c r="K728" s="4">
        <v>-4.0</v>
      </c>
      <c r="L728" s="2" t="s">
        <v>231</v>
      </c>
      <c r="M728" s="5">
        <f>IFERROR(__xludf.DUMMYFUNCTION("""COMPUTED_VALUE"""),8.0)</f>
        <v>8</v>
      </c>
      <c r="N728" s="5">
        <f>IFERROR(__xludf.DUMMYFUNCTION("""COMPUTED_VALUE"""),14.0)</f>
        <v>14</v>
      </c>
      <c r="O728" s="5">
        <f>IFERROR(__xludf.DUMMYFUNCTION("""COMPUTED_VALUE"""),2000.0)</f>
        <v>2000</v>
      </c>
    </row>
    <row r="729">
      <c r="A729" s="1" t="s">
        <v>380</v>
      </c>
      <c r="B729" s="4">
        <v>60.0</v>
      </c>
      <c r="C729" s="1" t="s">
        <v>377</v>
      </c>
      <c r="D729" s="4">
        <v>6.0</v>
      </c>
      <c r="E729" s="4">
        <v>8.0</v>
      </c>
      <c r="F729" s="4">
        <v>3.0</v>
      </c>
      <c r="G729" s="4">
        <v>5.0</v>
      </c>
      <c r="H729" s="4">
        <v>0.0</v>
      </c>
      <c r="I729" s="4">
        <v>25.0</v>
      </c>
      <c r="J729" s="4">
        <v>29.0</v>
      </c>
      <c r="K729" s="4">
        <v>-4.0</v>
      </c>
      <c r="L729" s="2" t="s">
        <v>229</v>
      </c>
      <c r="M729" s="5">
        <f>IFERROR(__xludf.DUMMYFUNCTION("""COMPUTED_VALUE"""),6.0)</f>
        <v>6</v>
      </c>
      <c r="N729" s="5">
        <f>IFERROR(__xludf.DUMMYFUNCTION("""COMPUTED_VALUE"""),17.0)</f>
        <v>17</v>
      </c>
      <c r="O729" s="5">
        <f>IFERROR(__xludf.DUMMYFUNCTION("""COMPUTED_VALUE"""),2000.0)</f>
        <v>2000</v>
      </c>
    </row>
    <row r="730">
      <c r="A730" s="1" t="s">
        <v>380</v>
      </c>
      <c r="B730" s="4">
        <v>61.0</v>
      </c>
      <c r="C730" s="1" t="s">
        <v>128</v>
      </c>
      <c r="D730" s="4">
        <v>6.0</v>
      </c>
      <c r="E730" s="4">
        <v>7.0</v>
      </c>
      <c r="F730" s="4">
        <v>3.0</v>
      </c>
      <c r="G730" s="4">
        <v>4.0</v>
      </c>
      <c r="H730" s="4">
        <v>0.0</v>
      </c>
      <c r="I730" s="4">
        <v>14.0</v>
      </c>
      <c r="J730" s="4">
        <v>23.0</v>
      </c>
      <c r="K730" s="4">
        <v>-9.0</v>
      </c>
      <c r="L730" s="2" t="s">
        <v>182</v>
      </c>
      <c r="M730" s="5">
        <f>IFERROR(__xludf.DUMMYFUNCTION("""COMPUTED_VALUE"""),12.0)</f>
        <v>12</v>
      </c>
      <c r="N730" s="5">
        <f>IFERROR(__xludf.DUMMYFUNCTION("""COMPUTED_VALUE"""),11.0)</f>
        <v>11</v>
      </c>
      <c r="O730" s="5">
        <f>IFERROR(__xludf.DUMMYFUNCTION("""COMPUTED_VALUE"""),2001.0)</f>
        <v>2001</v>
      </c>
    </row>
    <row r="731">
      <c r="A731" s="1" t="s">
        <v>380</v>
      </c>
      <c r="B731" s="4">
        <v>62.0</v>
      </c>
      <c r="C731" s="1" t="s">
        <v>156</v>
      </c>
      <c r="D731" s="4">
        <v>6.0</v>
      </c>
      <c r="E731" s="4">
        <v>13.0</v>
      </c>
      <c r="F731" s="4">
        <v>3.0</v>
      </c>
      <c r="G731" s="4">
        <v>10.0</v>
      </c>
      <c r="H731" s="4">
        <v>0.0</v>
      </c>
      <c r="I731" s="4">
        <v>25.0</v>
      </c>
      <c r="J731" s="4">
        <v>53.0</v>
      </c>
      <c r="K731" s="4">
        <v>-28.0</v>
      </c>
      <c r="L731" s="2" t="s">
        <v>231</v>
      </c>
      <c r="M731" s="5">
        <f>IFERROR(__xludf.DUMMYFUNCTION("""COMPUTED_VALUE"""),8.0)</f>
        <v>8</v>
      </c>
      <c r="N731" s="5">
        <f>IFERROR(__xludf.DUMMYFUNCTION("""COMPUTED_VALUE"""),14.0)</f>
        <v>14</v>
      </c>
      <c r="O731" s="5">
        <f>IFERROR(__xludf.DUMMYFUNCTION("""COMPUTED_VALUE"""),2000.0)</f>
        <v>2000</v>
      </c>
    </row>
    <row r="732">
      <c r="A732" s="1" t="s">
        <v>380</v>
      </c>
      <c r="B732" s="4">
        <v>63.0</v>
      </c>
      <c r="C732" s="1" t="s">
        <v>137</v>
      </c>
      <c r="D732" s="4">
        <v>6.0</v>
      </c>
      <c r="E732" s="4">
        <v>10.0</v>
      </c>
      <c r="F732" s="4">
        <v>3.0</v>
      </c>
      <c r="G732" s="4">
        <v>7.0</v>
      </c>
      <c r="H732" s="4">
        <v>0.0</v>
      </c>
      <c r="I732" s="4">
        <v>15.0</v>
      </c>
      <c r="J732" s="4">
        <v>69.0</v>
      </c>
      <c r="K732" s="4">
        <v>-54.0</v>
      </c>
      <c r="L732" s="2" t="s">
        <v>236</v>
      </c>
      <c r="M732" s="5">
        <f>IFERROR(__xludf.DUMMYFUNCTION("""COMPUTED_VALUE"""),4.0)</f>
        <v>4</v>
      </c>
      <c r="N732" s="5">
        <f>IFERROR(__xludf.DUMMYFUNCTION("""COMPUTED_VALUE"""),18.0)</f>
        <v>18</v>
      </c>
      <c r="O732" s="5">
        <f>IFERROR(__xludf.DUMMYFUNCTION("""COMPUTED_VALUE"""),2000.0)</f>
        <v>2000</v>
      </c>
    </row>
    <row r="733">
      <c r="A733" s="1" t="s">
        <v>380</v>
      </c>
      <c r="B733" s="4">
        <v>64.0</v>
      </c>
      <c r="C733" s="1" t="s">
        <v>81</v>
      </c>
      <c r="D733" s="4">
        <v>5.0</v>
      </c>
      <c r="E733" s="4">
        <v>10.0</v>
      </c>
      <c r="F733" s="4">
        <v>2.0</v>
      </c>
      <c r="G733" s="4">
        <v>7.0</v>
      </c>
      <c r="H733" s="4">
        <v>1.0</v>
      </c>
      <c r="I733" s="4">
        <v>21.0</v>
      </c>
      <c r="J733" s="4">
        <v>37.0</v>
      </c>
      <c r="K733" s="4">
        <v>-16.0</v>
      </c>
      <c r="L733" s="2" t="s">
        <v>191</v>
      </c>
      <c r="M733" s="5">
        <f>IFERROR(__xludf.DUMMYFUNCTION("""COMPUTED_VALUE"""),3.0)</f>
        <v>3</v>
      </c>
      <c r="N733" s="5">
        <f>IFERROR(__xludf.DUMMYFUNCTION("""COMPUTED_VALUE"""),19.0)</f>
        <v>19</v>
      </c>
      <c r="O733" s="5">
        <f>IFERROR(__xludf.DUMMYFUNCTION("""COMPUTED_VALUE"""),2002.0)</f>
        <v>2002</v>
      </c>
    </row>
    <row r="734">
      <c r="A734" s="1" t="s">
        <v>380</v>
      </c>
      <c r="B734" s="4">
        <v>65.0</v>
      </c>
      <c r="C734" s="1" t="s">
        <v>73</v>
      </c>
      <c r="D734" s="4">
        <v>5.0</v>
      </c>
      <c r="E734" s="4">
        <v>10.0</v>
      </c>
      <c r="F734" s="4">
        <v>2.0</v>
      </c>
      <c r="G734" s="4">
        <v>7.0</v>
      </c>
      <c r="H734" s="4">
        <v>1.0</v>
      </c>
      <c r="I734" s="4">
        <v>17.0</v>
      </c>
      <c r="J734" s="4">
        <v>35.0</v>
      </c>
      <c r="K734" s="4">
        <v>-18.0</v>
      </c>
      <c r="L734" s="2" t="s">
        <v>180</v>
      </c>
      <c r="M734" s="5">
        <f>IFERROR(__xludf.DUMMYFUNCTION("""COMPUTED_VALUE"""),12.0)</f>
        <v>12</v>
      </c>
      <c r="N734" s="5">
        <f>IFERROR(__xludf.DUMMYFUNCTION("""COMPUTED_VALUE"""),10.0)</f>
        <v>10</v>
      </c>
      <c r="O734" s="5">
        <f>IFERROR(__xludf.DUMMYFUNCTION("""COMPUTED_VALUE"""),2002.0)</f>
        <v>2002</v>
      </c>
    </row>
    <row r="735">
      <c r="A735" s="1" t="s">
        <v>380</v>
      </c>
      <c r="B735" s="4">
        <v>66.0</v>
      </c>
      <c r="C735" s="1" t="s">
        <v>85</v>
      </c>
      <c r="D735" s="4">
        <v>5.0</v>
      </c>
      <c r="E735" s="4">
        <v>10.0</v>
      </c>
      <c r="F735" s="4">
        <v>2.0</v>
      </c>
      <c r="G735" s="4">
        <v>7.0</v>
      </c>
      <c r="H735" s="4">
        <v>1.0</v>
      </c>
      <c r="I735" s="4">
        <v>25.0</v>
      </c>
      <c r="J735" s="4">
        <v>60.0</v>
      </c>
      <c r="K735" s="4">
        <v>-35.0</v>
      </c>
      <c r="L735" s="2" t="s">
        <v>391</v>
      </c>
      <c r="M735" s="5">
        <f>IFERROR(__xludf.DUMMYFUNCTION("""COMPUTED_VALUE"""),6.0)</f>
        <v>6</v>
      </c>
      <c r="N735" s="5">
        <f>IFERROR(__xludf.DUMMYFUNCTION("""COMPUTED_VALUE"""),13.0)</f>
        <v>13</v>
      </c>
      <c r="O735" s="5">
        <f>IFERROR(__xludf.DUMMYFUNCTION("""COMPUTED_VALUE"""),2002.0)</f>
        <v>2002</v>
      </c>
    </row>
    <row r="736">
      <c r="A736" s="1" t="s">
        <v>380</v>
      </c>
      <c r="B736" s="4">
        <v>67.0</v>
      </c>
      <c r="C736" s="1" t="s">
        <v>98</v>
      </c>
      <c r="D736" s="4">
        <v>4.0</v>
      </c>
      <c r="E736" s="4">
        <v>7.0</v>
      </c>
      <c r="F736" s="4">
        <v>2.0</v>
      </c>
      <c r="G736" s="4">
        <v>5.0</v>
      </c>
      <c r="H736" s="4">
        <v>0.0</v>
      </c>
      <c r="I736" s="4">
        <v>19.0</v>
      </c>
      <c r="J736" s="4">
        <v>24.0</v>
      </c>
      <c r="K736" s="4">
        <v>-5.0</v>
      </c>
      <c r="L736" s="2" t="s">
        <v>102</v>
      </c>
      <c r="M736" s="5">
        <f>IFERROR(__xludf.DUMMYFUNCTION("""COMPUTED_VALUE"""),13.0)</f>
        <v>13</v>
      </c>
      <c r="N736" s="5">
        <f>IFERROR(__xludf.DUMMYFUNCTION("""COMPUTED_VALUE"""),11.0)</f>
        <v>11</v>
      </c>
      <c r="O736" s="5">
        <f>IFERROR(__xludf.DUMMYFUNCTION("""COMPUTED_VALUE"""),0.0)</f>
        <v>0</v>
      </c>
    </row>
    <row r="737">
      <c r="A737" s="1" t="s">
        <v>380</v>
      </c>
      <c r="B737" s="4">
        <v>68.0</v>
      </c>
      <c r="C737" s="1" t="s">
        <v>31</v>
      </c>
      <c r="D737" s="4">
        <v>4.0</v>
      </c>
      <c r="E737" s="4">
        <v>7.0</v>
      </c>
      <c r="F737" s="4">
        <v>2.0</v>
      </c>
      <c r="G737" s="4">
        <v>5.0</v>
      </c>
      <c r="H737" s="4">
        <v>0.0</v>
      </c>
      <c r="I737" s="4">
        <v>22.0</v>
      </c>
      <c r="J737" s="4">
        <v>38.0</v>
      </c>
      <c r="K737" s="4">
        <v>-16.0</v>
      </c>
      <c r="L737" s="2" t="s">
        <v>143</v>
      </c>
      <c r="M737" s="5">
        <f>IFERROR(__xludf.DUMMYFUNCTION("""COMPUTED_VALUE"""),7.0)</f>
        <v>7</v>
      </c>
      <c r="N737" s="5">
        <f>IFERROR(__xludf.DUMMYFUNCTION("""COMPUTED_VALUE"""),16.0)</f>
        <v>16</v>
      </c>
      <c r="O737" s="5">
        <f>IFERROR(__xludf.DUMMYFUNCTION("""COMPUTED_VALUE"""),2001.0)</f>
        <v>2001</v>
      </c>
    </row>
    <row r="738">
      <c r="A738" s="1" t="s">
        <v>380</v>
      </c>
      <c r="B738" s="4">
        <v>69.0</v>
      </c>
      <c r="C738" s="1" t="s">
        <v>34</v>
      </c>
      <c r="D738" s="4">
        <v>4.0</v>
      </c>
      <c r="E738" s="4">
        <v>10.0</v>
      </c>
      <c r="F738" s="4">
        <v>2.0</v>
      </c>
      <c r="G738" s="4">
        <v>8.0</v>
      </c>
      <c r="H738" s="4">
        <v>0.0</v>
      </c>
      <c r="I738" s="4">
        <v>17.0</v>
      </c>
      <c r="J738" s="4">
        <v>36.0</v>
      </c>
      <c r="K738" s="4">
        <v>-19.0</v>
      </c>
      <c r="L738" s="2" t="s">
        <v>349</v>
      </c>
      <c r="M738" s="5">
        <f>IFERROR(__xludf.DUMMYFUNCTION("""COMPUTED_VALUE"""),10.0)</f>
        <v>10</v>
      </c>
      <c r="N738" s="5">
        <f>IFERROR(__xludf.DUMMYFUNCTION("""COMPUTED_VALUE"""),12.0)</f>
        <v>12</v>
      </c>
      <c r="O738" s="5">
        <f>IFERROR(__xludf.DUMMYFUNCTION("""COMPUTED_VALUE"""),2000.0)</f>
        <v>2000</v>
      </c>
    </row>
    <row r="739">
      <c r="A739" s="1" t="s">
        <v>380</v>
      </c>
      <c r="B739" s="4">
        <v>70.0</v>
      </c>
      <c r="C739" s="1" t="s">
        <v>29</v>
      </c>
      <c r="D739" s="4">
        <v>4.0</v>
      </c>
      <c r="E739" s="4">
        <v>13.0</v>
      </c>
      <c r="F739" s="4">
        <v>2.0</v>
      </c>
      <c r="G739" s="4">
        <v>11.0</v>
      </c>
      <c r="H739" s="4">
        <v>0.0</v>
      </c>
      <c r="I739" s="4">
        <v>29.0</v>
      </c>
      <c r="J739" s="4">
        <v>64.0</v>
      </c>
      <c r="K739" s="4">
        <v>-35.0</v>
      </c>
      <c r="L739" s="2" t="s">
        <v>120</v>
      </c>
      <c r="M739" s="5">
        <f>IFERROR(__xludf.DUMMYFUNCTION("""COMPUTED_VALUE"""),7.0)</f>
        <v>7</v>
      </c>
      <c r="N739" s="5">
        <f>IFERROR(__xludf.DUMMYFUNCTION("""COMPUTED_VALUE"""),16.0)</f>
        <v>16</v>
      </c>
      <c r="O739" s="5">
        <f>IFERROR(__xludf.DUMMYFUNCTION("""COMPUTED_VALUE"""),2000.0)</f>
        <v>2000</v>
      </c>
    </row>
    <row r="740">
      <c r="A740" s="1" t="s">
        <v>380</v>
      </c>
      <c r="B740" s="4">
        <v>71.0</v>
      </c>
      <c r="C740" s="1" t="s">
        <v>52</v>
      </c>
      <c r="D740" s="4">
        <v>4.0</v>
      </c>
      <c r="E740" s="4">
        <v>12.0</v>
      </c>
      <c r="F740" s="4">
        <v>2.0</v>
      </c>
      <c r="G740" s="4">
        <v>10.0</v>
      </c>
      <c r="H740" s="4">
        <v>0.0</v>
      </c>
      <c r="I740" s="4">
        <v>21.0</v>
      </c>
      <c r="J740" s="4">
        <v>57.0</v>
      </c>
      <c r="K740" s="4">
        <v>-36.0</v>
      </c>
      <c r="L740" s="2" t="s">
        <v>392</v>
      </c>
      <c r="M740" s="5">
        <f>IFERROR(__xludf.DUMMYFUNCTION("""COMPUTED_VALUE"""),5.0)</f>
        <v>5</v>
      </c>
      <c r="N740" s="5">
        <f>IFERROR(__xludf.DUMMYFUNCTION("""COMPUTED_VALUE"""),15.0)</f>
        <v>15</v>
      </c>
      <c r="O740" s="5">
        <f>IFERROR(__xludf.DUMMYFUNCTION("""COMPUTED_VALUE"""),2000.0)</f>
        <v>2000</v>
      </c>
    </row>
    <row r="741">
      <c r="A741" s="1" t="s">
        <v>380</v>
      </c>
      <c r="B741" s="4">
        <v>72.0</v>
      </c>
      <c r="C741" s="1" t="s">
        <v>77</v>
      </c>
      <c r="D741" s="4">
        <v>4.0</v>
      </c>
      <c r="E741" s="4">
        <v>10.0</v>
      </c>
      <c r="F741" s="4">
        <v>2.0</v>
      </c>
      <c r="G741" s="4">
        <v>8.0</v>
      </c>
      <c r="H741" s="4">
        <v>0.0</v>
      </c>
      <c r="I741" s="4">
        <v>24.0</v>
      </c>
      <c r="J741" s="4">
        <v>72.0</v>
      </c>
      <c r="K741" s="4">
        <v>-48.0</v>
      </c>
      <c r="L741" s="2" t="s">
        <v>236</v>
      </c>
      <c r="M741" s="5">
        <f>IFERROR(__xludf.DUMMYFUNCTION("""COMPUTED_VALUE"""),4.0)</f>
        <v>4</v>
      </c>
      <c r="N741" s="5">
        <f>IFERROR(__xludf.DUMMYFUNCTION("""COMPUTED_VALUE"""),18.0)</f>
        <v>18</v>
      </c>
      <c r="O741" s="5">
        <f>IFERROR(__xludf.DUMMYFUNCTION("""COMPUTED_VALUE"""),2000.0)</f>
        <v>2000</v>
      </c>
    </row>
    <row r="742">
      <c r="A742" s="1" t="s">
        <v>380</v>
      </c>
      <c r="B742" s="4">
        <v>73.0</v>
      </c>
      <c r="C742" s="1" t="s">
        <v>39</v>
      </c>
      <c r="D742" s="4">
        <v>3.0</v>
      </c>
      <c r="E742" s="4">
        <v>10.0</v>
      </c>
      <c r="F742" s="4">
        <v>1.0</v>
      </c>
      <c r="G742" s="4">
        <v>8.0</v>
      </c>
      <c r="H742" s="4">
        <v>1.0</v>
      </c>
      <c r="I742" s="4">
        <v>16.0</v>
      </c>
      <c r="J742" s="4">
        <v>56.0</v>
      </c>
      <c r="K742" s="4">
        <v>-40.0</v>
      </c>
      <c r="L742" s="2" t="s">
        <v>336</v>
      </c>
      <c r="M742" s="5">
        <f>IFERROR(__xludf.DUMMYFUNCTION("""COMPUTED_VALUE"""),5.0)</f>
        <v>5</v>
      </c>
      <c r="N742" s="5">
        <f>IFERROR(__xludf.DUMMYFUNCTION("""COMPUTED_VALUE"""),17.0)</f>
        <v>17</v>
      </c>
      <c r="O742" s="5">
        <f>IFERROR(__xludf.DUMMYFUNCTION("""COMPUTED_VALUE"""),2001.0)</f>
        <v>2001</v>
      </c>
    </row>
    <row r="743">
      <c r="A743" s="1" t="s">
        <v>380</v>
      </c>
      <c r="B743" s="4">
        <v>74.0</v>
      </c>
      <c r="C743" s="1" t="s">
        <v>158</v>
      </c>
      <c r="D743" s="4">
        <v>3.0</v>
      </c>
      <c r="E743" s="4">
        <v>10.0</v>
      </c>
      <c r="F743" s="4">
        <v>1.0</v>
      </c>
      <c r="G743" s="4">
        <v>8.0</v>
      </c>
      <c r="H743" s="4">
        <v>1.0</v>
      </c>
      <c r="I743" s="4">
        <v>13.0</v>
      </c>
      <c r="J743" s="4">
        <v>58.0</v>
      </c>
      <c r="K743" s="4">
        <v>-45.0</v>
      </c>
      <c r="L743" s="2" t="s">
        <v>331</v>
      </c>
      <c r="M743" s="5">
        <f>IFERROR(__xludf.DUMMYFUNCTION("""COMPUTED_VALUE"""),8.0)</f>
        <v>8</v>
      </c>
      <c r="N743" s="5">
        <f>IFERROR(__xludf.DUMMYFUNCTION("""COMPUTED_VALUE"""),13.0)</f>
        <v>13</v>
      </c>
      <c r="O743" s="5">
        <f>IFERROR(__xludf.DUMMYFUNCTION("""COMPUTED_VALUE"""),2001.0)</f>
        <v>2001</v>
      </c>
    </row>
    <row r="744">
      <c r="A744" s="1" t="s">
        <v>380</v>
      </c>
      <c r="B744" s="4">
        <v>75.0</v>
      </c>
      <c r="C744" s="1" t="s">
        <v>110</v>
      </c>
      <c r="D744" s="4">
        <v>2.0</v>
      </c>
      <c r="E744" s="4">
        <v>2.0</v>
      </c>
      <c r="F744" s="4">
        <v>1.0</v>
      </c>
      <c r="G744" s="4">
        <v>1.0</v>
      </c>
      <c r="H744" s="4">
        <v>0.0</v>
      </c>
      <c r="I744" s="4">
        <v>8.0</v>
      </c>
      <c r="J744" s="4">
        <v>7.0</v>
      </c>
      <c r="K744" s="4">
        <v>1.0</v>
      </c>
      <c r="L744" s="2" t="s">
        <v>393</v>
      </c>
      <c r="M744" s="5">
        <f>IFERROR(__xludf.DUMMYFUNCTION("""COMPUTED_VALUE"""),3.0)</f>
        <v>3</v>
      </c>
      <c r="N744" s="5">
        <f>IFERROR(__xludf.DUMMYFUNCTION("""COMPUTED_VALUE"""),14.0)</f>
        <v>14</v>
      </c>
      <c r="O744" s="5">
        <f>IFERROR(__xludf.DUMMYFUNCTION("""COMPUTED_VALUE"""),2002.0)</f>
        <v>2002</v>
      </c>
    </row>
    <row r="745">
      <c r="A745" s="1" t="s">
        <v>380</v>
      </c>
      <c r="B745" s="4">
        <v>76.0</v>
      </c>
      <c r="C745" s="1" t="s">
        <v>141</v>
      </c>
      <c r="D745" s="4">
        <v>2.0</v>
      </c>
      <c r="E745" s="4">
        <v>6.0</v>
      </c>
      <c r="F745" s="4">
        <v>1.0</v>
      </c>
      <c r="G745" s="4">
        <v>5.0</v>
      </c>
      <c r="H745" s="4">
        <v>0.0</v>
      </c>
      <c r="I745" s="4">
        <v>18.0</v>
      </c>
      <c r="J745" s="4">
        <v>35.0</v>
      </c>
      <c r="K745" s="4">
        <v>-17.0</v>
      </c>
      <c r="L745" s="2" t="s">
        <v>136</v>
      </c>
      <c r="M745" s="5">
        <f>IFERROR(__xludf.DUMMYFUNCTION("""COMPUTED_VALUE"""),4.0)</f>
        <v>4</v>
      </c>
      <c r="N745" s="5">
        <f>IFERROR(__xludf.DUMMYFUNCTION("""COMPUTED_VALUE"""),20.0)</f>
        <v>20</v>
      </c>
      <c r="O745" s="5">
        <f>IFERROR(__xludf.DUMMYFUNCTION("""COMPUTED_VALUE"""),2000.0)</f>
        <v>2000</v>
      </c>
    </row>
    <row r="746">
      <c r="A746" s="1" t="s">
        <v>380</v>
      </c>
      <c r="B746" s="4">
        <v>77.0</v>
      </c>
      <c r="C746" s="1" t="s">
        <v>140</v>
      </c>
      <c r="D746" s="4">
        <v>2.0</v>
      </c>
      <c r="E746" s="4">
        <v>10.0</v>
      </c>
      <c r="F746" s="4">
        <v>1.0</v>
      </c>
      <c r="G746" s="4">
        <v>9.0</v>
      </c>
      <c r="H746" s="4">
        <v>0.0</v>
      </c>
      <c r="I746" s="4">
        <v>11.0</v>
      </c>
      <c r="J746" s="4">
        <v>60.0</v>
      </c>
      <c r="K746" s="4">
        <v>-49.0</v>
      </c>
      <c r="L746" s="2" t="s">
        <v>394</v>
      </c>
      <c r="M746" s="5">
        <f>IFERROR(__xludf.DUMMYFUNCTION("""COMPUTED_VALUE"""),7.0)</f>
        <v>7</v>
      </c>
      <c r="N746" s="5">
        <f>IFERROR(__xludf.DUMMYFUNCTION("""COMPUTED_VALUE"""),12.0)</f>
        <v>12</v>
      </c>
      <c r="O746" s="5">
        <f>IFERROR(__xludf.DUMMYFUNCTION("""COMPUTED_VALUE"""),2001.0)</f>
        <v>2001</v>
      </c>
    </row>
    <row r="747">
      <c r="A747" s="1" t="s">
        <v>380</v>
      </c>
      <c r="B747" s="4">
        <v>78.0</v>
      </c>
      <c r="C747" s="1" t="s">
        <v>142</v>
      </c>
      <c r="D747" s="4">
        <v>0.0</v>
      </c>
      <c r="E747" s="4">
        <v>0.0</v>
      </c>
      <c r="F747" s="4">
        <v>0.0</v>
      </c>
      <c r="G747" s="4">
        <v>0.0</v>
      </c>
      <c r="H747" s="4">
        <v>0.0</v>
      </c>
      <c r="I747" s="4">
        <v>0.0</v>
      </c>
      <c r="J747" s="4">
        <v>0.0</v>
      </c>
      <c r="K747" s="4">
        <v>0.0</v>
      </c>
      <c r="L747" s="2" t="s">
        <v>395</v>
      </c>
      <c r="M747" s="5">
        <f>IFERROR(__xludf.DUMMYFUNCTION("""COMPUTED_VALUE"""),7.0)</f>
        <v>7</v>
      </c>
      <c r="N747" s="5">
        <f>IFERROR(__xludf.DUMMYFUNCTION("""COMPUTED_VALUE"""),6.0)</f>
        <v>6</v>
      </c>
      <c r="O747" s="5">
        <f>IFERROR(__xludf.DUMMYFUNCTION("""COMPUTED_VALUE"""),2001.0)</f>
        <v>2001</v>
      </c>
    </row>
    <row r="748">
      <c r="A748" s="1" t="s">
        <v>380</v>
      </c>
      <c r="B748" s="4">
        <v>79.0</v>
      </c>
      <c r="C748" s="1" t="s">
        <v>112</v>
      </c>
      <c r="D748" s="4">
        <v>0.0</v>
      </c>
      <c r="E748" s="4">
        <v>0.0</v>
      </c>
      <c r="F748" s="4">
        <v>0.0</v>
      </c>
      <c r="G748" s="4">
        <v>0.0</v>
      </c>
      <c r="H748" s="4">
        <v>0.0</v>
      </c>
      <c r="I748" s="4">
        <v>0.0</v>
      </c>
      <c r="J748" s="4">
        <v>0.0</v>
      </c>
      <c r="K748" s="4">
        <v>0.0</v>
      </c>
      <c r="L748" s="2" t="s">
        <v>396</v>
      </c>
      <c r="M748" s="5">
        <f>IFERROR(__xludf.DUMMYFUNCTION("""COMPUTED_VALUE"""),1.0)</f>
        <v>1</v>
      </c>
      <c r="N748" s="5">
        <f>IFERROR(__xludf.DUMMYFUNCTION("""COMPUTED_VALUE"""),3.0)</f>
        <v>3</v>
      </c>
      <c r="O748" s="5">
        <f>IFERROR(__xludf.DUMMYFUNCTION("""COMPUTED_VALUE"""),2001.0)</f>
        <v>2001</v>
      </c>
    </row>
    <row r="749">
      <c r="A749" s="1" t="s">
        <v>380</v>
      </c>
      <c r="B749" s="4">
        <v>80.0</v>
      </c>
      <c r="C749" s="1" t="s">
        <v>126</v>
      </c>
      <c r="D749" s="4">
        <v>0.0</v>
      </c>
      <c r="E749" s="4">
        <v>4.0</v>
      </c>
      <c r="F749" s="4">
        <v>0.0</v>
      </c>
      <c r="G749" s="4">
        <v>4.0</v>
      </c>
      <c r="H749" s="4">
        <v>0.0</v>
      </c>
      <c r="I749" s="4">
        <v>2.0</v>
      </c>
      <c r="J749" s="4">
        <v>23.0</v>
      </c>
      <c r="K749" s="4">
        <v>-21.0</v>
      </c>
      <c r="L749" s="2" t="s">
        <v>397</v>
      </c>
      <c r="M749" s="5">
        <f>IFERROR(__xludf.DUMMYFUNCTION("""COMPUTED_VALUE"""),3.0)</f>
        <v>3</v>
      </c>
      <c r="N749" s="5">
        <f>IFERROR(__xludf.DUMMYFUNCTION("""COMPUTED_VALUE"""),16.0)</f>
        <v>16</v>
      </c>
      <c r="O749" s="5">
        <f>IFERROR(__xludf.DUMMYFUNCTION("""COMPUTED_VALUE"""),2000.0)</f>
        <v>2000</v>
      </c>
    </row>
    <row r="750">
      <c r="A750" s="1" t="s">
        <v>380</v>
      </c>
      <c r="B750" s="4">
        <v>81.0</v>
      </c>
      <c r="C750" s="1" t="s">
        <v>150</v>
      </c>
      <c r="D750" s="4">
        <v>0.0</v>
      </c>
      <c r="E750" s="4">
        <v>5.0</v>
      </c>
      <c r="F750" s="4">
        <v>0.0</v>
      </c>
      <c r="G750" s="4">
        <v>5.0</v>
      </c>
      <c r="H750" s="4">
        <v>0.0</v>
      </c>
      <c r="I750" s="4">
        <v>8.0</v>
      </c>
      <c r="J750" s="4">
        <v>40.0</v>
      </c>
      <c r="K750" s="4">
        <v>-32.0</v>
      </c>
      <c r="L750" s="2" t="s">
        <v>162</v>
      </c>
      <c r="M750" s="5">
        <f>IFERROR(__xludf.DUMMYFUNCTION("""COMPUTED_VALUE"""),0.0)</f>
        <v>0</v>
      </c>
      <c r="N750" s="5">
        <f>IFERROR(__xludf.DUMMYFUNCTION("""COMPUTED_VALUE"""),18.0)</f>
        <v>18</v>
      </c>
      <c r="O750" s="5">
        <f>IFERROR(__xludf.DUMMYFUNCTION("""COMPUTED_VALUE"""),0.0)</f>
        <v>0</v>
      </c>
    </row>
    <row r="751">
      <c r="A751" s="1" t="s">
        <v>380</v>
      </c>
      <c r="B751" s="4">
        <v>82.0</v>
      </c>
      <c r="C751" s="1" t="s">
        <v>159</v>
      </c>
      <c r="D751" s="4">
        <v>0.0</v>
      </c>
      <c r="E751" s="4">
        <v>10.0</v>
      </c>
      <c r="F751" s="4">
        <v>0.0</v>
      </c>
      <c r="G751" s="4">
        <v>10.0</v>
      </c>
      <c r="H751" s="4">
        <v>0.0</v>
      </c>
      <c r="I751" s="4">
        <v>18.0</v>
      </c>
      <c r="J751" s="4">
        <v>54.0</v>
      </c>
      <c r="K751" s="4">
        <v>-36.0</v>
      </c>
      <c r="L751" s="2" t="s">
        <v>143</v>
      </c>
      <c r="M751" s="5">
        <f>IFERROR(__xludf.DUMMYFUNCTION("""COMPUTED_VALUE"""),7.0)</f>
        <v>7</v>
      </c>
      <c r="N751" s="5">
        <f>IFERROR(__xludf.DUMMYFUNCTION("""COMPUTED_VALUE"""),16.0)</f>
        <v>16</v>
      </c>
      <c r="O751" s="5">
        <f>IFERROR(__xludf.DUMMYFUNCTION("""COMPUTED_VALUE"""),2001.0)</f>
        <v>2001</v>
      </c>
    </row>
    <row r="752">
      <c r="A752" s="1" t="s">
        <v>380</v>
      </c>
      <c r="B752" s="4">
        <v>83.0</v>
      </c>
      <c r="C752" s="1" t="s">
        <v>398</v>
      </c>
      <c r="D752" s="4">
        <v>0.0</v>
      </c>
      <c r="E752" s="4">
        <v>9.0</v>
      </c>
      <c r="F752" s="4">
        <v>0.0</v>
      </c>
      <c r="G752" s="4">
        <v>9.0</v>
      </c>
      <c r="H752" s="4">
        <v>0.0</v>
      </c>
      <c r="I752" s="4">
        <v>6.0</v>
      </c>
      <c r="J752" s="4">
        <v>46.0</v>
      </c>
      <c r="K752" s="4">
        <v>-40.0</v>
      </c>
      <c r="L752" s="2" t="s">
        <v>399</v>
      </c>
      <c r="M752" s="5">
        <f>IFERROR(__xludf.DUMMYFUNCTION("""COMPUTED_VALUE"""),3.0)</f>
        <v>3</v>
      </c>
      <c r="N752" s="5">
        <f>IFERROR(__xludf.DUMMYFUNCTION("""COMPUTED_VALUE"""),18.0)</f>
        <v>18</v>
      </c>
      <c r="O752" s="5">
        <f>IFERROR(__xludf.DUMMYFUNCTION("""COMPUTED_VALUE"""),2001.0)</f>
        <v>2001</v>
      </c>
    </row>
    <row r="753">
      <c r="A753" s="1" t="s">
        <v>380</v>
      </c>
      <c r="B753" s="4">
        <v>84.0</v>
      </c>
      <c r="C753" s="1" t="s">
        <v>69</v>
      </c>
      <c r="D753" s="4">
        <v>0.0</v>
      </c>
      <c r="E753" s="4">
        <v>7.0</v>
      </c>
      <c r="F753" s="4">
        <v>0.0</v>
      </c>
      <c r="G753" s="4">
        <v>7.0</v>
      </c>
      <c r="H753" s="4">
        <v>0.0</v>
      </c>
      <c r="I753" s="4">
        <v>13.0</v>
      </c>
      <c r="J753" s="4">
        <v>60.0</v>
      </c>
      <c r="K753" s="4">
        <v>-47.0</v>
      </c>
      <c r="L753" s="2" t="s">
        <v>153</v>
      </c>
      <c r="M753" s="5">
        <f>IFERROR(__xludf.DUMMYFUNCTION("""COMPUTED_VALUE"""),5.0)</f>
        <v>5</v>
      </c>
      <c r="N753" s="5">
        <f>IFERROR(__xludf.DUMMYFUNCTION("""COMPUTED_VALUE"""),18.0)</f>
        <v>18</v>
      </c>
      <c r="O753" s="5">
        <f>IFERROR(__xludf.DUMMYFUNCTION("""COMPUTED_VALUE"""),2000.0)</f>
        <v>2000</v>
      </c>
    </row>
    <row r="754">
      <c r="A754" s="1" t="s">
        <v>380</v>
      </c>
      <c r="B754" s="4">
        <v>85.0</v>
      </c>
      <c r="C754" s="1" t="s">
        <v>371</v>
      </c>
      <c r="D754" s="4">
        <v>0.0</v>
      </c>
      <c r="E754" s="4">
        <v>8.0</v>
      </c>
      <c r="F754" s="4">
        <v>0.0</v>
      </c>
      <c r="G754" s="4">
        <v>8.0</v>
      </c>
      <c r="H754" s="4">
        <v>0.0</v>
      </c>
      <c r="I754" s="4">
        <v>13.0</v>
      </c>
      <c r="J754" s="4">
        <v>70.0</v>
      </c>
      <c r="K754" s="4">
        <v>-57.0</v>
      </c>
      <c r="L754" s="2" t="s">
        <v>397</v>
      </c>
      <c r="M754" s="5">
        <f>IFERROR(__xludf.DUMMYFUNCTION("""COMPUTED_VALUE"""),3.0)</f>
        <v>3</v>
      </c>
      <c r="N754" s="5">
        <f>IFERROR(__xludf.DUMMYFUNCTION("""COMPUTED_VALUE"""),16.0)</f>
        <v>16</v>
      </c>
      <c r="O754" s="5">
        <f>IFERROR(__xludf.DUMMYFUNCTION("""COMPUTED_VALUE"""),2000.0)</f>
        <v>2000</v>
      </c>
    </row>
    <row r="755">
      <c r="A755" s="1" t="s">
        <v>380</v>
      </c>
      <c r="B755" s="4">
        <v>86.0</v>
      </c>
      <c r="C755" s="1" t="s">
        <v>48</v>
      </c>
      <c r="D755" s="4">
        <v>0.0</v>
      </c>
      <c r="E755" s="4">
        <v>10.0</v>
      </c>
      <c r="F755" s="4">
        <v>0.0</v>
      </c>
      <c r="G755" s="4">
        <v>10.0</v>
      </c>
      <c r="H755" s="4">
        <v>0.0</v>
      </c>
      <c r="I755" s="4">
        <v>17.0</v>
      </c>
      <c r="J755" s="4">
        <v>77.0</v>
      </c>
      <c r="K755" s="4">
        <v>-60.0</v>
      </c>
      <c r="L755" s="2" t="s">
        <v>399</v>
      </c>
      <c r="M755" s="5">
        <f>IFERROR(__xludf.DUMMYFUNCTION("""COMPUTED_VALUE"""),3.0)</f>
        <v>3</v>
      </c>
      <c r="N755" s="5">
        <f>IFERROR(__xludf.DUMMYFUNCTION("""COMPUTED_VALUE"""),18.0)</f>
        <v>18</v>
      </c>
      <c r="O755" s="5">
        <f>IFERROR(__xludf.DUMMYFUNCTION("""COMPUTED_VALUE"""),2001.0)</f>
        <v>2001</v>
      </c>
    </row>
    <row r="756">
      <c r="A756" s="1" t="s">
        <v>380</v>
      </c>
      <c r="B756" s="4">
        <v>87.0</v>
      </c>
      <c r="C756" s="1" t="s">
        <v>138</v>
      </c>
      <c r="D756" s="4">
        <v>0.0</v>
      </c>
      <c r="E756" s="4">
        <v>12.0</v>
      </c>
      <c r="F756" s="4">
        <v>0.0</v>
      </c>
      <c r="G756" s="4">
        <v>12.0</v>
      </c>
      <c r="H756" s="4">
        <v>0.0</v>
      </c>
      <c r="I756" s="4">
        <v>7.0</v>
      </c>
      <c r="J756" s="4">
        <v>91.0</v>
      </c>
      <c r="K756" s="4">
        <v>-84.0</v>
      </c>
      <c r="L756" s="2" t="s">
        <v>230</v>
      </c>
      <c r="M756" s="5">
        <f>IFERROR(__xludf.DUMMYFUNCTION("""COMPUTED_VALUE"""),2.0)</f>
        <v>2</v>
      </c>
      <c r="N756" s="5">
        <f>IFERROR(__xludf.DUMMYFUNCTION("""COMPUTED_VALUE"""),22.0)</f>
        <v>22</v>
      </c>
      <c r="O756" s="5">
        <f>IFERROR(__xludf.DUMMYFUNCTION("""COMPUTED_VALUE"""),2000.0)</f>
        <v>2000</v>
      </c>
    </row>
    <row r="757">
      <c r="A757" s="1" t="s">
        <v>380</v>
      </c>
      <c r="B757" s="4">
        <v>88.0</v>
      </c>
      <c r="C757" s="1" t="s">
        <v>233</v>
      </c>
      <c r="D757" s="4">
        <v>0.0</v>
      </c>
      <c r="E757" s="4">
        <v>14.0</v>
      </c>
      <c r="F757" s="4">
        <v>0.0</v>
      </c>
      <c r="G757" s="4">
        <v>14.0</v>
      </c>
      <c r="H757" s="4">
        <v>0.0</v>
      </c>
      <c r="I757" s="4">
        <v>2.0</v>
      </c>
      <c r="J757" s="4">
        <v>119.0</v>
      </c>
      <c r="K757" s="4">
        <v>-117.0</v>
      </c>
      <c r="L757" s="2" t="s">
        <v>400</v>
      </c>
      <c r="M757" s="5">
        <f>IFERROR(__xludf.DUMMYFUNCTION("""COMPUTED_VALUE"""),2.0)</f>
        <v>2</v>
      </c>
      <c r="N757" s="5">
        <f>IFERROR(__xludf.DUMMYFUNCTION("""COMPUTED_VALUE"""),21.0)</f>
        <v>21</v>
      </c>
      <c r="O757" s="5">
        <f>IFERROR(__xludf.DUMMYFUNCTION("""COMPUTED_VALUE"""),2001.0)</f>
        <v>2001</v>
      </c>
    </row>
    <row r="758">
      <c r="A758" s="1" t="s">
        <v>401</v>
      </c>
      <c r="B758" s="4">
        <v>1.0</v>
      </c>
      <c r="C758" s="1" t="s">
        <v>64</v>
      </c>
      <c r="D758" s="4">
        <v>28.0</v>
      </c>
      <c r="E758" s="4">
        <v>14.0</v>
      </c>
      <c r="F758" s="4">
        <v>14.0</v>
      </c>
      <c r="G758" s="4">
        <v>0.0</v>
      </c>
      <c r="H758" s="4">
        <v>0.0</v>
      </c>
      <c r="I758" s="4">
        <v>104.0</v>
      </c>
      <c r="J758" s="4">
        <v>9.0</v>
      </c>
      <c r="K758" s="4">
        <v>95.0</v>
      </c>
      <c r="L758" s="2" t="s">
        <v>35</v>
      </c>
      <c r="M758" s="5">
        <f>IFERROR(__xludf.DUMMYFUNCTION("""COMPUTED_VALUE"""),20.0)</f>
        <v>20</v>
      </c>
      <c r="N758" s="5">
        <f>IFERROR(__xludf.DUMMYFUNCTION("""COMPUTED_VALUE"""),3.0)</f>
        <v>3</v>
      </c>
      <c r="O758" s="5">
        <f>IFERROR(__xludf.DUMMYFUNCTION("""COMPUTED_VALUE"""),1.0)</f>
        <v>1</v>
      </c>
    </row>
    <row r="759">
      <c r="A759" s="1" t="s">
        <v>401</v>
      </c>
      <c r="B759" s="4">
        <v>2.0</v>
      </c>
      <c r="C759" s="1" t="s">
        <v>22</v>
      </c>
      <c r="D759" s="4">
        <v>24.0</v>
      </c>
      <c r="E759" s="4">
        <v>14.0</v>
      </c>
      <c r="F759" s="4">
        <v>12.0</v>
      </c>
      <c r="G759" s="4">
        <v>2.0</v>
      </c>
      <c r="H759" s="4">
        <v>0.0</v>
      </c>
      <c r="I759" s="4">
        <v>82.0</v>
      </c>
      <c r="J759" s="4">
        <v>16.0</v>
      </c>
      <c r="K759" s="4">
        <v>66.0</v>
      </c>
      <c r="L759" s="2" t="s">
        <v>32</v>
      </c>
      <c r="M759" s="5">
        <f>IFERROR(__xludf.DUMMYFUNCTION("""COMPUTED_VALUE"""),21.0)</f>
        <v>21</v>
      </c>
      <c r="N759" s="5">
        <f>IFERROR(__xludf.DUMMYFUNCTION("""COMPUTED_VALUE"""),3.0)</f>
        <v>3</v>
      </c>
      <c r="O759" s="5">
        <f>IFERROR(__xludf.DUMMYFUNCTION("""COMPUTED_VALUE"""),0.0)</f>
        <v>0</v>
      </c>
    </row>
    <row r="760">
      <c r="A760" s="1" t="s">
        <v>401</v>
      </c>
      <c r="B760" s="4">
        <v>3.0</v>
      </c>
      <c r="C760" s="1" t="s">
        <v>20</v>
      </c>
      <c r="D760" s="4">
        <v>22.0</v>
      </c>
      <c r="E760" s="4">
        <v>12.0</v>
      </c>
      <c r="F760" s="4">
        <v>11.0</v>
      </c>
      <c r="G760" s="4">
        <v>1.0</v>
      </c>
      <c r="H760" s="4">
        <v>0.0</v>
      </c>
      <c r="I760" s="4">
        <v>65.0</v>
      </c>
      <c r="J760" s="4">
        <v>13.0</v>
      </c>
      <c r="K760" s="4">
        <v>52.0</v>
      </c>
      <c r="L760" s="2" t="s">
        <v>217</v>
      </c>
      <c r="M760" s="5">
        <f>IFERROR(__xludf.DUMMYFUNCTION("""COMPUTED_VALUE"""),18.0)</f>
        <v>18</v>
      </c>
      <c r="N760" s="5">
        <f>IFERROR(__xludf.DUMMYFUNCTION("""COMPUTED_VALUE"""),4.0)</f>
        <v>4</v>
      </c>
      <c r="O760" s="5">
        <f>IFERROR(__xludf.DUMMYFUNCTION("""COMPUTED_VALUE"""),0.0)</f>
        <v>0</v>
      </c>
    </row>
    <row r="761">
      <c r="A761" s="1" t="s">
        <v>401</v>
      </c>
      <c r="B761" s="4">
        <v>4.0</v>
      </c>
      <c r="C761" s="1" t="s">
        <v>46</v>
      </c>
      <c r="D761" s="4">
        <v>22.0</v>
      </c>
      <c r="E761" s="4">
        <v>14.0</v>
      </c>
      <c r="F761" s="4">
        <v>11.0</v>
      </c>
      <c r="G761" s="4">
        <v>3.0</v>
      </c>
      <c r="H761" s="4">
        <v>0.0</v>
      </c>
      <c r="I761" s="4">
        <v>65.0</v>
      </c>
      <c r="J761" s="4">
        <v>28.0</v>
      </c>
      <c r="K761" s="4">
        <v>37.0</v>
      </c>
      <c r="L761" s="2" t="s">
        <v>51</v>
      </c>
      <c r="M761" s="5">
        <f>IFERROR(__xludf.DUMMYFUNCTION("""COMPUTED_VALUE"""),15.0)</f>
        <v>15</v>
      </c>
      <c r="N761" s="5">
        <f>IFERROR(__xludf.DUMMYFUNCTION("""COMPUTED_VALUE"""),9.0)</f>
        <v>9</v>
      </c>
      <c r="O761" s="5">
        <f>IFERROR(__xludf.DUMMYFUNCTION("""COMPUTED_VALUE"""),0.0)</f>
        <v>0</v>
      </c>
    </row>
    <row r="762">
      <c r="A762" s="1" t="s">
        <v>401</v>
      </c>
      <c r="B762" s="4">
        <v>5.0</v>
      </c>
      <c r="C762" s="1" t="s">
        <v>79</v>
      </c>
      <c r="D762" s="4">
        <v>22.0</v>
      </c>
      <c r="E762" s="4">
        <v>14.0</v>
      </c>
      <c r="F762" s="4">
        <v>11.0</v>
      </c>
      <c r="G762" s="4">
        <v>3.0</v>
      </c>
      <c r="H762" s="4">
        <v>0.0</v>
      </c>
      <c r="I762" s="4">
        <v>66.0</v>
      </c>
      <c r="J762" s="4">
        <v>35.0</v>
      </c>
      <c r="K762" s="4">
        <v>31.0</v>
      </c>
      <c r="L762" s="2" t="s">
        <v>242</v>
      </c>
      <c r="M762" s="5">
        <f>IFERROR(__xludf.DUMMYFUNCTION("""COMPUTED_VALUE"""),13.0)</f>
        <v>13</v>
      </c>
      <c r="N762" s="5">
        <f>IFERROR(__xludf.DUMMYFUNCTION("""COMPUTED_VALUE"""),7.0)</f>
        <v>7</v>
      </c>
      <c r="O762" s="5">
        <f>IFERROR(__xludf.DUMMYFUNCTION("""COMPUTED_VALUE"""),0.0)</f>
        <v>0</v>
      </c>
    </row>
    <row r="763">
      <c r="A763" s="1" t="s">
        <v>401</v>
      </c>
      <c r="B763" s="4">
        <v>6.0</v>
      </c>
      <c r="C763" s="1" t="s">
        <v>33</v>
      </c>
      <c r="D763" s="4">
        <v>21.0</v>
      </c>
      <c r="E763" s="4">
        <v>11.0</v>
      </c>
      <c r="F763" s="4">
        <v>10.0</v>
      </c>
      <c r="G763" s="4">
        <v>0.0</v>
      </c>
      <c r="H763" s="4">
        <v>1.0</v>
      </c>
      <c r="I763" s="4">
        <v>91.0</v>
      </c>
      <c r="J763" s="4">
        <v>24.0</v>
      </c>
      <c r="K763" s="4">
        <v>67.0</v>
      </c>
      <c r="L763" s="2" t="s">
        <v>402</v>
      </c>
      <c r="M763" s="5">
        <f>IFERROR(__xludf.DUMMYFUNCTION("""COMPUTED_VALUE"""),20.0)</f>
        <v>20</v>
      </c>
      <c r="N763" s="5">
        <f>IFERROR(__xludf.DUMMYFUNCTION("""COMPUTED_VALUE"""),4.0)</f>
        <v>4</v>
      </c>
      <c r="O763" s="5">
        <f>IFERROR(__xludf.DUMMYFUNCTION("""COMPUTED_VALUE"""),1.0)</f>
        <v>1</v>
      </c>
    </row>
    <row r="764">
      <c r="A764" s="1" t="s">
        <v>401</v>
      </c>
      <c r="B764" s="4">
        <v>7.0</v>
      </c>
      <c r="C764" s="1" t="s">
        <v>25</v>
      </c>
      <c r="D764" s="4">
        <v>21.0</v>
      </c>
      <c r="E764" s="4">
        <v>12.0</v>
      </c>
      <c r="F764" s="4">
        <v>10.0</v>
      </c>
      <c r="G764" s="4">
        <v>1.0</v>
      </c>
      <c r="H764" s="4">
        <v>1.0</v>
      </c>
      <c r="I764" s="4">
        <v>53.0</v>
      </c>
      <c r="J764" s="4">
        <v>20.0</v>
      </c>
      <c r="K764" s="4">
        <v>33.0</v>
      </c>
      <c r="L764" s="2" t="s">
        <v>403</v>
      </c>
      <c r="M764" s="5">
        <f>IFERROR(__xludf.DUMMYFUNCTION("""COMPUTED_VALUE"""),19.0)</f>
        <v>19</v>
      </c>
      <c r="N764" s="5">
        <f>IFERROR(__xludf.DUMMYFUNCTION("""COMPUTED_VALUE"""),3.0)</f>
        <v>3</v>
      </c>
      <c r="O764" s="5">
        <f>IFERROR(__xludf.DUMMYFUNCTION("""COMPUTED_VALUE"""),2.0)</f>
        <v>2</v>
      </c>
    </row>
    <row r="765">
      <c r="A765" s="1" t="s">
        <v>401</v>
      </c>
      <c r="B765" s="4">
        <v>8.0</v>
      </c>
      <c r="C765" s="1" t="s">
        <v>18</v>
      </c>
      <c r="D765" s="4">
        <v>20.0</v>
      </c>
      <c r="E765" s="4">
        <v>10.0</v>
      </c>
      <c r="F765" s="4">
        <v>10.0</v>
      </c>
      <c r="G765" s="4">
        <v>0.0</v>
      </c>
      <c r="H765" s="4">
        <v>0.0</v>
      </c>
      <c r="I765" s="4">
        <v>84.0</v>
      </c>
      <c r="J765" s="4">
        <v>4.0</v>
      </c>
      <c r="K765" s="4">
        <v>80.0</v>
      </c>
      <c r="L765" s="2" t="s">
        <v>404</v>
      </c>
      <c r="M765" s="5">
        <f>IFERROR(__xludf.DUMMYFUNCTION("""COMPUTED_VALUE"""),16.0)</f>
        <v>16</v>
      </c>
      <c r="N765" s="5">
        <f>IFERROR(__xludf.DUMMYFUNCTION("""COMPUTED_VALUE"""),5.0)</f>
        <v>5</v>
      </c>
      <c r="O765" s="5">
        <f>IFERROR(__xludf.DUMMYFUNCTION("""COMPUTED_VALUE"""),3.0)</f>
        <v>3</v>
      </c>
    </row>
    <row r="766">
      <c r="A766" s="1" t="s">
        <v>401</v>
      </c>
      <c r="B766" s="4">
        <v>9.0</v>
      </c>
      <c r="C766" s="1" t="s">
        <v>45</v>
      </c>
      <c r="D766" s="4">
        <v>20.0</v>
      </c>
      <c r="E766" s="4">
        <v>11.0</v>
      </c>
      <c r="F766" s="4">
        <v>10.0</v>
      </c>
      <c r="G766" s="4">
        <v>1.0</v>
      </c>
      <c r="H766" s="4">
        <v>0.0</v>
      </c>
      <c r="I766" s="4">
        <v>66.0</v>
      </c>
      <c r="J766" s="4">
        <v>16.0</v>
      </c>
      <c r="K766" s="4">
        <v>50.0</v>
      </c>
      <c r="L766" s="2" t="s">
        <v>35</v>
      </c>
      <c r="M766" s="5">
        <f>IFERROR(__xludf.DUMMYFUNCTION("""COMPUTED_VALUE"""),20.0)</f>
        <v>20</v>
      </c>
      <c r="N766" s="5">
        <f>IFERROR(__xludf.DUMMYFUNCTION("""COMPUTED_VALUE"""),3.0)</f>
        <v>3</v>
      </c>
      <c r="O766" s="5">
        <f>IFERROR(__xludf.DUMMYFUNCTION("""COMPUTED_VALUE"""),1.0)</f>
        <v>1</v>
      </c>
    </row>
    <row r="767">
      <c r="A767" s="1" t="s">
        <v>401</v>
      </c>
      <c r="B767" s="4">
        <v>10.0</v>
      </c>
      <c r="C767" s="1" t="s">
        <v>24</v>
      </c>
      <c r="D767" s="4">
        <v>20.0</v>
      </c>
      <c r="E767" s="4">
        <v>14.0</v>
      </c>
      <c r="F767" s="4">
        <v>10.0</v>
      </c>
      <c r="G767" s="4">
        <v>4.0</v>
      </c>
      <c r="H767" s="4">
        <v>0.0</v>
      </c>
      <c r="I767" s="4">
        <v>66.0</v>
      </c>
      <c r="J767" s="4">
        <v>23.0</v>
      </c>
      <c r="K767" s="4">
        <v>43.0</v>
      </c>
      <c r="L767" s="2" t="s">
        <v>47</v>
      </c>
      <c r="M767" s="5">
        <f>IFERROR(__xludf.DUMMYFUNCTION("""COMPUTED_VALUE"""),14.0)</f>
        <v>14</v>
      </c>
      <c r="N767" s="5">
        <f>IFERROR(__xludf.DUMMYFUNCTION("""COMPUTED_VALUE"""),9.0)</f>
        <v>9</v>
      </c>
      <c r="O767" s="5">
        <f>IFERROR(__xludf.DUMMYFUNCTION("""COMPUTED_VALUE"""),1.0)</f>
        <v>1</v>
      </c>
    </row>
    <row r="768">
      <c r="A768" s="1" t="s">
        <v>401</v>
      </c>
      <c r="B768" s="4">
        <v>11.0</v>
      </c>
      <c r="C768" s="1" t="s">
        <v>27</v>
      </c>
      <c r="D768" s="4">
        <v>18.0</v>
      </c>
      <c r="E768" s="4">
        <v>11.0</v>
      </c>
      <c r="F768" s="4">
        <v>9.0</v>
      </c>
      <c r="G768" s="4">
        <v>2.0</v>
      </c>
      <c r="H768" s="4">
        <v>0.0</v>
      </c>
      <c r="I768" s="4">
        <v>90.0</v>
      </c>
      <c r="J768" s="4">
        <v>19.0</v>
      </c>
      <c r="K768" s="4">
        <v>71.0</v>
      </c>
      <c r="L768" s="2" t="s">
        <v>17</v>
      </c>
      <c r="M768" s="5">
        <f>IFERROR(__xludf.DUMMYFUNCTION("""COMPUTED_VALUE"""),18.0)</f>
        <v>18</v>
      </c>
      <c r="N768" s="5">
        <f>IFERROR(__xludf.DUMMYFUNCTION("""COMPUTED_VALUE"""),5.0)</f>
        <v>5</v>
      </c>
      <c r="O768" s="5">
        <f>IFERROR(__xludf.DUMMYFUNCTION("""COMPUTED_VALUE"""),0.0)</f>
        <v>0</v>
      </c>
    </row>
    <row r="769">
      <c r="A769" s="1" t="s">
        <v>401</v>
      </c>
      <c r="B769" s="4">
        <v>12.0</v>
      </c>
      <c r="C769" s="1" t="s">
        <v>90</v>
      </c>
      <c r="D769" s="4">
        <v>18.0</v>
      </c>
      <c r="E769" s="4">
        <v>10.0</v>
      </c>
      <c r="F769" s="4">
        <v>9.0</v>
      </c>
      <c r="G769" s="4">
        <v>1.0</v>
      </c>
      <c r="H769" s="4">
        <v>0.0</v>
      </c>
      <c r="I769" s="4">
        <v>55.0</v>
      </c>
      <c r="J769" s="4">
        <v>7.0</v>
      </c>
      <c r="K769" s="4">
        <v>48.0</v>
      </c>
      <c r="L769" s="2" t="s">
        <v>57</v>
      </c>
      <c r="M769" s="5">
        <f>IFERROR(__xludf.DUMMYFUNCTION("""COMPUTED_VALUE"""),17.0)</f>
        <v>17</v>
      </c>
      <c r="N769" s="5">
        <f>IFERROR(__xludf.DUMMYFUNCTION("""COMPUTED_VALUE"""),7.0)</f>
        <v>7</v>
      </c>
      <c r="O769" s="5">
        <f>IFERROR(__xludf.DUMMYFUNCTION("""COMPUTED_VALUE"""),0.0)</f>
        <v>0</v>
      </c>
    </row>
    <row r="770">
      <c r="A770" s="1" t="s">
        <v>401</v>
      </c>
      <c r="B770" s="4">
        <v>13.0</v>
      </c>
      <c r="C770" s="1" t="s">
        <v>58</v>
      </c>
      <c r="D770" s="4">
        <v>18.0</v>
      </c>
      <c r="E770" s="4">
        <v>14.0</v>
      </c>
      <c r="F770" s="4">
        <v>9.0</v>
      </c>
      <c r="G770" s="4">
        <v>5.0</v>
      </c>
      <c r="H770" s="4">
        <v>0.0</v>
      </c>
      <c r="I770" s="4">
        <v>66.0</v>
      </c>
      <c r="J770" s="4">
        <v>36.0</v>
      </c>
      <c r="K770" s="4">
        <v>30.0</v>
      </c>
      <c r="L770" s="2" t="s">
        <v>109</v>
      </c>
      <c r="M770" s="5">
        <f>IFERROR(__xludf.DUMMYFUNCTION("""COMPUTED_VALUE"""),14.0)</f>
        <v>14</v>
      </c>
      <c r="N770" s="5">
        <f>IFERROR(__xludf.DUMMYFUNCTION("""COMPUTED_VALUE"""),9.0)</f>
        <v>9</v>
      </c>
      <c r="O770" s="5">
        <f>IFERROR(__xludf.DUMMYFUNCTION("""COMPUTED_VALUE"""),0.0)</f>
        <v>0</v>
      </c>
    </row>
    <row r="771">
      <c r="A771" s="1" t="s">
        <v>401</v>
      </c>
      <c r="B771" s="4">
        <v>14.0</v>
      </c>
      <c r="C771" s="1" t="s">
        <v>41</v>
      </c>
      <c r="D771" s="4">
        <v>18.0</v>
      </c>
      <c r="E771" s="4">
        <v>10.0</v>
      </c>
      <c r="F771" s="4">
        <v>9.0</v>
      </c>
      <c r="G771" s="4">
        <v>1.0</v>
      </c>
      <c r="H771" s="4">
        <v>0.0</v>
      </c>
      <c r="I771" s="4">
        <v>48.0</v>
      </c>
      <c r="J771" s="4">
        <v>20.0</v>
      </c>
      <c r="K771" s="4">
        <v>28.0</v>
      </c>
      <c r="L771" s="2" t="s">
        <v>364</v>
      </c>
      <c r="M771" s="5">
        <f>IFERROR(__xludf.DUMMYFUNCTION("""COMPUTED_VALUE"""),22.0)</f>
        <v>22</v>
      </c>
      <c r="N771" s="5">
        <f>IFERROR(__xludf.DUMMYFUNCTION("""COMPUTED_VALUE"""),1.0)</f>
        <v>1</v>
      </c>
      <c r="O771" s="5">
        <f>IFERROR(__xludf.DUMMYFUNCTION("""COMPUTED_VALUE"""),1.0)</f>
        <v>1</v>
      </c>
    </row>
    <row r="772">
      <c r="A772" s="1" t="s">
        <v>401</v>
      </c>
      <c r="B772" s="4">
        <v>15.0</v>
      </c>
      <c r="C772" s="1" t="s">
        <v>106</v>
      </c>
      <c r="D772" s="4">
        <v>18.0</v>
      </c>
      <c r="E772" s="4">
        <v>14.0</v>
      </c>
      <c r="F772" s="4">
        <v>9.0</v>
      </c>
      <c r="G772" s="4">
        <v>5.0</v>
      </c>
      <c r="H772" s="4">
        <v>0.0</v>
      </c>
      <c r="I772" s="4">
        <v>56.0</v>
      </c>
      <c r="J772" s="4">
        <v>40.0</v>
      </c>
      <c r="K772" s="4">
        <v>16.0</v>
      </c>
      <c r="L772" s="2" t="s">
        <v>51</v>
      </c>
      <c r="M772" s="5">
        <f>IFERROR(__xludf.DUMMYFUNCTION("""COMPUTED_VALUE"""),15.0)</f>
        <v>15</v>
      </c>
      <c r="N772" s="5">
        <f>IFERROR(__xludf.DUMMYFUNCTION("""COMPUTED_VALUE"""),9.0)</f>
        <v>9</v>
      </c>
      <c r="O772" s="5">
        <f>IFERROR(__xludf.DUMMYFUNCTION("""COMPUTED_VALUE"""),0.0)</f>
        <v>0</v>
      </c>
    </row>
    <row r="773">
      <c r="A773" s="1" t="s">
        <v>401</v>
      </c>
      <c r="B773" s="4">
        <v>16.0</v>
      </c>
      <c r="C773" s="1" t="s">
        <v>16</v>
      </c>
      <c r="D773" s="4">
        <v>17.0</v>
      </c>
      <c r="E773" s="4">
        <v>10.0</v>
      </c>
      <c r="F773" s="4">
        <v>8.0</v>
      </c>
      <c r="G773" s="4">
        <v>1.0</v>
      </c>
      <c r="H773" s="4">
        <v>1.0</v>
      </c>
      <c r="I773" s="4">
        <v>75.0</v>
      </c>
      <c r="J773" s="4">
        <v>17.0</v>
      </c>
      <c r="K773" s="4">
        <v>58.0</v>
      </c>
      <c r="L773" s="2" t="s">
        <v>405</v>
      </c>
      <c r="M773" s="5">
        <f>IFERROR(__xludf.DUMMYFUNCTION("""COMPUTED_VALUE"""),14.0)</f>
        <v>14</v>
      </c>
      <c r="N773" s="5">
        <f>IFERROR(__xludf.DUMMYFUNCTION("""COMPUTED_VALUE"""),5.0)</f>
        <v>5</v>
      </c>
      <c r="O773" s="5">
        <f>IFERROR(__xludf.DUMMYFUNCTION("""COMPUTED_VALUE"""),1.0)</f>
        <v>1</v>
      </c>
    </row>
    <row r="774">
      <c r="A774" s="1" t="s">
        <v>401</v>
      </c>
      <c r="B774" s="4">
        <v>17.0</v>
      </c>
      <c r="C774" s="1" t="s">
        <v>62</v>
      </c>
      <c r="D774" s="4">
        <v>17.0</v>
      </c>
      <c r="E774" s="4">
        <v>10.0</v>
      </c>
      <c r="F774" s="4">
        <v>8.0</v>
      </c>
      <c r="G774" s="4">
        <v>1.0</v>
      </c>
      <c r="H774" s="4">
        <v>1.0</v>
      </c>
      <c r="I774" s="4">
        <v>63.0</v>
      </c>
      <c r="J774" s="4">
        <v>25.0</v>
      </c>
      <c r="K774" s="4">
        <v>38.0</v>
      </c>
      <c r="L774" s="2" t="s">
        <v>72</v>
      </c>
      <c r="M774" s="5">
        <f>IFERROR(__xludf.DUMMYFUNCTION("""COMPUTED_VALUE"""),15.0)</f>
        <v>15</v>
      </c>
      <c r="N774" s="5">
        <f>IFERROR(__xludf.DUMMYFUNCTION("""COMPUTED_VALUE"""),8.0)</f>
        <v>8</v>
      </c>
      <c r="O774" s="5">
        <f>IFERROR(__xludf.DUMMYFUNCTION("""COMPUTED_VALUE"""),1.0)</f>
        <v>1</v>
      </c>
    </row>
    <row r="775">
      <c r="A775" s="1" t="s">
        <v>401</v>
      </c>
      <c r="B775" s="4">
        <v>18.0</v>
      </c>
      <c r="C775" s="1" t="s">
        <v>131</v>
      </c>
      <c r="D775" s="4">
        <v>16.0</v>
      </c>
      <c r="E775" s="4">
        <v>8.0</v>
      </c>
      <c r="F775" s="4">
        <v>8.0</v>
      </c>
      <c r="G775" s="4">
        <v>0.0</v>
      </c>
      <c r="H775" s="4">
        <v>0.0</v>
      </c>
      <c r="I775" s="4">
        <v>77.0</v>
      </c>
      <c r="J775" s="4">
        <v>8.0</v>
      </c>
      <c r="K775" s="4">
        <v>69.0</v>
      </c>
      <c r="L775" s="2" t="s">
        <v>32</v>
      </c>
      <c r="M775" s="5">
        <f>IFERROR(__xludf.DUMMYFUNCTION("""COMPUTED_VALUE"""),21.0)</f>
        <v>21</v>
      </c>
      <c r="N775" s="5">
        <f>IFERROR(__xludf.DUMMYFUNCTION("""COMPUTED_VALUE"""),3.0)</f>
        <v>3</v>
      </c>
      <c r="O775" s="5">
        <f>IFERROR(__xludf.DUMMYFUNCTION("""COMPUTED_VALUE"""),0.0)</f>
        <v>0</v>
      </c>
    </row>
    <row r="776">
      <c r="A776" s="1" t="s">
        <v>401</v>
      </c>
      <c r="B776" s="4">
        <v>19.0</v>
      </c>
      <c r="C776" s="1" t="s">
        <v>43</v>
      </c>
      <c r="D776" s="4">
        <v>16.0</v>
      </c>
      <c r="E776" s="4">
        <v>10.0</v>
      </c>
      <c r="F776" s="4">
        <v>8.0</v>
      </c>
      <c r="G776" s="4">
        <v>2.0</v>
      </c>
      <c r="H776" s="4">
        <v>0.0</v>
      </c>
      <c r="I776" s="4">
        <v>43.0</v>
      </c>
      <c r="J776" s="4">
        <v>6.0</v>
      </c>
      <c r="K776" s="4">
        <v>37.0</v>
      </c>
      <c r="L776" s="2" t="s">
        <v>352</v>
      </c>
      <c r="M776" s="5">
        <f>IFERROR(__xludf.DUMMYFUNCTION("""COMPUTED_VALUE"""),10.0)</f>
        <v>10</v>
      </c>
      <c r="N776" s="5">
        <f>IFERROR(__xludf.DUMMYFUNCTION("""COMPUTED_VALUE"""),11.0)</f>
        <v>11</v>
      </c>
      <c r="O776" s="5">
        <f>IFERROR(__xludf.DUMMYFUNCTION("""COMPUTED_VALUE"""),2000.0)</f>
        <v>2000</v>
      </c>
    </row>
    <row r="777">
      <c r="A777" s="1" t="s">
        <v>401</v>
      </c>
      <c r="B777" s="4">
        <v>20.0</v>
      </c>
      <c r="C777" s="1" t="s">
        <v>101</v>
      </c>
      <c r="D777" s="4">
        <v>16.0</v>
      </c>
      <c r="E777" s="4">
        <v>8.0</v>
      </c>
      <c r="F777" s="4">
        <v>8.0</v>
      </c>
      <c r="G777" s="4">
        <v>0.0</v>
      </c>
      <c r="H777" s="4">
        <v>0.0</v>
      </c>
      <c r="I777" s="4">
        <v>47.0</v>
      </c>
      <c r="J777" s="4">
        <v>10.0</v>
      </c>
      <c r="K777" s="4">
        <v>37.0</v>
      </c>
      <c r="L777" s="2" t="s">
        <v>177</v>
      </c>
      <c r="M777" s="5">
        <f>IFERROR(__xludf.DUMMYFUNCTION("""COMPUTED_VALUE"""),13.0)</f>
        <v>13</v>
      </c>
      <c r="N777" s="5">
        <f>IFERROR(__xludf.DUMMYFUNCTION("""COMPUTED_VALUE"""),10.0)</f>
        <v>10</v>
      </c>
      <c r="O777" s="5">
        <f>IFERROR(__xludf.DUMMYFUNCTION("""COMPUTED_VALUE"""),1.0)</f>
        <v>1</v>
      </c>
    </row>
    <row r="778">
      <c r="A778" s="1" t="s">
        <v>401</v>
      </c>
      <c r="B778" s="4">
        <v>21.0</v>
      </c>
      <c r="C778" s="1" t="s">
        <v>37</v>
      </c>
      <c r="D778" s="4">
        <v>16.0</v>
      </c>
      <c r="E778" s="4">
        <v>10.0</v>
      </c>
      <c r="F778" s="4">
        <v>8.0</v>
      </c>
      <c r="G778" s="4">
        <v>2.0</v>
      </c>
      <c r="H778" s="4">
        <v>0.0</v>
      </c>
      <c r="I778" s="4">
        <v>57.0</v>
      </c>
      <c r="J778" s="4">
        <v>31.0</v>
      </c>
      <c r="K778" s="4">
        <v>26.0</v>
      </c>
      <c r="L778" s="2" t="s">
        <v>186</v>
      </c>
      <c r="M778" s="5">
        <f>IFERROR(__xludf.DUMMYFUNCTION("""COMPUTED_VALUE"""),10.0)</f>
        <v>10</v>
      </c>
      <c r="N778" s="5">
        <f>IFERROR(__xludf.DUMMYFUNCTION("""COMPUTED_VALUE"""),14.0)</f>
        <v>14</v>
      </c>
      <c r="O778" s="5">
        <f>IFERROR(__xludf.DUMMYFUNCTION("""COMPUTED_VALUE"""),2000.0)</f>
        <v>2000</v>
      </c>
    </row>
    <row r="779">
      <c r="A779" s="1" t="s">
        <v>401</v>
      </c>
      <c r="B779" s="4">
        <v>22.0</v>
      </c>
      <c r="C779" s="1" t="s">
        <v>105</v>
      </c>
      <c r="D779" s="4">
        <v>16.0</v>
      </c>
      <c r="E779" s="4">
        <v>11.0</v>
      </c>
      <c r="F779" s="4">
        <v>8.0</v>
      </c>
      <c r="G779" s="4">
        <v>3.0</v>
      </c>
      <c r="H779" s="4">
        <v>0.0</v>
      </c>
      <c r="I779" s="4">
        <v>52.0</v>
      </c>
      <c r="J779" s="4">
        <v>26.0</v>
      </c>
      <c r="K779" s="4">
        <v>26.0</v>
      </c>
      <c r="L779" s="2" t="s">
        <v>38</v>
      </c>
      <c r="M779" s="5">
        <f>IFERROR(__xludf.DUMMYFUNCTION("""COMPUTED_VALUE"""),16.0)</f>
        <v>16</v>
      </c>
      <c r="N779" s="5">
        <f>IFERROR(__xludf.DUMMYFUNCTION("""COMPUTED_VALUE"""),8.0)</f>
        <v>8</v>
      </c>
      <c r="O779" s="5">
        <f>IFERROR(__xludf.DUMMYFUNCTION("""COMPUTED_VALUE"""),0.0)</f>
        <v>0</v>
      </c>
    </row>
    <row r="780">
      <c r="A780" s="1" t="s">
        <v>401</v>
      </c>
      <c r="B780" s="4">
        <v>23.0</v>
      </c>
      <c r="C780" s="1" t="s">
        <v>122</v>
      </c>
      <c r="D780" s="4">
        <v>16.0</v>
      </c>
      <c r="E780" s="4">
        <v>11.0</v>
      </c>
      <c r="F780" s="4">
        <v>7.0</v>
      </c>
      <c r="G780" s="4">
        <v>2.0</v>
      </c>
      <c r="H780" s="4">
        <v>2.0</v>
      </c>
      <c r="I780" s="4">
        <v>54.0</v>
      </c>
      <c r="J780" s="4">
        <v>34.0</v>
      </c>
      <c r="K780" s="4">
        <v>20.0</v>
      </c>
      <c r="L780" s="2" t="s">
        <v>208</v>
      </c>
      <c r="M780" s="5">
        <f>IFERROR(__xludf.DUMMYFUNCTION("""COMPUTED_VALUE"""),14.0)</f>
        <v>14</v>
      </c>
      <c r="N780" s="5">
        <f>IFERROR(__xludf.DUMMYFUNCTION("""COMPUTED_VALUE"""),8.0)</f>
        <v>8</v>
      </c>
      <c r="O780" s="5">
        <f>IFERROR(__xludf.DUMMYFUNCTION("""COMPUTED_VALUE"""),2.0)</f>
        <v>2</v>
      </c>
    </row>
    <row r="781">
      <c r="A781" s="1" t="s">
        <v>401</v>
      </c>
      <c r="B781" s="4">
        <v>24.0</v>
      </c>
      <c r="C781" s="1" t="s">
        <v>117</v>
      </c>
      <c r="D781" s="4">
        <v>15.0</v>
      </c>
      <c r="E781" s="4">
        <v>14.0</v>
      </c>
      <c r="F781" s="4">
        <v>7.0</v>
      </c>
      <c r="G781" s="4">
        <v>6.0</v>
      </c>
      <c r="H781" s="4">
        <v>1.0</v>
      </c>
      <c r="I781" s="4">
        <v>42.0</v>
      </c>
      <c r="J781" s="4">
        <v>36.0</v>
      </c>
      <c r="K781" s="4">
        <v>6.0</v>
      </c>
      <c r="L781" s="2" t="s">
        <v>179</v>
      </c>
      <c r="M781" s="5">
        <f>IFERROR(__xludf.DUMMYFUNCTION("""COMPUTED_VALUE"""),10.0)</f>
        <v>10</v>
      </c>
      <c r="N781" s="5">
        <f>IFERROR(__xludf.DUMMYFUNCTION("""COMPUTED_VALUE"""),13.0)</f>
        <v>13</v>
      </c>
      <c r="O781" s="5">
        <f>IFERROR(__xludf.DUMMYFUNCTION("""COMPUTED_VALUE"""),2001.0)</f>
        <v>2001</v>
      </c>
    </row>
    <row r="782">
      <c r="A782" s="1" t="s">
        <v>401</v>
      </c>
      <c r="B782" s="4">
        <v>25.0</v>
      </c>
      <c r="C782" s="1" t="s">
        <v>68</v>
      </c>
      <c r="D782" s="4">
        <v>14.0</v>
      </c>
      <c r="E782" s="4">
        <v>10.0</v>
      </c>
      <c r="F782" s="4">
        <v>7.0</v>
      </c>
      <c r="G782" s="4">
        <v>3.0</v>
      </c>
      <c r="H782" s="4">
        <v>0.0</v>
      </c>
      <c r="I782" s="4">
        <v>65.0</v>
      </c>
      <c r="J782" s="4">
        <v>34.0</v>
      </c>
      <c r="K782" s="4">
        <v>31.0</v>
      </c>
      <c r="L782" s="2" t="s">
        <v>17</v>
      </c>
      <c r="M782" s="5">
        <f>IFERROR(__xludf.DUMMYFUNCTION("""COMPUTED_VALUE"""),18.0)</f>
        <v>18</v>
      </c>
      <c r="N782" s="5">
        <f>IFERROR(__xludf.DUMMYFUNCTION("""COMPUTED_VALUE"""),5.0)</f>
        <v>5</v>
      </c>
      <c r="O782" s="5">
        <f>IFERROR(__xludf.DUMMYFUNCTION("""COMPUTED_VALUE"""),0.0)</f>
        <v>0</v>
      </c>
    </row>
    <row r="783">
      <c r="A783" s="1" t="s">
        <v>401</v>
      </c>
      <c r="B783" s="4">
        <v>26.0</v>
      </c>
      <c r="C783" s="1" t="s">
        <v>121</v>
      </c>
      <c r="D783" s="4">
        <v>14.0</v>
      </c>
      <c r="E783" s="4">
        <v>9.0</v>
      </c>
      <c r="F783" s="4">
        <v>7.0</v>
      </c>
      <c r="G783" s="4">
        <v>2.0</v>
      </c>
      <c r="H783" s="4">
        <v>0.0</v>
      </c>
      <c r="I783" s="4">
        <v>43.0</v>
      </c>
      <c r="J783" s="4">
        <v>16.0</v>
      </c>
      <c r="K783" s="4">
        <v>27.0</v>
      </c>
      <c r="L783" s="2" t="s">
        <v>341</v>
      </c>
      <c r="M783" s="5">
        <f>IFERROR(__xludf.DUMMYFUNCTION("""COMPUTED_VALUE"""),20.0)</f>
        <v>20</v>
      </c>
      <c r="N783" s="5">
        <f>IFERROR(__xludf.DUMMYFUNCTION("""COMPUTED_VALUE"""),2.0)</f>
        <v>2</v>
      </c>
      <c r="O783" s="5">
        <f>IFERROR(__xludf.DUMMYFUNCTION("""COMPUTED_VALUE"""),0.0)</f>
        <v>0</v>
      </c>
    </row>
    <row r="784">
      <c r="A784" s="1" t="s">
        <v>401</v>
      </c>
      <c r="B784" s="4">
        <v>27.0</v>
      </c>
      <c r="C784" s="1" t="s">
        <v>81</v>
      </c>
      <c r="D784" s="4">
        <v>12.0</v>
      </c>
      <c r="E784" s="4">
        <v>10.0</v>
      </c>
      <c r="F784" s="4">
        <v>6.0</v>
      </c>
      <c r="G784" s="4">
        <v>4.0</v>
      </c>
      <c r="H784" s="4">
        <v>0.0</v>
      </c>
      <c r="I784" s="4">
        <v>44.0</v>
      </c>
      <c r="J784" s="4">
        <v>19.0</v>
      </c>
      <c r="K784" s="4">
        <v>25.0</v>
      </c>
      <c r="L784" s="2" t="s">
        <v>369</v>
      </c>
      <c r="M784" s="5">
        <f>IFERROR(__xludf.DUMMYFUNCTION("""COMPUTED_VALUE"""),11.0)</f>
        <v>11</v>
      </c>
      <c r="N784" s="5">
        <f>IFERROR(__xludf.DUMMYFUNCTION("""COMPUTED_VALUE"""),9.0)</f>
        <v>9</v>
      </c>
      <c r="O784" s="5">
        <f>IFERROR(__xludf.DUMMYFUNCTION("""COMPUTED_VALUE"""),2001.0)</f>
        <v>2001</v>
      </c>
    </row>
    <row r="785">
      <c r="A785" s="1" t="s">
        <v>401</v>
      </c>
      <c r="B785" s="4">
        <v>28.0</v>
      </c>
      <c r="C785" s="1" t="s">
        <v>116</v>
      </c>
      <c r="D785" s="4">
        <v>12.0</v>
      </c>
      <c r="E785" s="4">
        <v>10.0</v>
      </c>
      <c r="F785" s="4">
        <v>6.0</v>
      </c>
      <c r="G785" s="4">
        <v>4.0</v>
      </c>
      <c r="H785" s="4">
        <v>0.0</v>
      </c>
      <c r="I785" s="4">
        <v>43.0</v>
      </c>
      <c r="J785" s="4">
        <v>27.0</v>
      </c>
      <c r="K785" s="4">
        <v>16.0</v>
      </c>
      <c r="L785" s="2" t="s">
        <v>19</v>
      </c>
      <c r="M785" s="5">
        <f>IFERROR(__xludf.DUMMYFUNCTION("""COMPUTED_VALUE"""),18.0)</f>
        <v>18</v>
      </c>
      <c r="N785" s="5">
        <f>IFERROR(__xludf.DUMMYFUNCTION("""COMPUTED_VALUE"""),6.0)</f>
        <v>6</v>
      </c>
      <c r="O785" s="5">
        <f>IFERROR(__xludf.DUMMYFUNCTION("""COMPUTED_VALUE"""),0.0)</f>
        <v>0</v>
      </c>
    </row>
    <row r="786">
      <c r="A786" s="1" t="s">
        <v>401</v>
      </c>
      <c r="B786" s="4">
        <v>29.0</v>
      </c>
      <c r="C786" s="1" t="s">
        <v>94</v>
      </c>
      <c r="D786" s="4">
        <v>12.0</v>
      </c>
      <c r="E786" s="4">
        <v>14.0</v>
      </c>
      <c r="F786" s="4">
        <v>6.0</v>
      </c>
      <c r="G786" s="4">
        <v>8.0</v>
      </c>
      <c r="H786" s="4">
        <v>0.0</v>
      </c>
      <c r="I786" s="4">
        <v>51.0</v>
      </c>
      <c r="J786" s="4">
        <v>43.0</v>
      </c>
      <c r="K786" s="4">
        <v>8.0</v>
      </c>
      <c r="L786" s="2" t="s">
        <v>38</v>
      </c>
      <c r="M786" s="5">
        <f>IFERROR(__xludf.DUMMYFUNCTION("""COMPUTED_VALUE"""),16.0)</f>
        <v>16</v>
      </c>
      <c r="N786" s="5">
        <f>IFERROR(__xludf.DUMMYFUNCTION("""COMPUTED_VALUE"""),8.0)</f>
        <v>8</v>
      </c>
      <c r="O786" s="5">
        <f>IFERROR(__xludf.DUMMYFUNCTION("""COMPUTED_VALUE"""),0.0)</f>
        <v>0</v>
      </c>
    </row>
    <row r="787">
      <c r="A787" s="1" t="s">
        <v>401</v>
      </c>
      <c r="B787" s="4">
        <v>30.0</v>
      </c>
      <c r="C787" s="1" t="s">
        <v>86</v>
      </c>
      <c r="D787" s="4">
        <v>12.0</v>
      </c>
      <c r="E787" s="4">
        <v>14.0</v>
      </c>
      <c r="F787" s="4">
        <v>6.0</v>
      </c>
      <c r="G787" s="4">
        <v>8.0</v>
      </c>
      <c r="H787" s="4">
        <v>0.0</v>
      </c>
      <c r="I787" s="4">
        <v>51.0</v>
      </c>
      <c r="J787" s="4">
        <v>45.0</v>
      </c>
      <c r="K787" s="4">
        <v>6.0</v>
      </c>
      <c r="L787" s="2" t="s">
        <v>321</v>
      </c>
      <c r="M787" s="5">
        <f>IFERROR(__xludf.DUMMYFUNCTION("""COMPUTED_VALUE"""),9.0)</f>
        <v>9</v>
      </c>
      <c r="N787" s="5">
        <f>IFERROR(__xludf.DUMMYFUNCTION("""COMPUTED_VALUE"""),14.0)</f>
        <v>14</v>
      </c>
      <c r="O787" s="5">
        <f>IFERROR(__xludf.DUMMYFUNCTION("""COMPUTED_VALUE"""),2001.0)</f>
        <v>2001</v>
      </c>
    </row>
    <row r="788">
      <c r="A788" s="1" t="s">
        <v>401</v>
      </c>
      <c r="B788" s="4">
        <v>31.0</v>
      </c>
      <c r="C788" s="1" t="s">
        <v>114</v>
      </c>
      <c r="D788" s="4">
        <v>12.0</v>
      </c>
      <c r="E788" s="4">
        <v>7.0</v>
      </c>
      <c r="F788" s="4">
        <v>6.0</v>
      </c>
      <c r="G788" s="4">
        <v>1.0</v>
      </c>
      <c r="H788" s="4">
        <v>0.0</v>
      </c>
      <c r="I788" s="4">
        <v>25.0</v>
      </c>
      <c r="J788" s="4">
        <v>21.0</v>
      </c>
      <c r="K788" s="4">
        <v>4.0</v>
      </c>
      <c r="L788" s="2" t="s">
        <v>390</v>
      </c>
      <c r="M788" s="5">
        <f>IFERROR(__xludf.DUMMYFUNCTION("""COMPUTED_VALUE"""),12.0)</f>
        <v>12</v>
      </c>
      <c r="N788" s="5">
        <f>IFERROR(__xludf.DUMMYFUNCTION("""COMPUTED_VALUE"""),8.0)</f>
        <v>8</v>
      </c>
      <c r="O788" s="5">
        <f>IFERROR(__xludf.DUMMYFUNCTION("""COMPUTED_VALUE"""),2000.0)</f>
        <v>2000</v>
      </c>
    </row>
    <row r="789">
      <c r="A789" s="1" t="s">
        <v>401</v>
      </c>
      <c r="B789" s="4">
        <v>32.0</v>
      </c>
      <c r="C789" s="1" t="s">
        <v>75</v>
      </c>
      <c r="D789" s="4">
        <v>12.0</v>
      </c>
      <c r="E789" s="4">
        <v>14.0</v>
      </c>
      <c r="F789" s="4">
        <v>6.0</v>
      </c>
      <c r="G789" s="4">
        <v>8.0</v>
      </c>
      <c r="H789" s="4">
        <v>0.0</v>
      </c>
      <c r="I789" s="4">
        <v>49.0</v>
      </c>
      <c r="J789" s="4">
        <v>53.0</v>
      </c>
      <c r="K789" s="4">
        <v>-4.0</v>
      </c>
      <c r="L789" s="2" t="s">
        <v>80</v>
      </c>
      <c r="M789" s="5">
        <f>IFERROR(__xludf.DUMMYFUNCTION("""COMPUTED_VALUE"""),12.0)</f>
        <v>12</v>
      </c>
      <c r="N789" s="5">
        <f>IFERROR(__xludf.DUMMYFUNCTION("""COMPUTED_VALUE"""),12.0)</f>
        <v>12</v>
      </c>
      <c r="O789" s="5">
        <f>IFERROR(__xludf.DUMMYFUNCTION("""COMPUTED_VALUE"""),2000.0)</f>
        <v>2000</v>
      </c>
    </row>
    <row r="790">
      <c r="A790" s="1" t="s">
        <v>401</v>
      </c>
      <c r="B790" s="4">
        <v>33.0</v>
      </c>
      <c r="C790" s="1" t="s">
        <v>134</v>
      </c>
      <c r="D790" s="4">
        <v>12.0</v>
      </c>
      <c r="E790" s="4">
        <v>12.0</v>
      </c>
      <c r="F790" s="4">
        <v>6.0</v>
      </c>
      <c r="G790" s="4">
        <v>6.0</v>
      </c>
      <c r="H790" s="4">
        <v>0.0</v>
      </c>
      <c r="I790" s="4">
        <v>26.0</v>
      </c>
      <c r="J790" s="4">
        <v>46.0</v>
      </c>
      <c r="K790" s="4">
        <v>-20.0</v>
      </c>
      <c r="L790" s="2" t="s">
        <v>38</v>
      </c>
      <c r="M790" s="5">
        <f>IFERROR(__xludf.DUMMYFUNCTION("""COMPUTED_VALUE"""),16.0)</f>
        <v>16</v>
      </c>
      <c r="N790" s="5">
        <f>IFERROR(__xludf.DUMMYFUNCTION("""COMPUTED_VALUE"""),8.0)</f>
        <v>8</v>
      </c>
      <c r="O790" s="5">
        <f>IFERROR(__xludf.DUMMYFUNCTION("""COMPUTED_VALUE"""),0.0)</f>
        <v>0</v>
      </c>
    </row>
    <row r="791">
      <c r="A791" s="1" t="s">
        <v>401</v>
      </c>
      <c r="B791" s="4">
        <v>34.0</v>
      </c>
      <c r="C791" s="1" t="s">
        <v>149</v>
      </c>
      <c r="D791" s="4">
        <v>11.0</v>
      </c>
      <c r="E791" s="4">
        <v>7.0</v>
      </c>
      <c r="F791" s="4">
        <v>5.0</v>
      </c>
      <c r="G791" s="4">
        <v>1.0</v>
      </c>
      <c r="H791" s="4">
        <v>1.0</v>
      </c>
      <c r="I791" s="4">
        <v>21.0</v>
      </c>
      <c r="J791" s="4">
        <v>10.0</v>
      </c>
      <c r="K791" s="4">
        <v>11.0</v>
      </c>
      <c r="L791" s="2" t="s">
        <v>343</v>
      </c>
      <c r="M791" s="5">
        <f>IFERROR(__xludf.DUMMYFUNCTION("""COMPUTED_VALUE"""),16.0)</f>
        <v>16</v>
      </c>
      <c r="N791" s="5">
        <f>IFERROR(__xludf.DUMMYFUNCTION("""COMPUTED_VALUE"""),6.0)</f>
        <v>6</v>
      </c>
      <c r="O791" s="5">
        <f>IFERROR(__xludf.DUMMYFUNCTION("""COMPUTED_VALUE"""),2.0)</f>
        <v>2</v>
      </c>
    </row>
    <row r="792">
      <c r="A792" s="1" t="s">
        <v>401</v>
      </c>
      <c r="B792" s="4">
        <v>35.0</v>
      </c>
      <c r="C792" s="1" t="s">
        <v>138</v>
      </c>
      <c r="D792" s="4">
        <v>11.0</v>
      </c>
      <c r="E792" s="4">
        <v>12.0</v>
      </c>
      <c r="F792" s="4">
        <v>5.0</v>
      </c>
      <c r="G792" s="4">
        <v>6.0</v>
      </c>
      <c r="H792" s="4">
        <v>1.0</v>
      </c>
      <c r="I792" s="4">
        <v>36.0</v>
      </c>
      <c r="J792" s="4">
        <v>38.0</v>
      </c>
      <c r="K792" s="4">
        <v>-2.0</v>
      </c>
      <c r="L792" s="2" t="s">
        <v>89</v>
      </c>
      <c r="M792" s="5">
        <f>IFERROR(__xludf.DUMMYFUNCTION("""COMPUTED_VALUE"""),12.0)</f>
        <v>12</v>
      </c>
      <c r="N792" s="5">
        <f>IFERROR(__xludf.DUMMYFUNCTION("""COMPUTED_VALUE"""),10.0)</f>
        <v>10</v>
      </c>
      <c r="O792" s="5">
        <f>IFERROR(__xludf.DUMMYFUNCTION("""COMPUTED_VALUE"""),2001.0)</f>
        <v>2001</v>
      </c>
    </row>
    <row r="793">
      <c r="A793" s="1" t="s">
        <v>401</v>
      </c>
      <c r="B793" s="4">
        <v>36.0</v>
      </c>
      <c r="C793" s="1" t="s">
        <v>50</v>
      </c>
      <c r="D793" s="4">
        <v>10.0</v>
      </c>
      <c r="E793" s="4">
        <v>10.0</v>
      </c>
      <c r="F793" s="4">
        <v>5.0</v>
      </c>
      <c r="G793" s="4">
        <v>5.0</v>
      </c>
      <c r="H793" s="4">
        <v>0.0</v>
      </c>
      <c r="I793" s="4">
        <v>53.0</v>
      </c>
      <c r="J793" s="4">
        <v>26.0</v>
      </c>
      <c r="K793" s="4">
        <v>27.0</v>
      </c>
      <c r="L793" s="2" t="s">
        <v>93</v>
      </c>
      <c r="M793" s="5">
        <f>IFERROR(__xludf.DUMMYFUNCTION("""COMPUTED_VALUE"""),13.0)</f>
        <v>13</v>
      </c>
      <c r="N793" s="5">
        <f>IFERROR(__xludf.DUMMYFUNCTION("""COMPUTED_VALUE"""),10.0)</f>
        <v>10</v>
      </c>
      <c r="O793" s="5">
        <f>IFERROR(__xludf.DUMMYFUNCTION("""COMPUTED_VALUE"""),0.0)</f>
        <v>0</v>
      </c>
    </row>
    <row r="794">
      <c r="A794" s="1" t="s">
        <v>401</v>
      </c>
      <c r="B794" s="4">
        <v>37.0</v>
      </c>
      <c r="C794" s="1" t="s">
        <v>147</v>
      </c>
      <c r="D794" s="4">
        <v>10.0</v>
      </c>
      <c r="E794" s="4">
        <v>8.0</v>
      </c>
      <c r="F794" s="4">
        <v>5.0</v>
      </c>
      <c r="G794" s="4">
        <v>3.0</v>
      </c>
      <c r="H794" s="4">
        <v>0.0</v>
      </c>
      <c r="I794" s="4">
        <v>46.0</v>
      </c>
      <c r="J794" s="4">
        <v>28.0</v>
      </c>
      <c r="K794" s="4">
        <v>18.0</v>
      </c>
      <c r="L794" s="2" t="s">
        <v>186</v>
      </c>
      <c r="M794" s="5">
        <f>IFERROR(__xludf.DUMMYFUNCTION("""COMPUTED_VALUE"""),10.0)</f>
        <v>10</v>
      </c>
      <c r="N794" s="5">
        <f>IFERROR(__xludf.DUMMYFUNCTION("""COMPUTED_VALUE"""),14.0)</f>
        <v>14</v>
      </c>
      <c r="O794" s="5">
        <f>IFERROR(__xludf.DUMMYFUNCTION("""COMPUTED_VALUE"""),2000.0)</f>
        <v>2000</v>
      </c>
    </row>
    <row r="795">
      <c r="A795" s="1" t="s">
        <v>401</v>
      </c>
      <c r="B795" s="4">
        <v>38.0</v>
      </c>
      <c r="C795" s="1" t="s">
        <v>88</v>
      </c>
      <c r="D795" s="4">
        <v>10.0</v>
      </c>
      <c r="E795" s="4">
        <v>10.0</v>
      </c>
      <c r="F795" s="4">
        <v>5.0</v>
      </c>
      <c r="G795" s="4">
        <v>5.0</v>
      </c>
      <c r="H795" s="4">
        <v>0.0</v>
      </c>
      <c r="I795" s="4">
        <v>42.0</v>
      </c>
      <c r="J795" s="4">
        <v>25.0</v>
      </c>
      <c r="K795" s="4">
        <v>17.0</v>
      </c>
      <c r="L795" s="2" t="s">
        <v>195</v>
      </c>
      <c r="M795" s="5">
        <f>IFERROR(__xludf.DUMMYFUNCTION("""COMPUTED_VALUE"""),8.0)</f>
        <v>8</v>
      </c>
      <c r="N795" s="5">
        <f>IFERROR(__xludf.DUMMYFUNCTION("""COMPUTED_VALUE"""),15.0)</f>
        <v>15</v>
      </c>
      <c r="O795" s="5">
        <f>IFERROR(__xludf.DUMMYFUNCTION("""COMPUTED_VALUE"""),2000.0)</f>
        <v>2000</v>
      </c>
    </row>
    <row r="796">
      <c r="A796" s="1" t="s">
        <v>401</v>
      </c>
      <c r="B796" s="4">
        <v>39.0</v>
      </c>
      <c r="C796" s="1" t="s">
        <v>36</v>
      </c>
      <c r="D796" s="4">
        <v>10.0</v>
      </c>
      <c r="E796" s="4">
        <v>7.0</v>
      </c>
      <c r="F796" s="4">
        <v>5.0</v>
      </c>
      <c r="G796" s="4">
        <v>2.0</v>
      </c>
      <c r="H796" s="4">
        <v>0.0</v>
      </c>
      <c r="I796" s="4">
        <v>21.0</v>
      </c>
      <c r="J796" s="4">
        <v>10.0</v>
      </c>
      <c r="K796" s="4">
        <v>11.0</v>
      </c>
      <c r="L796" s="2" t="s">
        <v>358</v>
      </c>
      <c r="M796" s="5">
        <f>IFERROR(__xludf.DUMMYFUNCTION("""COMPUTED_VALUE"""),16.0)</f>
        <v>16</v>
      </c>
      <c r="N796" s="5">
        <f>IFERROR(__xludf.DUMMYFUNCTION("""COMPUTED_VALUE"""),6.0)</f>
        <v>6</v>
      </c>
      <c r="O796" s="5">
        <f>IFERROR(__xludf.DUMMYFUNCTION("""COMPUTED_VALUE"""),0.0)</f>
        <v>0</v>
      </c>
    </row>
    <row r="797">
      <c r="A797" s="1" t="s">
        <v>401</v>
      </c>
      <c r="B797" s="4">
        <v>40.0</v>
      </c>
      <c r="C797" s="1" t="s">
        <v>71</v>
      </c>
      <c r="D797" s="4">
        <v>10.0</v>
      </c>
      <c r="E797" s="4">
        <v>11.0</v>
      </c>
      <c r="F797" s="4">
        <v>5.0</v>
      </c>
      <c r="G797" s="4">
        <v>6.0</v>
      </c>
      <c r="H797" s="4">
        <v>0.0</v>
      </c>
      <c r="I797" s="4">
        <v>41.0</v>
      </c>
      <c r="J797" s="4">
        <v>32.0</v>
      </c>
      <c r="K797" s="4">
        <v>9.0</v>
      </c>
      <c r="L797" s="2" t="s">
        <v>329</v>
      </c>
      <c r="M797" s="5">
        <f>IFERROR(__xludf.DUMMYFUNCTION("""COMPUTED_VALUE"""),9.0)</f>
        <v>9</v>
      </c>
      <c r="N797" s="5">
        <f>IFERROR(__xludf.DUMMYFUNCTION("""COMPUTED_VALUE"""),13.0)</f>
        <v>13</v>
      </c>
      <c r="O797" s="5">
        <f>IFERROR(__xludf.DUMMYFUNCTION("""COMPUTED_VALUE"""),2000.0)</f>
        <v>2000</v>
      </c>
    </row>
    <row r="798">
      <c r="A798" s="1" t="s">
        <v>401</v>
      </c>
      <c r="B798" s="4">
        <v>41.0</v>
      </c>
      <c r="C798" s="1" t="s">
        <v>141</v>
      </c>
      <c r="D798" s="4">
        <v>10.0</v>
      </c>
      <c r="E798" s="4">
        <v>8.0</v>
      </c>
      <c r="F798" s="4">
        <v>5.0</v>
      </c>
      <c r="G798" s="4">
        <v>3.0</v>
      </c>
      <c r="H798" s="4">
        <v>0.0</v>
      </c>
      <c r="I798" s="4">
        <v>35.0</v>
      </c>
      <c r="J798" s="4">
        <v>27.0</v>
      </c>
      <c r="K798" s="4">
        <v>8.0</v>
      </c>
      <c r="L798" s="2" t="s">
        <v>226</v>
      </c>
      <c r="M798" s="5">
        <f>IFERROR(__xludf.DUMMYFUNCTION("""COMPUTED_VALUE"""),8.0)</f>
        <v>8</v>
      </c>
      <c r="N798" s="5">
        <f>IFERROR(__xludf.DUMMYFUNCTION("""COMPUTED_VALUE"""),14.0)</f>
        <v>14</v>
      </c>
      <c r="O798" s="5">
        <f>IFERROR(__xludf.DUMMYFUNCTION("""COMPUTED_VALUE"""),2002.0)</f>
        <v>2002</v>
      </c>
    </row>
    <row r="799">
      <c r="A799" s="1" t="s">
        <v>401</v>
      </c>
      <c r="B799" s="4">
        <v>42.0</v>
      </c>
      <c r="C799" s="1" t="s">
        <v>60</v>
      </c>
      <c r="D799" s="4">
        <v>10.0</v>
      </c>
      <c r="E799" s="4">
        <v>10.0</v>
      </c>
      <c r="F799" s="4">
        <v>4.0</v>
      </c>
      <c r="G799" s="4">
        <v>4.0</v>
      </c>
      <c r="H799" s="4">
        <v>2.0</v>
      </c>
      <c r="I799" s="4">
        <v>34.0</v>
      </c>
      <c r="J799" s="4">
        <v>30.0</v>
      </c>
      <c r="K799" s="4">
        <v>4.0</v>
      </c>
      <c r="L799" s="2" t="s">
        <v>199</v>
      </c>
      <c r="M799" s="5">
        <f>IFERROR(__xludf.DUMMYFUNCTION("""COMPUTED_VALUE"""),8.0)</f>
        <v>8</v>
      </c>
      <c r="N799" s="5">
        <f>IFERROR(__xludf.DUMMYFUNCTION("""COMPUTED_VALUE"""),12.0)</f>
        <v>12</v>
      </c>
      <c r="O799" s="5">
        <f>IFERROR(__xludf.DUMMYFUNCTION("""COMPUTED_VALUE"""),2003.0)</f>
        <v>2003</v>
      </c>
    </row>
    <row r="800">
      <c r="A800" s="1" t="s">
        <v>401</v>
      </c>
      <c r="B800" s="4">
        <v>43.0</v>
      </c>
      <c r="C800" s="1" t="s">
        <v>130</v>
      </c>
      <c r="D800" s="4">
        <v>10.0</v>
      </c>
      <c r="E800" s="4">
        <v>8.0</v>
      </c>
      <c r="F800" s="4">
        <v>5.0</v>
      </c>
      <c r="G800" s="4">
        <v>3.0</v>
      </c>
      <c r="H800" s="4">
        <v>0.0</v>
      </c>
      <c r="I800" s="4">
        <v>30.0</v>
      </c>
      <c r="J800" s="4">
        <v>32.0</v>
      </c>
      <c r="K800" s="4">
        <v>-2.0</v>
      </c>
      <c r="L800" s="2" t="s">
        <v>97</v>
      </c>
      <c r="M800" s="5">
        <f>IFERROR(__xludf.DUMMYFUNCTION("""COMPUTED_VALUE"""),10.0)</f>
        <v>10</v>
      </c>
      <c r="N800" s="5">
        <f>IFERROR(__xludf.DUMMYFUNCTION("""COMPUTED_VALUE"""),13.0)</f>
        <v>13</v>
      </c>
      <c r="O800" s="5">
        <f>IFERROR(__xludf.DUMMYFUNCTION("""COMPUTED_VALUE"""),2000.0)</f>
        <v>2000</v>
      </c>
    </row>
    <row r="801">
      <c r="A801" s="1" t="s">
        <v>401</v>
      </c>
      <c r="B801" s="4">
        <v>44.0</v>
      </c>
      <c r="C801" s="1" t="s">
        <v>66</v>
      </c>
      <c r="D801" s="4">
        <v>10.0</v>
      </c>
      <c r="E801" s="4">
        <v>12.0</v>
      </c>
      <c r="F801" s="4">
        <v>5.0</v>
      </c>
      <c r="G801" s="4">
        <v>7.0</v>
      </c>
      <c r="H801" s="4">
        <v>0.0</v>
      </c>
      <c r="I801" s="4">
        <v>27.0</v>
      </c>
      <c r="J801" s="4">
        <v>42.0</v>
      </c>
      <c r="K801" s="4">
        <v>-15.0</v>
      </c>
      <c r="L801" s="2" t="s">
        <v>349</v>
      </c>
      <c r="M801" s="5">
        <f>IFERROR(__xludf.DUMMYFUNCTION("""COMPUTED_VALUE"""),10.0)</f>
        <v>10</v>
      </c>
      <c r="N801" s="5">
        <f>IFERROR(__xludf.DUMMYFUNCTION("""COMPUTED_VALUE"""),12.0)</f>
        <v>12</v>
      </c>
      <c r="O801" s="5">
        <f>IFERROR(__xludf.DUMMYFUNCTION("""COMPUTED_VALUE"""),2000.0)</f>
        <v>2000</v>
      </c>
    </row>
    <row r="802">
      <c r="A802" s="1" t="s">
        <v>401</v>
      </c>
      <c r="B802" s="4">
        <v>45.0</v>
      </c>
      <c r="C802" s="1" t="s">
        <v>96</v>
      </c>
      <c r="D802" s="4">
        <v>9.0</v>
      </c>
      <c r="E802" s="4">
        <v>7.0</v>
      </c>
      <c r="F802" s="4">
        <v>4.0</v>
      </c>
      <c r="G802" s="4">
        <v>2.0</v>
      </c>
      <c r="H802" s="4">
        <v>1.0</v>
      </c>
      <c r="I802" s="4">
        <v>23.0</v>
      </c>
      <c r="J802" s="4">
        <v>15.0</v>
      </c>
      <c r="K802" s="4">
        <v>8.0</v>
      </c>
      <c r="L802" s="2" t="s">
        <v>403</v>
      </c>
      <c r="M802" s="5">
        <f>IFERROR(__xludf.DUMMYFUNCTION("""COMPUTED_VALUE"""),19.0)</f>
        <v>19</v>
      </c>
      <c r="N802" s="5">
        <f>IFERROR(__xludf.DUMMYFUNCTION("""COMPUTED_VALUE"""),3.0)</f>
        <v>3</v>
      </c>
      <c r="O802" s="5">
        <f>IFERROR(__xludf.DUMMYFUNCTION("""COMPUTED_VALUE"""),2.0)</f>
        <v>2</v>
      </c>
    </row>
    <row r="803">
      <c r="A803" s="1" t="s">
        <v>401</v>
      </c>
      <c r="B803" s="4">
        <v>46.0</v>
      </c>
      <c r="C803" s="1" t="s">
        <v>159</v>
      </c>
      <c r="D803" s="4">
        <v>9.0</v>
      </c>
      <c r="E803" s="4">
        <v>10.0</v>
      </c>
      <c r="F803" s="4">
        <v>4.0</v>
      </c>
      <c r="G803" s="4">
        <v>5.0</v>
      </c>
      <c r="H803" s="4">
        <v>1.0</v>
      </c>
      <c r="I803" s="4">
        <v>27.0</v>
      </c>
      <c r="J803" s="4">
        <v>48.0</v>
      </c>
      <c r="K803" s="4">
        <v>-21.0</v>
      </c>
      <c r="L803" s="2" t="s">
        <v>177</v>
      </c>
      <c r="M803" s="5">
        <f>IFERROR(__xludf.DUMMYFUNCTION("""COMPUTED_VALUE"""),13.0)</f>
        <v>13</v>
      </c>
      <c r="N803" s="5">
        <f>IFERROR(__xludf.DUMMYFUNCTION("""COMPUTED_VALUE"""),10.0)</f>
        <v>10</v>
      </c>
      <c r="O803" s="5">
        <f>IFERROR(__xludf.DUMMYFUNCTION("""COMPUTED_VALUE"""),1.0)</f>
        <v>1</v>
      </c>
    </row>
    <row r="804">
      <c r="A804" s="1" t="s">
        <v>401</v>
      </c>
      <c r="B804" s="4">
        <v>47.0</v>
      </c>
      <c r="C804" s="1" t="s">
        <v>144</v>
      </c>
      <c r="D804" s="4">
        <v>8.0</v>
      </c>
      <c r="E804" s="4">
        <v>4.0</v>
      </c>
      <c r="F804" s="4">
        <v>4.0</v>
      </c>
      <c r="G804" s="4">
        <v>0.0</v>
      </c>
      <c r="H804" s="4">
        <v>0.0</v>
      </c>
      <c r="I804" s="4">
        <v>26.0</v>
      </c>
      <c r="J804" s="4">
        <v>6.0</v>
      </c>
      <c r="K804" s="4">
        <v>20.0</v>
      </c>
      <c r="L804" s="2" t="s">
        <v>406</v>
      </c>
      <c r="M804" s="5">
        <f>IFERROR(__xludf.DUMMYFUNCTION("""COMPUTED_VALUE"""),19.0)</f>
        <v>19</v>
      </c>
      <c r="N804" s="5">
        <f>IFERROR(__xludf.DUMMYFUNCTION("""COMPUTED_VALUE"""),3.0)</f>
        <v>3</v>
      </c>
      <c r="O804" s="5">
        <f>IFERROR(__xludf.DUMMYFUNCTION("""COMPUTED_VALUE"""),0.0)</f>
        <v>0</v>
      </c>
    </row>
    <row r="805">
      <c r="A805" s="1" t="s">
        <v>401</v>
      </c>
      <c r="B805" s="4">
        <v>48.0</v>
      </c>
      <c r="C805" s="1" t="s">
        <v>161</v>
      </c>
      <c r="D805" s="4">
        <v>8.0</v>
      </c>
      <c r="E805" s="4">
        <v>10.0</v>
      </c>
      <c r="F805" s="4">
        <v>4.0</v>
      </c>
      <c r="G805" s="4">
        <v>6.0</v>
      </c>
      <c r="H805" s="4">
        <v>0.0</v>
      </c>
      <c r="I805" s="4">
        <v>43.0</v>
      </c>
      <c r="J805" s="4">
        <v>37.0</v>
      </c>
      <c r="K805" s="4">
        <v>6.0</v>
      </c>
      <c r="L805" s="2" t="s">
        <v>170</v>
      </c>
      <c r="M805" s="5">
        <f>IFERROR(__xludf.DUMMYFUNCTION("""COMPUTED_VALUE"""),11.0)</f>
        <v>11</v>
      </c>
      <c r="N805" s="5">
        <f>IFERROR(__xludf.DUMMYFUNCTION("""COMPUTED_VALUE"""),13.0)</f>
        <v>13</v>
      </c>
      <c r="O805" s="5">
        <f>IFERROR(__xludf.DUMMYFUNCTION("""COMPUTED_VALUE"""),2000.0)</f>
        <v>2000</v>
      </c>
    </row>
    <row r="806">
      <c r="A806" s="1" t="s">
        <v>401</v>
      </c>
      <c r="B806" s="4">
        <v>49.0</v>
      </c>
      <c r="C806" s="1" t="s">
        <v>54</v>
      </c>
      <c r="D806" s="4">
        <v>8.0</v>
      </c>
      <c r="E806" s="4">
        <v>7.0</v>
      </c>
      <c r="F806" s="4">
        <v>4.0</v>
      </c>
      <c r="G806" s="4">
        <v>3.0</v>
      </c>
      <c r="H806" s="4">
        <v>0.0</v>
      </c>
      <c r="I806" s="4">
        <v>17.0</v>
      </c>
      <c r="J806" s="4">
        <v>17.0</v>
      </c>
      <c r="K806" s="4">
        <v>0.0</v>
      </c>
      <c r="L806" s="2" t="s">
        <v>87</v>
      </c>
      <c r="M806" s="5">
        <f>IFERROR(__xludf.DUMMYFUNCTION("""COMPUTED_VALUE"""),8.0)</f>
        <v>8</v>
      </c>
      <c r="N806" s="5">
        <f>IFERROR(__xludf.DUMMYFUNCTION("""COMPUTED_VALUE"""),16.0)</f>
        <v>16</v>
      </c>
      <c r="O806" s="5">
        <f>IFERROR(__xludf.DUMMYFUNCTION("""COMPUTED_VALUE"""),2000.0)</f>
        <v>2000</v>
      </c>
    </row>
    <row r="807">
      <c r="A807" s="1" t="s">
        <v>401</v>
      </c>
      <c r="B807" s="4">
        <v>50.0</v>
      </c>
      <c r="C807" s="1" t="s">
        <v>98</v>
      </c>
      <c r="D807" s="4">
        <v>8.0</v>
      </c>
      <c r="E807" s="4">
        <v>7.0</v>
      </c>
      <c r="F807" s="4">
        <v>4.0</v>
      </c>
      <c r="G807" s="4">
        <v>3.0</v>
      </c>
      <c r="H807" s="4">
        <v>0.0</v>
      </c>
      <c r="I807" s="4">
        <v>18.0</v>
      </c>
      <c r="J807" s="4">
        <v>23.0</v>
      </c>
      <c r="K807" s="4">
        <v>-5.0</v>
      </c>
      <c r="L807" s="2" t="s">
        <v>180</v>
      </c>
      <c r="M807" s="5">
        <f>IFERROR(__xludf.DUMMYFUNCTION("""COMPUTED_VALUE"""),12.0)</f>
        <v>12</v>
      </c>
      <c r="N807" s="5">
        <f>IFERROR(__xludf.DUMMYFUNCTION("""COMPUTED_VALUE"""),10.0)</f>
        <v>10</v>
      </c>
      <c r="O807" s="5">
        <f>IFERROR(__xludf.DUMMYFUNCTION("""COMPUTED_VALUE"""),2002.0)</f>
        <v>2002</v>
      </c>
    </row>
    <row r="808">
      <c r="A808" s="1" t="s">
        <v>401</v>
      </c>
      <c r="B808" s="4">
        <v>51.0</v>
      </c>
      <c r="C808" s="1" t="s">
        <v>85</v>
      </c>
      <c r="D808" s="4">
        <v>8.0</v>
      </c>
      <c r="E808" s="4">
        <v>10.0</v>
      </c>
      <c r="F808" s="4">
        <v>4.0</v>
      </c>
      <c r="G808" s="4">
        <v>6.0</v>
      </c>
      <c r="H808" s="4">
        <v>0.0</v>
      </c>
      <c r="I808" s="4">
        <v>45.0</v>
      </c>
      <c r="J808" s="4">
        <v>51.0</v>
      </c>
      <c r="K808" s="4">
        <v>-6.0</v>
      </c>
      <c r="L808" s="2" t="s">
        <v>179</v>
      </c>
      <c r="M808" s="5">
        <f>IFERROR(__xludf.DUMMYFUNCTION("""COMPUTED_VALUE"""),10.0)</f>
        <v>10</v>
      </c>
      <c r="N808" s="5">
        <f>IFERROR(__xludf.DUMMYFUNCTION("""COMPUTED_VALUE"""),13.0)</f>
        <v>13</v>
      </c>
      <c r="O808" s="5">
        <f>IFERROR(__xludf.DUMMYFUNCTION("""COMPUTED_VALUE"""),2001.0)</f>
        <v>2001</v>
      </c>
    </row>
    <row r="809">
      <c r="A809" s="1" t="s">
        <v>401</v>
      </c>
      <c r="B809" s="4">
        <v>52.0</v>
      </c>
      <c r="C809" s="1" t="s">
        <v>34</v>
      </c>
      <c r="D809" s="4">
        <v>8.0</v>
      </c>
      <c r="E809" s="4">
        <v>10.0</v>
      </c>
      <c r="F809" s="4">
        <v>4.0</v>
      </c>
      <c r="G809" s="4">
        <v>6.0</v>
      </c>
      <c r="H809" s="4">
        <v>0.0</v>
      </c>
      <c r="I809" s="4">
        <v>28.0</v>
      </c>
      <c r="J809" s="4">
        <v>47.0</v>
      </c>
      <c r="K809" s="4">
        <v>-19.0</v>
      </c>
      <c r="L809" s="2" t="s">
        <v>333</v>
      </c>
      <c r="M809" s="5">
        <f>IFERROR(__xludf.DUMMYFUNCTION("""COMPUTED_VALUE"""),12.0)</f>
        <v>12</v>
      </c>
      <c r="N809" s="5">
        <f>IFERROR(__xludf.DUMMYFUNCTION("""COMPUTED_VALUE"""),9.0)</f>
        <v>9</v>
      </c>
      <c r="O809" s="5">
        <f>IFERROR(__xludf.DUMMYFUNCTION("""COMPUTED_VALUE"""),2001.0)</f>
        <v>2001</v>
      </c>
    </row>
    <row r="810">
      <c r="A810" s="1" t="s">
        <v>401</v>
      </c>
      <c r="B810" s="4">
        <v>53.0</v>
      </c>
      <c r="C810" s="1" t="s">
        <v>113</v>
      </c>
      <c r="D810" s="4">
        <v>8.0</v>
      </c>
      <c r="E810" s="4">
        <v>10.0</v>
      </c>
      <c r="F810" s="4">
        <v>4.0</v>
      </c>
      <c r="G810" s="4">
        <v>6.0</v>
      </c>
      <c r="H810" s="4">
        <v>0.0</v>
      </c>
      <c r="I810" s="4">
        <v>15.0</v>
      </c>
      <c r="J810" s="4">
        <v>37.0</v>
      </c>
      <c r="K810" s="4">
        <v>-22.0</v>
      </c>
      <c r="L810" s="2" t="s">
        <v>124</v>
      </c>
      <c r="M810" s="5">
        <f>IFERROR(__xludf.DUMMYFUNCTION("""COMPUTED_VALUE"""),7.0)</f>
        <v>7</v>
      </c>
      <c r="N810" s="5">
        <f>IFERROR(__xludf.DUMMYFUNCTION("""COMPUTED_VALUE"""),14.0)</f>
        <v>14</v>
      </c>
      <c r="O810" s="5">
        <f>IFERROR(__xludf.DUMMYFUNCTION("""COMPUTED_VALUE"""),2001.0)</f>
        <v>2001</v>
      </c>
    </row>
    <row r="811">
      <c r="A811" s="1" t="s">
        <v>401</v>
      </c>
      <c r="B811" s="4">
        <v>54.0</v>
      </c>
      <c r="C811" s="1" t="s">
        <v>146</v>
      </c>
      <c r="D811" s="4">
        <v>8.0</v>
      </c>
      <c r="E811" s="4">
        <v>14.0</v>
      </c>
      <c r="F811" s="4">
        <v>4.0</v>
      </c>
      <c r="G811" s="4">
        <v>10.0</v>
      </c>
      <c r="H811" s="4">
        <v>0.0</v>
      </c>
      <c r="I811" s="4">
        <v>42.0</v>
      </c>
      <c r="J811" s="4">
        <v>70.0</v>
      </c>
      <c r="K811" s="4">
        <v>-28.0</v>
      </c>
      <c r="L811" s="2" t="s">
        <v>139</v>
      </c>
      <c r="M811" s="5">
        <f>IFERROR(__xludf.DUMMYFUNCTION("""COMPUTED_VALUE"""),6.0)</f>
        <v>6</v>
      </c>
      <c r="N811" s="5">
        <f>IFERROR(__xludf.DUMMYFUNCTION("""COMPUTED_VALUE"""),18.0)</f>
        <v>18</v>
      </c>
      <c r="O811" s="5">
        <f>IFERROR(__xludf.DUMMYFUNCTION("""COMPUTED_VALUE"""),2000.0)</f>
        <v>2000</v>
      </c>
    </row>
    <row r="812">
      <c r="A812" s="1" t="s">
        <v>401</v>
      </c>
      <c r="B812" s="4">
        <v>55.0</v>
      </c>
      <c r="C812" s="1" t="s">
        <v>119</v>
      </c>
      <c r="D812" s="4">
        <v>7.0</v>
      </c>
      <c r="E812" s="4">
        <v>10.0</v>
      </c>
      <c r="F812" s="4">
        <v>3.0</v>
      </c>
      <c r="G812" s="4">
        <v>6.0</v>
      </c>
      <c r="H812" s="4">
        <v>1.0</v>
      </c>
      <c r="I812" s="4">
        <v>24.0</v>
      </c>
      <c r="J812" s="4">
        <v>31.0</v>
      </c>
      <c r="K812" s="4">
        <v>-7.0</v>
      </c>
      <c r="L812" s="2" t="s">
        <v>82</v>
      </c>
      <c r="M812" s="5">
        <f>IFERROR(__xludf.DUMMYFUNCTION("""COMPUTED_VALUE"""),11.0)</f>
        <v>11</v>
      </c>
      <c r="N812" s="5">
        <f>IFERROR(__xludf.DUMMYFUNCTION("""COMPUTED_VALUE"""),12.0)</f>
        <v>12</v>
      </c>
      <c r="O812" s="5">
        <f>IFERROR(__xludf.DUMMYFUNCTION("""COMPUTED_VALUE"""),2001.0)</f>
        <v>2001</v>
      </c>
    </row>
    <row r="813">
      <c r="A813" s="1" t="s">
        <v>401</v>
      </c>
      <c r="B813" s="4">
        <v>56.0</v>
      </c>
      <c r="C813" s="1" t="s">
        <v>128</v>
      </c>
      <c r="D813" s="4">
        <v>7.0</v>
      </c>
      <c r="E813" s="4">
        <v>10.0</v>
      </c>
      <c r="F813" s="4">
        <v>3.0</v>
      </c>
      <c r="G813" s="4">
        <v>6.0</v>
      </c>
      <c r="H813" s="4">
        <v>1.0</v>
      </c>
      <c r="I813" s="4">
        <v>19.0</v>
      </c>
      <c r="J813" s="4">
        <v>37.0</v>
      </c>
      <c r="K813" s="4">
        <v>-18.0</v>
      </c>
      <c r="L813" s="2" t="s">
        <v>226</v>
      </c>
      <c r="M813" s="5">
        <f>IFERROR(__xludf.DUMMYFUNCTION("""COMPUTED_VALUE"""),8.0)</f>
        <v>8</v>
      </c>
      <c r="N813" s="5">
        <f>IFERROR(__xludf.DUMMYFUNCTION("""COMPUTED_VALUE"""),14.0)</f>
        <v>14</v>
      </c>
      <c r="O813" s="5">
        <f>IFERROR(__xludf.DUMMYFUNCTION("""COMPUTED_VALUE"""),2002.0)</f>
        <v>2002</v>
      </c>
    </row>
    <row r="814">
      <c r="A814" s="1" t="s">
        <v>401</v>
      </c>
      <c r="B814" s="4">
        <v>57.0</v>
      </c>
      <c r="C814" s="1" t="s">
        <v>92</v>
      </c>
      <c r="D814" s="4">
        <v>7.0</v>
      </c>
      <c r="E814" s="4">
        <v>10.0</v>
      </c>
      <c r="F814" s="4">
        <v>3.0</v>
      </c>
      <c r="G814" s="4">
        <v>6.0</v>
      </c>
      <c r="H814" s="4">
        <v>1.0</v>
      </c>
      <c r="I814" s="4">
        <v>24.0</v>
      </c>
      <c r="J814" s="4">
        <v>47.0</v>
      </c>
      <c r="K814" s="4">
        <v>-23.0</v>
      </c>
      <c r="L814" s="2" t="s">
        <v>82</v>
      </c>
      <c r="M814" s="5">
        <f>IFERROR(__xludf.DUMMYFUNCTION("""COMPUTED_VALUE"""),11.0)</f>
        <v>11</v>
      </c>
      <c r="N814" s="5">
        <f>IFERROR(__xludf.DUMMYFUNCTION("""COMPUTED_VALUE"""),12.0)</f>
        <v>12</v>
      </c>
      <c r="O814" s="5">
        <f>IFERROR(__xludf.DUMMYFUNCTION("""COMPUTED_VALUE"""),2001.0)</f>
        <v>2001</v>
      </c>
    </row>
    <row r="815">
      <c r="A815" s="1" t="s">
        <v>401</v>
      </c>
      <c r="B815" s="4">
        <v>58.0</v>
      </c>
      <c r="C815" s="1" t="s">
        <v>156</v>
      </c>
      <c r="D815" s="4">
        <v>7.0</v>
      </c>
      <c r="E815" s="4">
        <v>14.0</v>
      </c>
      <c r="F815" s="4">
        <v>3.0</v>
      </c>
      <c r="G815" s="4">
        <v>10.0</v>
      </c>
      <c r="H815" s="4">
        <v>1.0</v>
      </c>
      <c r="I815" s="4">
        <v>38.0</v>
      </c>
      <c r="J815" s="4">
        <v>66.0</v>
      </c>
      <c r="K815" s="4">
        <v>-28.0</v>
      </c>
      <c r="L815" s="2" t="s">
        <v>245</v>
      </c>
      <c r="M815" s="5">
        <f>IFERROR(__xludf.DUMMYFUNCTION("""COMPUTED_VALUE"""),8.0)</f>
        <v>8</v>
      </c>
      <c r="N815" s="5">
        <f>IFERROR(__xludf.DUMMYFUNCTION("""COMPUTED_VALUE"""),12.0)</f>
        <v>12</v>
      </c>
      <c r="O815" s="5">
        <f>IFERROR(__xludf.DUMMYFUNCTION("""COMPUTED_VALUE"""),2001.0)</f>
        <v>2001</v>
      </c>
    </row>
    <row r="816">
      <c r="A816" s="1" t="s">
        <v>401</v>
      </c>
      <c r="B816" s="4">
        <v>59.0</v>
      </c>
      <c r="C816" s="1" t="s">
        <v>83</v>
      </c>
      <c r="D816" s="4">
        <v>6.0</v>
      </c>
      <c r="E816" s="4">
        <v>4.0</v>
      </c>
      <c r="F816" s="4">
        <v>3.0</v>
      </c>
      <c r="G816" s="4">
        <v>1.0</v>
      </c>
      <c r="H816" s="4">
        <v>0.0</v>
      </c>
      <c r="I816" s="4">
        <v>20.0</v>
      </c>
      <c r="J816" s="4">
        <v>7.0</v>
      </c>
      <c r="K816" s="4">
        <v>13.0</v>
      </c>
      <c r="L816" s="2" t="s">
        <v>407</v>
      </c>
      <c r="M816" s="5">
        <f>IFERROR(__xludf.DUMMYFUNCTION("""COMPUTED_VALUE"""),11.0)</f>
        <v>11</v>
      </c>
      <c r="N816" s="5">
        <f>IFERROR(__xludf.DUMMYFUNCTION("""COMPUTED_VALUE"""),8.0)</f>
        <v>8</v>
      </c>
      <c r="O816" s="5">
        <f>IFERROR(__xludf.DUMMYFUNCTION("""COMPUTED_VALUE"""),2002.0)</f>
        <v>2002</v>
      </c>
    </row>
    <row r="817">
      <c r="A817" s="1" t="s">
        <v>401</v>
      </c>
      <c r="B817" s="4">
        <v>60.0</v>
      </c>
      <c r="C817" s="1" t="s">
        <v>368</v>
      </c>
      <c r="D817" s="4">
        <v>6.0</v>
      </c>
      <c r="E817" s="4">
        <v>8.0</v>
      </c>
      <c r="F817" s="4">
        <v>3.0</v>
      </c>
      <c r="G817" s="4">
        <v>5.0</v>
      </c>
      <c r="H817" s="4">
        <v>0.0</v>
      </c>
      <c r="I817" s="4">
        <v>35.0</v>
      </c>
      <c r="J817" s="4">
        <v>33.0</v>
      </c>
      <c r="K817" s="4">
        <v>2.0</v>
      </c>
      <c r="L817" s="2" t="s">
        <v>388</v>
      </c>
      <c r="M817" s="5">
        <f>IFERROR(__xludf.DUMMYFUNCTION("""COMPUTED_VALUE"""),8.0)</f>
        <v>8</v>
      </c>
      <c r="N817" s="5">
        <f>IFERROR(__xludf.DUMMYFUNCTION("""COMPUTED_VALUE"""),12.0)</f>
        <v>12</v>
      </c>
      <c r="O817" s="5">
        <f>IFERROR(__xludf.DUMMYFUNCTION("""COMPUTED_VALUE"""),2000.0)</f>
        <v>2000</v>
      </c>
    </row>
    <row r="818">
      <c r="A818" s="1" t="s">
        <v>401</v>
      </c>
      <c r="B818" s="4">
        <v>61.0</v>
      </c>
      <c r="C818" s="1" t="s">
        <v>108</v>
      </c>
      <c r="D818" s="4">
        <v>6.0</v>
      </c>
      <c r="E818" s="4">
        <v>7.0</v>
      </c>
      <c r="F818" s="4">
        <v>3.0</v>
      </c>
      <c r="G818" s="4">
        <v>4.0</v>
      </c>
      <c r="H818" s="4">
        <v>0.0</v>
      </c>
      <c r="I818" s="4">
        <v>29.0</v>
      </c>
      <c r="J818" s="4">
        <v>30.0</v>
      </c>
      <c r="K818" s="4">
        <v>-1.0</v>
      </c>
      <c r="L818" s="2" t="s">
        <v>408</v>
      </c>
      <c r="M818" s="5">
        <f>IFERROR(__xludf.DUMMYFUNCTION("""COMPUTED_VALUE"""),13.0)</f>
        <v>13</v>
      </c>
      <c r="N818" s="5">
        <f>IFERROR(__xludf.DUMMYFUNCTION("""COMPUTED_VALUE"""),6.0)</f>
        <v>6</v>
      </c>
      <c r="O818" s="5">
        <f>IFERROR(__xludf.DUMMYFUNCTION("""COMPUTED_VALUE"""),1.0)</f>
        <v>1</v>
      </c>
    </row>
    <row r="819">
      <c r="A819" s="1" t="s">
        <v>401</v>
      </c>
      <c r="B819" s="4">
        <v>62.0</v>
      </c>
      <c r="C819" s="1" t="s">
        <v>61</v>
      </c>
      <c r="D819" s="4">
        <v>6.0</v>
      </c>
      <c r="E819" s="4">
        <v>10.0</v>
      </c>
      <c r="F819" s="4">
        <v>3.0</v>
      </c>
      <c r="G819" s="4">
        <v>7.0</v>
      </c>
      <c r="H819" s="4">
        <v>0.0</v>
      </c>
      <c r="I819" s="4">
        <v>26.0</v>
      </c>
      <c r="J819" s="4">
        <v>41.0</v>
      </c>
      <c r="K819" s="4">
        <v>-15.0</v>
      </c>
      <c r="L819" s="2" t="s">
        <v>157</v>
      </c>
      <c r="M819" s="5">
        <f>IFERROR(__xludf.DUMMYFUNCTION("""COMPUTED_VALUE"""),3.0)</f>
        <v>3</v>
      </c>
      <c r="N819" s="5">
        <f>IFERROR(__xludf.DUMMYFUNCTION("""COMPUTED_VALUE"""),21.0)</f>
        <v>21</v>
      </c>
      <c r="O819" s="5">
        <f>IFERROR(__xludf.DUMMYFUNCTION("""COMPUTED_VALUE"""),2000.0)</f>
        <v>2000</v>
      </c>
    </row>
    <row r="820">
      <c r="A820" s="1" t="s">
        <v>401</v>
      </c>
      <c r="B820" s="4">
        <v>63.0</v>
      </c>
      <c r="C820" s="1" t="s">
        <v>123</v>
      </c>
      <c r="D820" s="4">
        <v>6.0</v>
      </c>
      <c r="E820" s="4">
        <v>12.0</v>
      </c>
      <c r="F820" s="4">
        <v>3.0</v>
      </c>
      <c r="G820" s="4">
        <v>9.0</v>
      </c>
      <c r="H820" s="4">
        <v>0.0</v>
      </c>
      <c r="I820" s="4">
        <v>19.0</v>
      </c>
      <c r="J820" s="4">
        <v>37.0</v>
      </c>
      <c r="K820" s="4">
        <v>-18.0</v>
      </c>
      <c r="L820" s="2" t="s">
        <v>352</v>
      </c>
      <c r="M820" s="5">
        <f>IFERROR(__xludf.DUMMYFUNCTION("""COMPUTED_VALUE"""),10.0)</f>
        <v>10</v>
      </c>
      <c r="N820" s="5">
        <f>IFERROR(__xludf.DUMMYFUNCTION("""COMPUTED_VALUE"""),11.0)</f>
        <v>11</v>
      </c>
      <c r="O820" s="5">
        <f>IFERROR(__xludf.DUMMYFUNCTION("""COMPUTED_VALUE"""),2000.0)</f>
        <v>2000</v>
      </c>
    </row>
    <row r="821">
      <c r="A821" s="1" t="s">
        <v>401</v>
      </c>
      <c r="B821" s="4">
        <v>64.0</v>
      </c>
      <c r="C821" s="1" t="s">
        <v>137</v>
      </c>
      <c r="D821" s="4">
        <v>6.0</v>
      </c>
      <c r="E821" s="4">
        <v>10.0</v>
      </c>
      <c r="F821" s="4">
        <v>3.0</v>
      </c>
      <c r="G821" s="4">
        <v>7.0</v>
      </c>
      <c r="H821" s="4">
        <v>0.0</v>
      </c>
      <c r="I821" s="4">
        <v>30.0</v>
      </c>
      <c r="J821" s="4">
        <v>75.0</v>
      </c>
      <c r="K821" s="4">
        <v>-45.0</v>
      </c>
      <c r="L821" s="2" t="s">
        <v>349</v>
      </c>
      <c r="M821" s="5">
        <f>IFERROR(__xludf.DUMMYFUNCTION("""COMPUTED_VALUE"""),10.0)</f>
        <v>10</v>
      </c>
      <c r="N821" s="5">
        <f>IFERROR(__xludf.DUMMYFUNCTION("""COMPUTED_VALUE"""),12.0)</f>
        <v>12</v>
      </c>
      <c r="O821" s="5">
        <f>IFERROR(__xludf.DUMMYFUNCTION("""COMPUTED_VALUE"""),2000.0)</f>
        <v>2000</v>
      </c>
    </row>
    <row r="822">
      <c r="A822" s="1" t="s">
        <v>401</v>
      </c>
      <c r="B822" s="4">
        <v>65.0</v>
      </c>
      <c r="C822" s="1" t="s">
        <v>29</v>
      </c>
      <c r="D822" s="4">
        <v>6.0</v>
      </c>
      <c r="E822" s="4">
        <v>14.0</v>
      </c>
      <c r="F822" s="4">
        <v>3.0</v>
      </c>
      <c r="G822" s="4">
        <v>11.0</v>
      </c>
      <c r="H822" s="4">
        <v>0.0</v>
      </c>
      <c r="I822" s="4">
        <v>29.0</v>
      </c>
      <c r="J822" s="4">
        <v>77.0</v>
      </c>
      <c r="K822" s="4">
        <v>-48.0</v>
      </c>
      <c r="L822" s="2" t="s">
        <v>409</v>
      </c>
      <c r="M822" s="5">
        <f>IFERROR(__xludf.DUMMYFUNCTION("""COMPUTED_VALUE"""),5.0)</f>
        <v>5</v>
      </c>
      <c r="N822" s="5">
        <f>IFERROR(__xludf.DUMMYFUNCTION("""COMPUTED_VALUE"""),13.0)</f>
        <v>13</v>
      </c>
      <c r="O822" s="5">
        <f>IFERROR(__xludf.DUMMYFUNCTION("""COMPUTED_VALUE"""),2001.0)</f>
        <v>2001</v>
      </c>
    </row>
    <row r="823">
      <c r="A823" s="1" t="s">
        <v>401</v>
      </c>
      <c r="B823" s="4">
        <v>66.0</v>
      </c>
      <c r="C823" s="1" t="s">
        <v>110</v>
      </c>
      <c r="D823" s="4">
        <v>4.0</v>
      </c>
      <c r="E823" s="4">
        <v>2.0</v>
      </c>
      <c r="F823" s="4">
        <v>2.0</v>
      </c>
      <c r="G823" s="4">
        <v>0.0</v>
      </c>
      <c r="H823" s="4">
        <v>0.0</v>
      </c>
      <c r="I823" s="4">
        <v>13.0</v>
      </c>
      <c r="J823" s="4">
        <v>3.0</v>
      </c>
      <c r="K823" s="4">
        <v>10.0</v>
      </c>
      <c r="L823" s="2" t="s">
        <v>221</v>
      </c>
      <c r="M823" s="5">
        <f>IFERROR(__xludf.DUMMYFUNCTION("""COMPUTED_VALUE"""),14.0)</f>
        <v>14</v>
      </c>
      <c r="N823" s="5">
        <f>IFERROR(__xludf.DUMMYFUNCTION("""COMPUTED_VALUE"""),8.0)</f>
        <v>8</v>
      </c>
      <c r="O823" s="5">
        <f>IFERROR(__xludf.DUMMYFUNCTION("""COMPUTED_VALUE"""),0.0)</f>
        <v>0</v>
      </c>
    </row>
    <row r="824">
      <c r="A824" s="1" t="s">
        <v>401</v>
      </c>
      <c r="B824" s="4">
        <v>67.0</v>
      </c>
      <c r="C824" s="1" t="s">
        <v>103</v>
      </c>
      <c r="D824" s="4">
        <v>4.0</v>
      </c>
      <c r="E824" s="4">
        <v>7.0</v>
      </c>
      <c r="F824" s="4">
        <v>2.0</v>
      </c>
      <c r="G824" s="4">
        <v>5.0</v>
      </c>
      <c r="H824" s="4">
        <v>0.0</v>
      </c>
      <c r="I824" s="4">
        <v>23.0</v>
      </c>
      <c r="J824" s="4">
        <v>20.0</v>
      </c>
      <c r="K824" s="4">
        <v>3.0</v>
      </c>
      <c r="L824" s="2" t="s">
        <v>410</v>
      </c>
      <c r="M824" s="5">
        <f>IFERROR(__xludf.DUMMYFUNCTION("""COMPUTED_VALUE"""),13.0)</f>
        <v>13</v>
      </c>
      <c r="N824" s="5">
        <f>IFERROR(__xludf.DUMMYFUNCTION("""COMPUTED_VALUE"""),9.0)</f>
        <v>9</v>
      </c>
      <c r="O824" s="5">
        <f>IFERROR(__xludf.DUMMYFUNCTION("""COMPUTED_VALUE"""),0.0)</f>
        <v>0</v>
      </c>
    </row>
    <row r="825">
      <c r="A825" s="1" t="s">
        <v>401</v>
      </c>
      <c r="B825" s="4">
        <v>68.0</v>
      </c>
      <c r="C825" s="1" t="s">
        <v>152</v>
      </c>
      <c r="D825" s="4">
        <v>4.0</v>
      </c>
      <c r="E825" s="4">
        <v>7.0</v>
      </c>
      <c r="F825" s="4">
        <v>2.0</v>
      </c>
      <c r="G825" s="4">
        <v>5.0</v>
      </c>
      <c r="H825" s="4">
        <v>0.0</v>
      </c>
      <c r="I825" s="4">
        <v>31.0</v>
      </c>
      <c r="J825" s="4">
        <v>33.0</v>
      </c>
      <c r="K825" s="4">
        <v>-2.0</v>
      </c>
      <c r="L825" s="2" t="s">
        <v>328</v>
      </c>
      <c r="M825" s="5">
        <f>IFERROR(__xludf.DUMMYFUNCTION("""COMPUTED_VALUE"""),8.0)</f>
        <v>8</v>
      </c>
      <c r="N825" s="5">
        <f>IFERROR(__xludf.DUMMYFUNCTION("""COMPUTED_VALUE"""),14.0)</f>
        <v>14</v>
      </c>
      <c r="O825" s="5">
        <f>IFERROR(__xludf.DUMMYFUNCTION("""COMPUTED_VALUE"""),2001.0)</f>
        <v>2001</v>
      </c>
    </row>
    <row r="826">
      <c r="A826" s="1" t="s">
        <v>401</v>
      </c>
      <c r="B826" s="4">
        <v>69.0</v>
      </c>
      <c r="C826" s="1" t="s">
        <v>31</v>
      </c>
      <c r="D826" s="4">
        <v>4.0</v>
      </c>
      <c r="E826" s="4">
        <v>7.0</v>
      </c>
      <c r="F826" s="4">
        <v>2.0</v>
      </c>
      <c r="G826" s="4">
        <v>5.0</v>
      </c>
      <c r="H826" s="4">
        <v>0.0</v>
      </c>
      <c r="I826" s="4">
        <v>8.0</v>
      </c>
      <c r="J826" s="4">
        <v>19.0</v>
      </c>
      <c r="K826" s="4">
        <v>-11.0</v>
      </c>
      <c r="L826" s="2" t="s">
        <v>411</v>
      </c>
      <c r="M826" s="5">
        <f>IFERROR(__xludf.DUMMYFUNCTION("""COMPUTED_VALUE"""),12.0)</f>
        <v>12</v>
      </c>
      <c r="N826" s="5">
        <f>IFERROR(__xludf.DUMMYFUNCTION("""COMPUTED_VALUE"""),9.0)</f>
        <v>9</v>
      </c>
      <c r="O826" s="5">
        <f>IFERROR(__xludf.DUMMYFUNCTION("""COMPUTED_VALUE"""),2002.0)</f>
        <v>2002</v>
      </c>
    </row>
    <row r="827">
      <c r="A827" s="1" t="s">
        <v>401</v>
      </c>
      <c r="B827" s="4">
        <v>70.0</v>
      </c>
      <c r="C827" s="1" t="s">
        <v>56</v>
      </c>
      <c r="D827" s="4">
        <v>4.0</v>
      </c>
      <c r="E827" s="4">
        <v>8.0</v>
      </c>
      <c r="F827" s="4">
        <v>2.0</v>
      </c>
      <c r="G827" s="4">
        <v>6.0</v>
      </c>
      <c r="H827" s="4">
        <v>0.0</v>
      </c>
      <c r="I827" s="4">
        <v>36.0</v>
      </c>
      <c r="J827" s="4">
        <v>48.0</v>
      </c>
      <c r="K827" s="4">
        <v>-12.0</v>
      </c>
      <c r="L827" s="2" t="s">
        <v>136</v>
      </c>
      <c r="M827" s="5">
        <f>IFERROR(__xludf.DUMMYFUNCTION("""COMPUTED_VALUE"""),4.0)</f>
        <v>4</v>
      </c>
      <c r="N827" s="5">
        <f>IFERROR(__xludf.DUMMYFUNCTION("""COMPUTED_VALUE"""),20.0)</f>
        <v>20</v>
      </c>
      <c r="O827" s="5">
        <f>IFERROR(__xludf.DUMMYFUNCTION("""COMPUTED_VALUE"""),2000.0)</f>
        <v>2000</v>
      </c>
    </row>
    <row r="828">
      <c r="A828" s="1" t="s">
        <v>401</v>
      </c>
      <c r="B828" s="4">
        <v>71.0</v>
      </c>
      <c r="C828" s="1" t="s">
        <v>377</v>
      </c>
      <c r="D828" s="4">
        <v>4.0</v>
      </c>
      <c r="E828" s="4">
        <v>8.0</v>
      </c>
      <c r="F828" s="4">
        <v>2.0</v>
      </c>
      <c r="G828" s="4">
        <v>6.0</v>
      </c>
      <c r="H828" s="4">
        <v>0.0</v>
      </c>
      <c r="I828" s="4">
        <v>21.0</v>
      </c>
      <c r="J828" s="4">
        <v>37.0</v>
      </c>
      <c r="K828" s="4">
        <v>-16.0</v>
      </c>
      <c r="L828" s="2" t="s">
        <v>336</v>
      </c>
      <c r="M828" s="5">
        <f>IFERROR(__xludf.DUMMYFUNCTION("""COMPUTED_VALUE"""),5.0)</f>
        <v>5</v>
      </c>
      <c r="N828" s="5">
        <f>IFERROR(__xludf.DUMMYFUNCTION("""COMPUTED_VALUE"""),17.0)</f>
        <v>17</v>
      </c>
      <c r="O828" s="5">
        <f>IFERROR(__xludf.DUMMYFUNCTION("""COMPUTED_VALUE"""),2001.0)</f>
        <v>2001</v>
      </c>
    </row>
    <row r="829">
      <c r="A829" s="1" t="s">
        <v>401</v>
      </c>
      <c r="B829" s="4">
        <v>72.0</v>
      </c>
      <c r="C829" s="1" t="s">
        <v>77</v>
      </c>
      <c r="D829" s="4">
        <v>4.0</v>
      </c>
      <c r="E829" s="4">
        <v>10.0</v>
      </c>
      <c r="F829" s="4">
        <v>2.0</v>
      </c>
      <c r="G829" s="4">
        <v>8.0</v>
      </c>
      <c r="H829" s="4">
        <v>0.0</v>
      </c>
      <c r="I829" s="4">
        <v>23.0</v>
      </c>
      <c r="J829" s="4">
        <v>57.0</v>
      </c>
      <c r="K829" s="4">
        <v>-34.0</v>
      </c>
      <c r="L829" s="2" t="s">
        <v>412</v>
      </c>
      <c r="M829" s="5">
        <f>IFERROR(__xludf.DUMMYFUNCTION("""COMPUTED_VALUE"""),6.0)</f>
        <v>6</v>
      </c>
      <c r="N829" s="5">
        <f>IFERROR(__xludf.DUMMYFUNCTION("""COMPUTED_VALUE"""),14.0)</f>
        <v>14</v>
      </c>
      <c r="O829" s="5">
        <f>IFERROR(__xludf.DUMMYFUNCTION("""COMPUTED_VALUE"""),2001.0)</f>
        <v>2001</v>
      </c>
    </row>
    <row r="830">
      <c r="A830" s="1" t="s">
        <v>401</v>
      </c>
      <c r="B830" s="4">
        <v>73.0</v>
      </c>
      <c r="C830" s="1" t="s">
        <v>413</v>
      </c>
      <c r="D830" s="4">
        <v>4.0</v>
      </c>
      <c r="E830" s="4">
        <v>8.0</v>
      </c>
      <c r="F830" s="4">
        <v>2.0</v>
      </c>
      <c r="G830" s="4">
        <v>6.0</v>
      </c>
      <c r="H830" s="4">
        <v>0.0</v>
      </c>
      <c r="I830" s="4">
        <v>14.0</v>
      </c>
      <c r="J830" s="4">
        <v>56.0</v>
      </c>
      <c r="K830" s="4">
        <v>-42.0</v>
      </c>
      <c r="L830" s="2" t="s">
        <v>414</v>
      </c>
      <c r="M830" s="5">
        <f>IFERROR(__xludf.DUMMYFUNCTION("""COMPUTED_VALUE"""),2.0)</f>
        <v>2</v>
      </c>
      <c r="N830" s="5">
        <f>IFERROR(__xludf.DUMMYFUNCTION("""COMPUTED_VALUE"""),20.0)</f>
        <v>20</v>
      </c>
      <c r="O830" s="5">
        <f>IFERROR(__xludf.DUMMYFUNCTION("""COMPUTED_VALUE"""),2000.0)</f>
        <v>2000</v>
      </c>
    </row>
    <row r="831">
      <c r="A831" s="1" t="s">
        <v>401</v>
      </c>
      <c r="B831" s="4">
        <v>74.0</v>
      </c>
      <c r="C831" s="1" t="s">
        <v>158</v>
      </c>
      <c r="D831" s="4">
        <v>4.0</v>
      </c>
      <c r="E831" s="4">
        <v>12.0</v>
      </c>
      <c r="F831" s="4">
        <v>2.0</v>
      </c>
      <c r="G831" s="4">
        <v>10.0</v>
      </c>
      <c r="H831" s="4">
        <v>0.0</v>
      </c>
      <c r="I831" s="4">
        <v>15.0</v>
      </c>
      <c r="J831" s="4">
        <v>64.0</v>
      </c>
      <c r="K831" s="4">
        <v>-49.0</v>
      </c>
      <c r="L831" s="2" t="s">
        <v>200</v>
      </c>
      <c r="M831" s="5">
        <f>IFERROR(__xludf.DUMMYFUNCTION("""COMPUTED_VALUE"""),6.0)</f>
        <v>6</v>
      </c>
      <c r="N831" s="5">
        <f>IFERROR(__xludf.DUMMYFUNCTION("""COMPUTED_VALUE"""),16.0)</f>
        <v>16</v>
      </c>
      <c r="O831" s="5">
        <f>IFERROR(__xludf.DUMMYFUNCTION("""COMPUTED_VALUE"""),2001.0)</f>
        <v>2001</v>
      </c>
    </row>
    <row r="832">
      <c r="A832" s="1" t="s">
        <v>401</v>
      </c>
      <c r="B832" s="4">
        <v>75.0</v>
      </c>
      <c r="C832" s="1" t="s">
        <v>371</v>
      </c>
      <c r="D832" s="4">
        <v>4.0</v>
      </c>
      <c r="E832" s="4">
        <v>8.0</v>
      </c>
      <c r="F832" s="4">
        <v>2.0</v>
      </c>
      <c r="G832" s="4">
        <v>6.0</v>
      </c>
      <c r="H832" s="4">
        <v>0.0</v>
      </c>
      <c r="I832" s="4">
        <v>20.0</v>
      </c>
      <c r="J832" s="4">
        <v>73.0</v>
      </c>
      <c r="K832" s="4">
        <v>-53.0</v>
      </c>
      <c r="L832" s="2" t="s">
        <v>153</v>
      </c>
      <c r="M832" s="5">
        <f>IFERROR(__xludf.DUMMYFUNCTION("""COMPUTED_VALUE"""),5.0)</f>
        <v>5</v>
      </c>
      <c r="N832" s="5">
        <f>IFERROR(__xludf.DUMMYFUNCTION("""COMPUTED_VALUE"""),18.0)</f>
        <v>18</v>
      </c>
      <c r="O832" s="5">
        <f>IFERROR(__xludf.DUMMYFUNCTION("""COMPUTED_VALUE"""),2000.0)</f>
        <v>2000</v>
      </c>
    </row>
    <row r="833">
      <c r="A833" s="1" t="s">
        <v>401</v>
      </c>
      <c r="B833" s="4">
        <v>76.0</v>
      </c>
      <c r="C833" s="1" t="s">
        <v>140</v>
      </c>
      <c r="D833" s="4">
        <v>4.0</v>
      </c>
      <c r="E833" s="4">
        <v>12.0</v>
      </c>
      <c r="F833" s="4">
        <v>2.0</v>
      </c>
      <c r="G833" s="4">
        <v>10.0</v>
      </c>
      <c r="H833" s="4">
        <v>0.0</v>
      </c>
      <c r="I833" s="4">
        <v>23.0</v>
      </c>
      <c r="J833" s="4">
        <v>88.0</v>
      </c>
      <c r="K833" s="4">
        <v>-65.0</v>
      </c>
      <c r="L833" s="2" t="s">
        <v>336</v>
      </c>
      <c r="M833" s="5">
        <f>IFERROR(__xludf.DUMMYFUNCTION("""COMPUTED_VALUE"""),5.0)</f>
        <v>5</v>
      </c>
      <c r="N833" s="5">
        <f>IFERROR(__xludf.DUMMYFUNCTION("""COMPUTED_VALUE"""),17.0)</f>
        <v>17</v>
      </c>
      <c r="O833" s="5">
        <f>IFERROR(__xludf.DUMMYFUNCTION("""COMPUTED_VALUE"""),2001.0)</f>
        <v>2001</v>
      </c>
    </row>
    <row r="834">
      <c r="A834" s="1" t="s">
        <v>401</v>
      </c>
      <c r="B834" s="4">
        <v>77.0</v>
      </c>
      <c r="C834" s="1" t="s">
        <v>142</v>
      </c>
      <c r="D834" s="4">
        <v>3.0</v>
      </c>
      <c r="E834" s="4">
        <v>6.0</v>
      </c>
      <c r="F834" s="4">
        <v>1.0</v>
      </c>
      <c r="G834" s="4">
        <v>4.0</v>
      </c>
      <c r="H834" s="4">
        <v>1.0</v>
      </c>
      <c r="I834" s="4">
        <v>11.0</v>
      </c>
      <c r="J834" s="4">
        <v>21.0</v>
      </c>
      <c r="K834" s="4">
        <v>-10.0</v>
      </c>
      <c r="L834" s="2" t="s">
        <v>415</v>
      </c>
      <c r="M834" s="5">
        <f>IFERROR(__xludf.DUMMYFUNCTION("""COMPUTED_VALUE"""),3.0)</f>
        <v>3</v>
      </c>
      <c r="N834" s="5">
        <f>IFERROR(__xludf.DUMMYFUNCTION("""COMPUTED_VALUE"""),15.0)</f>
        <v>15</v>
      </c>
      <c r="O834" s="5">
        <f>IFERROR(__xludf.DUMMYFUNCTION("""COMPUTED_VALUE"""),2001.0)</f>
        <v>2001</v>
      </c>
    </row>
    <row r="835">
      <c r="A835" s="1" t="s">
        <v>401</v>
      </c>
      <c r="B835" s="4">
        <v>78.0</v>
      </c>
      <c r="C835" s="1" t="s">
        <v>69</v>
      </c>
      <c r="D835" s="4">
        <v>2.0</v>
      </c>
      <c r="E835" s="4">
        <v>7.0</v>
      </c>
      <c r="F835" s="4">
        <v>1.0</v>
      </c>
      <c r="G835" s="4">
        <v>6.0</v>
      </c>
      <c r="H835" s="4">
        <v>0.0</v>
      </c>
      <c r="I835" s="4">
        <v>7.0</v>
      </c>
      <c r="J835" s="4">
        <v>24.0</v>
      </c>
      <c r="K835" s="4">
        <v>-17.0</v>
      </c>
      <c r="L835" s="2" t="s">
        <v>80</v>
      </c>
      <c r="M835" s="5">
        <f>IFERROR(__xludf.DUMMYFUNCTION("""COMPUTED_VALUE"""),12.0)</f>
        <v>12</v>
      </c>
      <c r="N835" s="5">
        <f>IFERROR(__xludf.DUMMYFUNCTION("""COMPUTED_VALUE"""),12.0)</f>
        <v>12</v>
      </c>
      <c r="O835" s="5">
        <f>IFERROR(__xludf.DUMMYFUNCTION("""COMPUTED_VALUE"""),2000.0)</f>
        <v>2000</v>
      </c>
    </row>
    <row r="836">
      <c r="A836" s="1" t="s">
        <v>401</v>
      </c>
      <c r="B836" s="4">
        <v>79.0</v>
      </c>
      <c r="C836" s="1" t="s">
        <v>52</v>
      </c>
      <c r="D836" s="4">
        <v>2.0</v>
      </c>
      <c r="E836" s="4">
        <v>12.0</v>
      </c>
      <c r="F836" s="4">
        <v>1.0</v>
      </c>
      <c r="G836" s="4">
        <v>11.0</v>
      </c>
      <c r="H836" s="4">
        <v>0.0</v>
      </c>
      <c r="I836" s="4">
        <v>15.0</v>
      </c>
      <c r="J836" s="4">
        <v>45.0</v>
      </c>
      <c r="K836" s="4">
        <v>-30.0</v>
      </c>
      <c r="L836" s="2" t="s">
        <v>198</v>
      </c>
      <c r="M836" s="5">
        <f>IFERROR(__xludf.DUMMYFUNCTION("""COMPUTED_VALUE"""),5.0)</f>
        <v>5</v>
      </c>
      <c r="N836" s="5">
        <f>IFERROR(__xludf.DUMMYFUNCTION("""COMPUTED_VALUE"""),15.0)</f>
        <v>15</v>
      </c>
      <c r="O836" s="5">
        <f>IFERROR(__xludf.DUMMYFUNCTION("""COMPUTED_VALUE"""),2001.0)</f>
        <v>2001</v>
      </c>
    </row>
    <row r="837">
      <c r="A837" s="1" t="s">
        <v>401</v>
      </c>
      <c r="B837" s="4">
        <v>80.0</v>
      </c>
      <c r="C837" s="1" t="s">
        <v>398</v>
      </c>
      <c r="D837" s="4">
        <v>1.0</v>
      </c>
      <c r="E837" s="4">
        <v>10.0</v>
      </c>
      <c r="F837" s="4">
        <v>0.0</v>
      </c>
      <c r="G837" s="4">
        <v>9.0</v>
      </c>
      <c r="H837" s="4">
        <v>1.0</v>
      </c>
      <c r="I837" s="4">
        <v>11.0</v>
      </c>
      <c r="J837" s="4">
        <v>73.0</v>
      </c>
      <c r="K837" s="4">
        <v>-62.0</v>
      </c>
      <c r="L837" s="2" t="s">
        <v>332</v>
      </c>
      <c r="M837" s="5">
        <f>IFERROR(__xludf.DUMMYFUNCTION("""COMPUTED_VALUE"""),4.0)</f>
        <v>4</v>
      </c>
      <c r="N837" s="5">
        <f>IFERROR(__xludf.DUMMYFUNCTION("""COMPUTED_VALUE"""),17.0)</f>
        <v>17</v>
      </c>
      <c r="O837" s="5">
        <f>IFERROR(__xludf.DUMMYFUNCTION("""COMPUTED_VALUE"""),2001.0)</f>
        <v>2001</v>
      </c>
    </row>
    <row r="838">
      <c r="A838" s="1" t="s">
        <v>401</v>
      </c>
      <c r="B838" s="4">
        <v>81.0</v>
      </c>
      <c r="C838" s="1" t="s">
        <v>416</v>
      </c>
      <c r="D838" s="4">
        <v>0.0</v>
      </c>
      <c r="E838" s="4">
        <v>0.0</v>
      </c>
      <c r="F838" s="4">
        <v>0.0</v>
      </c>
      <c r="G838" s="4">
        <v>0.0</v>
      </c>
      <c r="H838" s="4">
        <v>0.0</v>
      </c>
      <c r="I838" s="4">
        <v>0.0</v>
      </c>
      <c r="J838" s="4">
        <v>0.0</v>
      </c>
      <c r="K838" s="4">
        <v>0.0</v>
      </c>
      <c r="L838" s="2" t="s">
        <v>285</v>
      </c>
      <c r="M838" s="5">
        <f>IFERROR(__xludf.DUMMYFUNCTION("""COMPUTED_VALUE"""),0.0)</f>
        <v>0</v>
      </c>
      <c r="N838" s="5">
        <f>IFERROR(__xludf.DUMMYFUNCTION("""COMPUTED_VALUE"""),0.0)</f>
        <v>0</v>
      </c>
      <c r="O838" s="5">
        <f>IFERROR(__xludf.DUMMYFUNCTION("""COMPUTED_VALUE"""),0.0)</f>
        <v>0</v>
      </c>
    </row>
    <row r="839">
      <c r="A839" s="1" t="s">
        <v>401</v>
      </c>
      <c r="B839" s="4">
        <v>82.0</v>
      </c>
      <c r="C839" s="1" t="s">
        <v>112</v>
      </c>
      <c r="D839" s="4">
        <v>0.0</v>
      </c>
      <c r="E839" s="4">
        <v>0.0</v>
      </c>
      <c r="F839" s="4">
        <v>0.0</v>
      </c>
      <c r="G839" s="4">
        <v>0.0</v>
      </c>
      <c r="H839" s="4">
        <v>0.0</v>
      </c>
      <c r="I839" s="4">
        <v>0.0</v>
      </c>
      <c r="J839" s="4">
        <v>0.0</v>
      </c>
      <c r="K839" s="4">
        <v>0.0</v>
      </c>
      <c r="L839" s="2" t="s">
        <v>417</v>
      </c>
      <c r="M839" s="5">
        <f>IFERROR(__xludf.DUMMYFUNCTION("""COMPUTED_VALUE"""),4.0)</f>
        <v>4</v>
      </c>
      <c r="N839" s="5">
        <f>IFERROR(__xludf.DUMMYFUNCTION("""COMPUTED_VALUE"""),8.0)</f>
        <v>8</v>
      </c>
      <c r="O839" s="5">
        <f>IFERROR(__xludf.DUMMYFUNCTION("""COMPUTED_VALUE"""),2002.0)</f>
        <v>2002</v>
      </c>
    </row>
    <row r="840">
      <c r="A840" s="1" t="s">
        <v>401</v>
      </c>
      <c r="B840" s="4">
        <v>83.0</v>
      </c>
      <c r="C840" s="1" t="s">
        <v>418</v>
      </c>
      <c r="D840" s="4">
        <v>0.0</v>
      </c>
      <c r="E840" s="4">
        <v>0.0</v>
      </c>
      <c r="F840" s="4">
        <v>0.0</v>
      </c>
      <c r="G840" s="4">
        <v>0.0</v>
      </c>
      <c r="H840" s="4">
        <v>0.0</v>
      </c>
      <c r="I840" s="4">
        <v>0.0</v>
      </c>
      <c r="J840" s="4">
        <v>0.0</v>
      </c>
      <c r="K840" s="4">
        <v>0.0</v>
      </c>
      <c r="L840" s="2" t="s">
        <v>285</v>
      </c>
      <c r="M840" s="5">
        <f>IFERROR(__xludf.DUMMYFUNCTION("""COMPUTED_VALUE"""),0.0)</f>
        <v>0</v>
      </c>
      <c r="N840" s="5">
        <f>IFERROR(__xludf.DUMMYFUNCTION("""COMPUTED_VALUE"""),0.0)</f>
        <v>0</v>
      </c>
      <c r="O840" s="5">
        <f>IFERROR(__xludf.DUMMYFUNCTION("""COMPUTED_VALUE"""),0.0)</f>
        <v>0</v>
      </c>
    </row>
    <row r="841">
      <c r="A841" s="1" t="s">
        <v>401</v>
      </c>
      <c r="B841" s="4">
        <v>84.0</v>
      </c>
      <c r="C841" s="1" t="s">
        <v>150</v>
      </c>
      <c r="D841" s="4">
        <v>0.0</v>
      </c>
      <c r="E841" s="4">
        <v>5.0</v>
      </c>
      <c r="F841" s="4">
        <v>0.0</v>
      </c>
      <c r="G841" s="4">
        <v>5.0</v>
      </c>
      <c r="H841" s="4">
        <v>0.0</v>
      </c>
      <c r="I841" s="4">
        <v>12.0</v>
      </c>
      <c r="J841" s="4">
        <v>33.0</v>
      </c>
      <c r="K841" s="4">
        <v>-21.0</v>
      </c>
      <c r="L841" s="2" t="s">
        <v>419</v>
      </c>
      <c r="M841" s="5">
        <f>IFERROR(__xludf.DUMMYFUNCTION("""COMPUTED_VALUE"""),4.0)</f>
        <v>4</v>
      </c>
      <c r="N841" s="5">
        <f>IFERROR(__xludf.DUMMYFUNCTION("""COMPUTED_VALUE"""),15.0)</f>
        <v>15</v>
      </c>
      <c r="O841" s="5">
        <f>IFERROR(__xludf.DUMMYFUNCTION("""COMPUTED_VALUE"""),2001.0)</f>
        <v>2001</v>
      </c>
    </row>
    <row r="842">
      <c r="A842" s="1" t="s">
        <v>401</v>
      </c>
      <c r="B842" s="4">
        <v>85.0</v>
      </c>
      <c r="C842" s="1" t="s">
        <v>126</v>
      </c>
      <c r="D842" s="4">
        <v>0.0</v>
      </c>
      <c r="E842" s="4">
        <v>4.0</v>
      </c>
      <c r="F842" s="4">
        <v>0.0</v>
      </c>
      <c r="G842" s="4">
        <v>4.0</v>
      </c>
      <c r="H842" s="4">
        <v>0.0</v>
      </c>
      <c r="I842" s="4">
        <v>5.0</v>
      </c>
      <c r="J842" s="4">
        <v>28.0</v>
      </c>
      <c r="K842" s="4">
        <v>-23.0</v>
      </c>
      <c r="L842" s="2" t="s">
        <v>420</v>
      </c>
      <c r="M842" s="5">
        <f>IFERROR(__xludf.DUMMYFUNCTION("""COMPUTED_VALUE"""),3.0)</f>
        <v>3</v>
      </c>
      <c r="N842" s="5">
        <f>IFERROR(__xludf.DUMMYFUNCTION("""COMPUTED_VALUE"""),12.0)</f>
        <v>12</v>
      </c>
      <c r="O842" s="5">
        <f>IFERROR(__xludf.DUMMYFUNCTION("""COMPUTED_VALUE"""),2001.0)</f>
        <v>2001</v>
      </c>
    </row>
    <row r="843">
      <c r="A843" s="1" t="s">
        <v>401</v>
      </c>
      <c r="B843" s="4">
        <v>86.0</v>
      </c>
      <c r="C843" s="1" t="s">
        <v>99</v>
      </c>
      <c r="D843" s="4">
        <v>0.0</v>
      </c>
      <c r="E843" s="4">
        <v>9.0</v>
      </c>
      <c r="F843" s="4">
        <v>0.0</v>
      </c>
      <c r="G843" s="4">
        <v>9.0</v>
      </c>
      <c r="H843" s="4">
        <v>0.0</v>
      </c>
      <c r="I843" s="4">
        <v>14.0</v>
      </c>
      <c r="J843" s="4">
        <v>51.0</v>
      </c>
      <c r="K843" s="4">
        <v>-37.0</v>
      </c>
      <c r="L843" s="2" t="s">
        <v>192</v>
      </c>
      <c r="M843" s="5">
        <f>IFERROR(__xludf.DUMMYFUNCTION("""COMPUTED_VALUE"""),4.0)</f>
        <v>4</v>
      </c>
      <c r="N843" s="5">
        <f>IFERROR(__xludf.DUMMYFUNCTION("""COMPUTED_VALUE"""),18.0)</f>
        <v>18</v>
      </c>
      <c r="O843" s="5">
        <f>IFERROR(__xludf.DUMMYFUNCTION("""COMPUTED_VALUE"""),2001.0)</f>
        <v>2001</v>
      </c>
    </row>
    <row r="844">
      <c r="A844" s="1" t="s">
        <v>401</v>
      </c>
      <c r="B844" s="4">
        <v>87.0</v>
      </c>
      <c r="C844" s="1" t="s">
        <v>421</v>
      </c>
      <c r="D844" s="4">
        <v>0.0</v>
      </c>
      <c r="E844" s="4">
        <v>8.0</v>
      </c>
      <c r="F844" s="4">
        <v>0.0</v>
      </c>
      <c r="G844" s="4">
        <v>8.0</v>
      </c>
      <c r="H844" s="4">
        <v>0.0</v>
      </c>
      <c r="I844" s="4">
        <v>9.0</v>
      </c>
      <c r="J844" s="4">
        <v>60.0</v>
      </c>
      <c r="K844" s="4">
        <v>-51.0</v>
      </c>
      <c r="L844" s="2" t="s">
        <v>356</v>
      </c>
      <c r="M844" s="5">
        <f>IFERROR(__xludf.DUMMYFUNCTION("""COMPUTED_VALUE"""),4.0)</f>
        <v>4</v>
      </c>
      <c r="N844" s="5">
        <f>IFERROR(__xludf.DUMMYFUNCTION("""COMPUTED_VALUE"""),16.0)</f>
        <v>16</v>
      </c>
      <c r="O844" s="5">
        <f>IFERROR(__xludf.DUMMYFUNCTION("""COMPUTED_VALUE"""),2000.0)</f>
        <v>2000</v>
      </c>
    </row>
    <row r="845">
      <c r="A845" s="1" t="s">
        <v>401</v>
      </c>
      <c r="B845" s="4">
        <v>88.0</v>
      </c>
      <c r="C845" s="1" t="s">
        <v>73</v>
      </c>
      <c r="D845" s="4">
        <v>0.0</v>
      </c>
      <c r="E845" s="4">
        <v>10.0</v>
      </c>
      <c r="F845" s="4">
        <v>0.0</v>
      </c>
      <c r="G845" s="4">
        <v>10.0</v>
      </c>
      <c r="H845" s="4">
        <v>0.0</v>
      </c>
      <c r="I845" s="4">
        <v>9.0</v>
      </c>
      <c r="J845" s="4">
        <v>74.0</v>
      </c>
      <c r="K845" s="4">
        <v>-65.0</v>
      </c>
      <c r="L845" s="2" t="s">
        <v>107</v>
      </c>
      <c r="M845" s="5">
        <f>IFERROR(__xludf.DUMMYFUNCTION("""COMPUTED_VALUE"""),5.0)</f>
        <v>5</v>
      </c>
      <c r="N845" s="5">
        <f>IFERROR(__xludf.DUMMYFUNCTION("""COMPUTED_VALUE"""),19.0)</f>
        <v>19</v>
      </c>
      <c r="O845" s="5">
        <f>IFERROR(__xludf.DUMMYFUNCTION("""COMPUTED_VALUE"""),2000.0)</f>
        <v>2000</v>
      </c>
    </row>
    <row r="846">
      <c r="A846" s="1" t="s">
        <v>401</v>
      </c>
      <c r="B846" s="4">
        <v>89.0</v>
      </c>
      <c r="C846" s="1" t="s">
        <v>39</v>
      </c>
      <c r="D846" s="4">
        <v>0.0</v>
      </c>
      <c r="E846" s="4">
        <v>10.0</v>
      </c>
      <c r="F846" s="4">
        <v>0.0</v>
      </c>
      <c r="G846" s="4">
        <v>10.0</v>
      </c>
      <c r="H846" s="4">
        <v>0.0</v>
      </c>
      <c r="I846" s="4">
        <v>13.0</v>
      </c>
      <c r="J846" s="4">
        <v>100.0</v>
      </c>
      <c r="K846" s="4">
        <v>-87.0</v>
      </c>
      <c r="L846" s="2" t="s">
        <v>422</v>
      </c>
      <c r="M846" s="5">
        <f>IFERROR(__xludf.DUMMYFUNCTION("""COMPUTED_VALUE"""),0.0)</f>
        <v>0</v>
      </c>
      <c r="N846" s="5">
        <f>IFERROR(__xludf.DUMMYFUNCTION("""COMPUTED_VALUE"""),22.0)</f>
        <v>22</v>
      </c>
      <c r="O846" s="5">
        <f>IFERROR(__xludf.DUMMYFUNCTION("""COMPUTED_VALUE"""),1.0)</f>
        <v>1</v>
      </c>
    </row>
    <row r="847">
      <c r="A847" s="1" t="s">
        <v>401</v>
      </c>
      <c r="B847" s="4">
        <v>90.0</v>
      </c>
      <c r="C847" s="1" t="s">
        <v>135</v>
      </c>
      <c r="D847" s="4">
        <v>0.0</v>
      </c>
      <c r="E847" s="4">
        <v>14.0</v>
      </c>
      <c r="F847" s="4">
        <v>0.0</v>
      </c>
      <c r="G847" s="4">
        <v>14.0</v>
      </c>
      <c r="H847" s="4">
        <v>0.0</v>
      </c>
      <c r="I847" s="4">
        <v>23.0</v>
      </c>
      <c r="J847" s="4">
        <v>112.0</v>
      </c>
      <c r="K847" s="4">
        <v>-89.0</v>
      </c>
      <c r="L847" s="2" t="s">
        <v>133</v>
      </c>
      <c r="M847" s="5">
        <f>IFERROR(__xludf.DUMMYFUNCTION("""COMPUTED_VALUE"""),5.0)</f>
        <v>5</v>
      </c>
      <c r="N847" s="5">
        <f>IFERROR(__xludf.DUMMYFUNCTION("""COMPUTED_VALUE"""),16.0)</f>
        <v>16</v>
      </c>
      <c r="O847" s="5">
        <f>IFERROR(__xludf.DUMMYFUNCTION("""COMPUTED_VALUE"""),2000.0)</f>
        <v>2000</v>
      </c>
    </row>
    <row r="848">
      <c r="A848" s="1" t="s">
        <v>401</v>
      </c>
      <c r="B848" s="4">
        <v>91.0</v>
      </c>
      <c r="C848" s="1" t="s">
        <v>48</v>
      </c>
      <c r="D848" s="4">
        <v>0.0</v>
      </c>
      <c r="E848" s="4">
        <v>10.0</v>
      </c>
      <c r="F848" s="4">
        <v>0.0</v>
      </c>
      <c r="G848" s="4">
        <v>10.0</v>
      </c>
      <c r="H848" s="4">
        <v>0.0</v>
      </c>
      <c r="I848" s="4">
        <v>17.0</v>
      </c>
      <c r="J848" s="4">
        <v>111.0</v>
      </c>
      <c r="K848" s="4">
        <v>-94.0</v>
      </c>
      <c r="L848" s="2" t="s">
        <v>359</v>
      </c>
      <c r="M848" s="5">
        <f>IFERROR(__xludf.DUMMYFUNCTION("""COMPUTED_VALUE"""),1.0)</f>
        <v>1</v>
      </c>
      <c r="N848" s="5">
        <f>IFERROR(__xludf.DUMMYFUNCTION("""COMPUTED_VALUE"""),20.0)</f>
        <v>20</v>
      </c>
      <c r="O848" s="5">
        <f>IFERROR(__xludf.DUMMYFUNCTION("""COMPUTED_VALUE"""),2000.0)</f>
        <v>2000</v>
      </c>
    </row>
    <row r="849">
      <c r="A849" s="1" t="s">
        <v>401</v>
      </c>
      <c r="B849" s="4">
        <v>92.0</v>
      </c>
      <c r="C849" s="1" t="s">
        <v>233</v>
      </c>
      <c r="D849" s="4">
        <v>0.0</v>
      </c>
      <c r="E849" s="4">
        <v>14.0</v>
      </c>
      <c r="F849" s="4">
        <v>0.0</v>
      </c>
      <c r="G849" s="4">
        <v>14.0</v>
      </c>
      <c r="H849" s="4">
        <v>0.0</v>
      </c>
      <c r="I849" s="4">
        <v>10.0</v>
      </c>
      <c r="J849" s="4">
        <v>151.0</v>
      </c>
      <c r="K849" s="4">
        <v>-141.0</v>
      </c>
      <c r="L849" s="2" t="s">
        <v>378</v>
      </c>
      <c r="M849" s="5">
        <f>IFERROR(__xludf.DUMMYFUNCTION("""COMPUTED_VALUE"""),1.0)</f>
        <v>1</v>
      </c>
      <c r="N849" s="5">
        <f>IFERROR(__xludf.DUMMYFUNCTION("""COMPUTED_VALUE"""),22.0)</f>
        <v>22</v>
      </c>
      <c r="O849" s="5">
        <f>IFERROR(__xludf.DUMMYFUNCTION("""COMPUTED_VALUE"""),2000.0)</f>
        <v>2000</v>
      </c>
    </row>
    <row r="850">
      <c r="A850" s="1" t="s">
        <v>423</v>
      </c>
      <c r="B850" s="4">
        <v>1.0</v>
      </c>
      <c r="C850" s="1" t="s">
        <v>64</v>
      </c>
      <c r="D850" s="4">
        <v>27.0</v>
      </c>
      <c r="E850" s="4">
        <v>14.0</v>
      </c>
      <c r="F850" s="4">
        <v>13.0</v>
      </c>
      <c r="G850" s="4">
        <v>0.0</v>
      </c>
      <c r="H850" s="4">
        <v>1.0</v>
      </c>
      <c r="I850" s="4">
        <v>86.0</v>
      </c>
      <c r="J850" s="4">
        <v>13.0</v>
      </c>
      <c r="K850" s="4">
        <v>73.0</v>
      </c>
      <c r="L850" s="2" t="s">
        <v>365</v>
      </c>
      <c r="M850" s="5">
        <f>IFERROR(__xludf.DUMMYFUNCTION("""COMPUTED_VALUE"""),20.0)</f>
        <v>20</v>
      </c>
      <c r="N850" s="5">
        <f>IFERROR(__xludf.DUMMYFUNCTION("""COMPUTED_VALUE"""),2.0)</f>
        <v>2</v>
      </c>
      <c r="O850" s="5">
        <f>IFERROR(__xludf.DUMMYFUNCTION("""COMPUTED_VALUE"""),2.0)</f>
        <v>2</v>
      </c>
    </row>
    <row r="851">
      <c r="A851" s="1" t="s">
        <v>423</v>
      </c>
      <c r="B851" s="4">
        <v>2.0</v>
      </c>
      <c r="C851" s="1" t="s">
        <v>22</v>
      </c>
      <c r="D851" s="4">
        <v>23.0</v>
      </c>
      <c r="E851" s="4">
        <v>14.0</v>
      </c>
      <c r="F851" s="4">
        <v>11.0</v>
      </c>
      <c r="G851" s="4">
        <v>2.0</v>
      </c>
      <c r="H851" s="4">
        <v>1.0</v>
      </c>
      <c r="I851" s="4">
        <v>73.0</v>
      </c>
      <c r="J851" s="4">
        <v>25.0</v>
      </c>
      <c r="K851" s="4">
        <v>48.0</v>
      </c>
      <c r="L851" s="2" t="s">
        <v>340</v>
      </c>
      <c r="M851" s="5">
        <f>IFERROR(__xludf.DUMMYFUNCTION("""COMPUTED_VALUE"""),17.0)</f>
        <v>17</v>
      </c>
      <c r="N851" s="5">
        <f>IFERROR(__xludf.DUMMYFUNCTION("""COMPUTED_VALUE"""),5.0)</f>
        <v>5</v>
      </c>
      <c r="O851" s="5">
        <f>IFERROR(__xludf.DUMMYFUNCTION("""COMPUTED_VALUE"""),2.0)</f>
        <v>2</v>
      </c>
    </row>
    <row r="852">
      <c r="A852" s="1" t="s">
        <v>423</v>
      </c>
      <c r="B852" s="4">
        <v>3.0</v>
      </c>
      <c r="C852" s="1" t="s">
        <v>46</v>
      </c>
      <c r="D852" s="4">
        <v>22.0</v>
      </c>
      <c r="E852" s="4">
        <v>14.0</v>
      </c>
      <c r="F852" s="4">
        <v>10.0</v>
      </c>
      <c r="G852" s="4">
        <v>2.0</v>
      </c>
      <c r="H852" s="4">
        <v>2.0</v>
      </c>
      <c r="I852" s="4">
        <v>90.0</v>
      </c>
      <c r="J852" s="4">
        <v>21.0</v>
      </c>
      <c r="K852" s="4">
        <v>69.0</v>
      </c>
      <c r="L852" s="2" t="s">
        <v>353</v>
      </c>
      <c r="M852" s="5">
        <f>IFERROR(__xludf.DUMMYFUNCTION("""COMPUTED_VALUE"""),13.0)</f>
        <v>13</v>
      </c>
      <c r="N852" s="5">
        <f>IFERROR(__xludf.DUMMYFUNCTION("""COMPUTED_VALUE"""),8.0)</f>
        <v>8</v>
      </c>
      <c r="O852" s="5">
        <f>IFERROR(__xludf.DUMMYFUNCTION("""COMPUTED_VALUE"""),3.0)</f>
        <v>3</v>
      </c>
    </row>
    <row r="853">
      <c r="A853" s="1" t="s">
        <v>423</v>
      </c>
      <c r="B853" s="4">
        <v>4.0</v>
      </c>
      <c r="C853" s="1" t="s">
        <v>25</v>
      </c>
      <c r="D853" s="4">
        <v>22.0</v>
      </c>
      <c r="E853" s="4">
        <v>12.0</v>
      </c>
      <c r="F853" s="4">
        <v>11.0</v>
      </c>
      <c r="G853" s="4">
        <v>1.0</v>
      </c>
      <c r="H853" s="4">
        <v>0.0</v>
      </c>
      <c r="I853" s="4">
        <v>51.0</v>
      </c>
      <c r="J853" s="4">
        <v>12.0</v>
      </c>
      <c r="K853" s="4">
        <v>39.0</v>
      </c>
      <c r="L853" s="2" t="s">
        <v>424</v>
      </c>
      <c r="M853" s="5">
        <f>IFERROR(__xludf.DUMMYFUNCTION("""COMPUTED_VALUE"""),16.0)</f>
        <v>16</v>
      </c>
      <c r="N853" s="5">
        <f>IFERROR(__xludf.DUMMYFUNCTION("""COMPUTED_VALUE"""),4.0)</f>
        <v>4</v>
      </c>
      <c r="O853" s="5">
        <f>IFERROR(__xludf.DUMMYFUNCTION("""COMPUTED_VALUE"""),3.0)</f>
        <v>3</v>
      </c>
    </row>
    <row r="854">
      <c r="A854" s="1" t="s">
        <v>423</v>
      </c>
      <c r="B854" s="4">
        <v>5.0</v>
      </c>
      <c r="C854" s="1" t="s">
        <v>94</v>
      </c>
      <c r="D854" s="4">
        <v>21.0</v>
      </c>
      <c r="E854" s="4">
        <v>14.0</v>
      </c>
      <c r="F854" s="4">
        <v>10.0</v>
      </c>
      <c r="G854" s="4">
        <v>3.0</v>
      </c>
      <c r="H854" s="4">
        <v>1.0</v>
      </c>
      <c r="I854" s="4">
        <v>74.0</v>
      </c>
      <c r="J854" s="4">
        <v>20.0</v>
      </c>
      <c r="K854" s="4">
        <v>54.0</v>
      </c>
      <c r="L854" s="2" t="s">
        <v>166</v>
      </c>
      <c r="M854" s="5">
        <f>IFERROR(__xludf.DUMMYFUNCTION("""COMPUTED_VALUE"""),18.0)</f>
        <v>18</v>
      </c>
      <c r="N854" s="5">
        <f>IFERROR(__xludf.DUMMYFUNCTION("""COMPUTED_VALUE"""),5.0)</f>
        <v>5</v>
      </c>
      <c r="O854" s="5">
        <f>IFERROR(__xludf.DUMMYFUNCTION("""COMPUTED_VALUE"""),1.0)</f>
        <v>1</v>
      </c>
    </row>
    <row r="855">
      <c r="A855" s="1" t="s">
        <v>423</v>
      </c>
      <c r="B855" s="4">
        <v>6.0</v>
      </c>
      <c r="C855" s="1" t="s">
        <v>105</v>
      </c>
      <c r="D855" s="4">
        <v>21.0</v>
      </c>
      <c r="E855" s="4">
        <v>12.0</v>
      </c>
      <c r="F855" s="4">
        <v>10.0</v>
      </c>
      <c r="G855" s="4">
        <v>1.0</v>
      </c>
      <c r="H855" s="4">
        <v>1.0</v>
      </c>
      <c r="I855" s="4">
        <v>69.0</v>
      </c>
      <c r="J855" s="4">
        <v>15.0</v>
      </c>
      <c r="K855" s="4">
        <v>54.0</v>
      </c>
      <c r="L855" s="2" t="s">
        <v>345</v>
      </c>
      <c r="M855" s="5">
        <f>IFERROR(__xludf.DUMMYFUNCTION("""COMPUTED_VALUE"""),18.0)</f>
        <v>18</v>
      </c>
      <c r="N855" s="5">
        <f>IFERROR(__xludf.DUMMYFUNCTION("""COMPUTED_VALUE"""),3.0)</f>
        <v>3</v>
      </c>
      <c r="O855" s="5">
        <f>IFERROR(__xludf.DUMMYFUNCTION("""COMPUTED_VALUE"""),2.0)</f>
        <v>2</v>
      </c>
    </row>
    <row r="856">
      <c r="A856" s="1" t="s">
        <v>423</v>
      </c>
      <c r="B856" s="4">
        <v>7.0</v>
      </c>
      <c r="C856" s="1" t="s">
        <v>18</v>
      </c>
      <c r="D856" s="4">
        <v>20.0</v>
      </c>
      <c r="E856" s="4">
        <v>10.0</v>
      </c>
      <c r="F856" s="4">
        <v>10.0</v>
      </c>
      <c r="G856" s="4">
        <v>0.0</v>
      </c>
      <c r="H856" s="4">
        <v>0.0</v>
      </c>
      <c r="I856" s="4">
        <v>98.0</v>
      </c>
      <c r="J856" s="4">
        <v>13.0</v>
      </c>
      <c r="K856" s="4">
        <v>85.0</v>
      </c>
      <c r="L856" s="2" t="s">
        <v>347</v>
      </c>
      <c r="M856" s="5">
        <f>IFERROR(__xludf.DUMMYFUNCTION("""COMPUTED_VALUE"""),15.0)</f>
        <v>15</v>
      </c>
      <c r="N856" s="5">
        <f>IFERROR(__xludf.DUMMYFUNCTION("""COMPUTED_VALUE"""),7.0)</f>
        <v>7</v>
      </c>
      <c r="O856" s="5">
        <f>IFERROR(__xludf.DUMMYFUNCTION("""COMPUTED_VALUE"""),2.0)</f>
        <v>2</v>
      </c>
    </row>
    <row r="857">
      <c r="A857" s="1" t="s">
        <v>423</v>
      </c>
      <c r="B857" s="4">
        <v>8.0</v>
      </c>
      <c r="C857" s="1" t="s">
        <v>20</v>
      </c>
      <c r="D857" s="4">
        <v>20.0</v>
      </c>
      <c r="E857" s="4">
        <v>12.0</v>
      </c>
      <c r="F857" s="4">
        <v>10.0</v>
      </c>
      <c r="G857" s="4">
        <v>2.0</v>
      </c>
      <c r="H857" s="4">
        <v>0.0</v>
      </c>
      <c r="I857" s="4">
        <v>59.0</v>
      </c>
      <c r="J857" s="4">
        <v>10.0</v>
      </c>
      <c r="K857" s="4">
        <v>49.0</v>
      </c>
      <c r="L857" s="2" t="s">
        <v>19</v>
      </c>
      <c r="M857" s="5">
        <f>IFERROR(__xludf.DUMMYFUNCTION("""COMPUTED_VALUE"""),18.0)</f>
        <v>18</v>
      </c>
      <c r="N857" s="5">
        <f>IFERROR(__xludf.DUMMYFUNCTION("""COMPUTED_VALUE"""),6.0)</f>
        <v>6</v>
      </c>
      <c r="O857" s="5">
        <f>IFERROR(__xludf.DUMMYFUNCTION("""COMPUTED_VALUE"""),0.0)</f>
        <v>0</v>
      </c>
    </row>
    <row r="858">
      <c r="A858" s="1" t="s">
        <v>423</v>
      </c>
      <c r="B858" s="4">
        <v>9.0</v>
      </c>
      <c r="C858" s="1" t="s">
        <v>45</v>
      </c>
      <c r="D858" s="4">
        <v>20.0</v>
      </c>
      <c r="E858" s="4">
        <v>12.0</v>
      </c>
      <c r="F858" s="4">
        <v>10.0</v>
      </c>
      <c r="G858" s="4">
        <v>2.0</v>
      </c>
      <c r="H858" s="4">
        <v>0.0</v>
      </c>
      <c r="I858" s="4">
        <v>64.0</v>
      </c>
      <c r="J858" s="4">
        <v>20.0</v>
      </c>
      <c r="K858" s="4">
        <v>44.0</v>
      </c>
      <c r="L858" s="2" t="s">
        <v>366</v>
      </c>
      <c r="M858" s="5">
        <f>IFERROR(__xludf.DUMMYFUNCTION("""COMPUTED_VALUE"""),17.0)</f>
        <v>17</v>
      </c>
      <c r="N858" s="5">
        <f>IFERROR(__xludf.DUMMYFUNCTION("""COMPUTED_VALUE"""),4.0)</f>
        <v>4</v>
      </c>
      <c r="O858" s="5">
        <f>IFERROR(__xludf.DUMMYFUNCTION("""COMPUTED_VALUE"""),3.0)</f>
        <v>3</v>
      </c>
    </row>
    <row r="859">
      <c r="A859" s="1" t="s">
        <v>423</v>
      </c>
      <c r="B859" s="4">
        <v>10.0</v>
      </c>
      <c r="C859" s="1" t="s">
        <v>121</v>
      </c>
      <c r="D859" s="4">
        <v>20.0</v>
      </c>
      <c r="E859" s="4">
        <v>10.0</v>
      </c>
      <c r="F859" s="4">
        <v>10.0</v>
      </c>
      <c r="G859" s="4">
        <v>0.0</v>
      </c>
      <c r="H859" s="4">
        <v>0.0</v>
      </c>
      <c r="I859" s="4">
        <v>57.0</v>
      </c>
      <c r="J859" s="4">
        <v>19.0</v>
      </c>
      <c r="K859" s="4">
        <v>38.0</v>
      </c>
      <c r="L859" s="2" t="s">
        <v>42</v>
      </c>
      <c r="M859" s="5">
        <f>IFERROR(__xludf.DUMMYFUNCTION("""COMPUTED_VALUE"""),19.0)</f>
        <v>19</v>
      </c>
      <c r="N859" s="5">
        <f>IFERROR(__xludf.DUMMYFUNCTION("""COMPUTED_VALUE"""),4.0)</f>
        <v>4</v>
      </c>
      <c r="O859" s="5">
        <f>IFERROR(__xludf.DUMMYFUNCTION("""COMPUTED_VALUE"""),1.0)</f>
        <v>1</v>
      </c>
    </row>
    <row r="860">
      <c r="A860" s="1" t="s">
        <v>423</v>
      </c>
      <c r="B860" s="4">
        <v>11.0</v>
      </c>
      <c r="C860" s="1" t="s">
        <v>86</v>
      </c>
      <c r="D860" s="4">
        <v>20.0</v>
      </c>
      <c r="E860" s="4">
        <v>14.0</v>
      </c>
      <c r="F860" s="4">
        <v>10.0</v>
      </c>
      <c r="G860" s="4">
        <v>4.0</v>
      </c>
      <c r="H860" s="4">
        <v>0.0</v>
      </c>
      <c r="I860" s="4">
        <v>70.0</v>
      </c>
      <c r="J860" s="4">
        <v>34.0</v>
      </c>
      <c r="K860" s="4">
        <v>36.0</v>
      </c>
      <c r="L860" s="2" t="s">
        <v>40</v>
      </c>
      <c r="M860" s="5">
        <f>IFERROR(__xludf.DUMMYFUNCTION("""COMPUTED_VALUE"""),17.0)</f>
        <v>17</v>
      </c>
      <c r="N860" s="5">
        <f>IFERROR(__xludf.DUMMYFUNCTION("""COMPUTED_VALUE"""),6.0)</f>
        <v>6</v>
      </c>
      <c r="O860" s="5">
        <f>IFERROR(__xludf.DUMMYFUNCTION("""COMPUTED_VALUE"""),1.0)</f>
        <v>1</v>
      </c>
    </row>
    <row r="861">
      <c r="A861" s="1" t="s">
        <v>423</v>
      </c>
      <c r="B861" s="4">
        <v>12.0</v>
      </c>
      <c r="C861" s="1" t="s">
        <v>79</v>
      </c>
      <c r="D861" s="4">
        <v>19.0</v>
      </c>
      <c r="E861" s="4">
        <v>14.0</v>
      </c>
      <c r="F861" s="4">
        <v>9.0</v>
      </c>
      <c r="G861" s="4">
        <v>4.0</v>
      </c>
      <c r="H861" s="4">
        <v>1.0</v>
      </c>
      <c r="I861" s="4">
        <v>69.0</v>
      </c>
      <c r="J861" s="4">
        <v>25.0</v>
      </c>
      <c r="K861" s="4">
        <v>44.0</v>
      </c>
      <c r="L861" s="2" t="s">
        <v>178</v>
      </c>
      <c r="M861" s="5">
        <f>IFERROR(__xludf.DUMMYFUNCTION("""COMPUTED_VALUE"""),11.0)</f>
        <v>11</v>
      </c>
      <c r="N861" s="5">
        <f>IFERROR(__xludf.DUMMYFUNCTION("""COMPUTED_VALUE"""),11.0)</f>
        <v>11</v>
      </c>
      <c r="O861" s="5">
        <f>IFERROR(__xludf.DUMMYFUNCTION("""COMPUTED_VALUE"""),2002.0)</f>
        <v>2002</v>
      </c>
    </row>
    <row r="862">
      <c r="A862" s="1" t="s">
        <v>423</v>
      </c>
      <c r="B862" s="4">
        <v>13.0</v>
      </c>
      <c r="C862" s="1" t="s">
        <v>106</v>
      </c>
      <c r="D862" s="4">
        <v>19.0</v>
      </c>
      <c r="E862" s="4">
        <v>14.0</v>
      </c>
      <c r="F862" s="4">
        <v>9.0</v>
      </c>
      <c r="G862" s="4">
        <v>4.0</v>
      </c>
      <c r="H862" s="4">
        <v>1.0</v>
      </c>
      <c r="I862" s="4">
        <v>63.0</v>
      </c>
      <c r="J862" s="4">
        <v>36.0</v>
      </c>
      <c r="K862" s="4">
        <v>27.0</v>
      </c>
      <c r="L862" s="2" t="s">
        <v>208</v>
      </c>
      <c r="M862" s="5">
        <f>IFERROR(__xludf.DUMMYFUNCTION("""COMPUTED_VALUE"""),14.0)</f>
        <v>14</v>
      </c>
      <c r="N862" s="5">
        <f>IFERROR(__xludf.DUMMYFUNCTION("""COMPUTED_VALUE"""),8.0)</f>
        <v>8</v>
      </c>
      <c r="O862" s="5">
        <f>IFERROR(__xludf.DUMMYFUNCTION("""COMPUTED_VALUE"""),2.0)</f>
        <v>2</v>
      </c>
    </row>
    <row r="863">
      <c r="A863" s="1" t="s">
        <v>423</v>
      </c>
      <c r="B863" s="4">
        <v>14.0</v>
      </c>
      <c r="C863" s="1" t="s">
        <v>117</v>
      </c>
      <c r="D863" s="4">
        <v>19.0</v>
      </c>
      <c r="E863" s="4">
        <v>14.0</v>
      </c>
      <c r="F863" s="4">
        <v>8.0</v>
      </c>
      <c r="G863" s="4">
        <v>3.0</v>
      </c>
      <c r="H863" s="4">
        <v>3.0</v>
      </c>
      <c r="I863" s="4">
        <v>49.0</v>
      </c>
      <c r="J863" s="4">
        <v>31.0</v>
      </c>
      <c r="K863" s="4">
        <v>18.0</v>
      </c>
      <c r="L863" s="2" t="s">
        <v>425</v>
      </c>
      <c r="M863" s="5">
        <f>IFERROR(__xludf.DUMMYFUNCTION("""COMPUTED_VALUE"""),12.0)</f>
        <v>12</v>
      </c>
      <c r="N863" s="5">
        <f>IFERROR(__xludf.DUMMYFUNCTION("""COMPUTED_VALUE"""),7.0)</f>
        <v>7</v>
      </c>
      <c r="O863" s="5">
        <f>IFERROR(__xludf.DUMMYFUNCTION("""COMPUTED_VALUE"""),2005.0)</f>
        <v>2005</v>
      </c>
    </row>
    <row r="864">
      <c r="A864" s="1" t="s">
        <v>423</v>
      </c>
      <c r="B864" s="4">
        <v>15.0</v>
      </c>
      <c r="C864" s="1" t="s">
        <v>16</v>
      </c>
      <c r="D864" s="4">
        <v>18.0</v>
      </c>
      <c r="E864" s="4">
        <v>10.0</v>
      </c>
      <c r="F864" s="4">
        <v>9.0</v>
      </c>
      <c r="G864" s="4">
        <v>1.0</v>
      </c>
      <c r="H864" s="4">
        <v>0.0</v>
      </c>
      <c r="I864" s="4">
        <v>81.0</v>
      </c>
      <c r="J864" s="4">
        <v>17.0</v>
      </c>
      <c r="K864" s="4">
        <v>64.0</v>
      </c>
      <c r="L864" s="2" t="s">
        <v>55</v>
      </c>
      <c r="M864" s="5">
        <f>IFERROR(__xludf.DUMMYFUNCTION("""COMPUTED_VALUE"""),17.0)</f>
        <v>17</v>
      </c>
      <c r="N864" s="5">
        <f>IFERROR(__xludf.DUMMYFUNCTION("""COMPUTED_VALUE"""),6.0)</f>
        <v>6</v>
      </c>
      <c r="O864" s="5">
        <f>IFERROR(__xludf.DUMMYFUNCTION("""COMPUTED_VALUE"""),0.0)</f>
        <v>0</v>
      </c>
    </row>
    <row r="865">
      <c r="A865" s="1" t="s">
        <v>423</v>
      </c>
      <c r="B865" s="4">
        <v>16.0</v>
      </c>
      <c r="C865" s="1" t="s">
        <v>27</v>
      </c>
      <c r="D865" s="4">
        <v>17.0</v>
      </c>
      <c r="E865" s="4">
        <v>12.0</v>
      </c>
      <c r="F865" s="4">
        <v>8.0</v>
      </c>
      <c r="G865" s="4">
        <v>3.0</v>
      </c>
      <c r="H865" s="4">
        <v>1.0</v>
      </c>
      <c r="I865" s="4">
        <v>66.0</v>
      </c>
      <c r="J865" s="4">
        <v>16.0</v>
      </c>
      <c r="K865" s="4">
        <v>50.0</v>
      </c>
      <c r="L865" s="2" t="s">
        <v>426</v>
      </c>
      <c r="M865" s="5">
        <f>IFERROR(__xludf.DUMMYFUNCTION("""COMPUTED_VALUE"""),16.0)</f>
        <v>16</v>
      </c>
      <c r="N865" s="5">
        <f>IFERROR(__xludf.DUMMYFUNCTION("""COMPUTED_VALUE"""),5.0)</f>
        <v>5</v>
      </c>
      <c r="O865" s="5">
        <f>IFERROR(__xludf.DUMMYFUNCTION("""COMPUTED_VALUE"""),2.0)</f>
        <v>2</v>
      </c>
    </row>
    <row r="866">
      <c r="A866" s="1" t="s">
        <v>423</v>
      </c>
      <c r="B866" s="4">
        <v>17.0</v>
      </c>
      <c r="C866" s="1" t="s">
        <v>60</v>
      </c>
      <c r="D866" s="4">
        <v>17.0</v>
      </c>
      <c r="E866" s="4">
        <v>10.0</v>
      </c>
      <c r="F866" s="4">
        <v>8.0</v>
      </c>
      <c r="G866" s="4">
        <v>1.0</v>
      </c>
      <c r="H866" s="4">
        <v>1.0</v>
      </c>
      <c r="I866" s="4">
        <v>57.0</v>
      </c>
      <c r="J866" s="4">
        <v>21.0</v>
      </c>
      <c r="K866" s="4">
        <v>36.0</v>
      </c>
      <c r="L866" s="2" t="s">
        <v>403</v>
      </c>
      <c r="M866" s="5">
        <f>IFERROR(__xludf.DUMMYFUNCTION("""COMPUTED_VALUE"""),19.0)</f>
        <v>19</v>
      </c>
      <c r="N866" s="5">
        <f>IFERROR(__xludf.DUMMYFUNCTION("""COMPUTED_VALUE"""),3.0)</f>
        <v>3</v>
      </c>
      <c r="O866" s="5">
        <f>IFERROR(__xludf.DUMMYFUNCTION("""COMPUTED_VALUE"""),2.0)</f>
        <v>2</v>
      </c>
    </row>
    <row r="867">
      <c r="A867" s="1" t="s">
        <v>423</v>
      </c>
      <c r="B867" s="4">
        <v>18.0</v>
      </c>
      <c r="C867" s="1" t="s">
        <v>138</v>
      </c>
      <c r="D867" s="4">
        <v>17.0</v>
      </c>
      <c r="E867" s="4">
        <v>12.0</v>
      </c>
      <c r="F867" s="4">
        <v>8.0</v>
      </c>
      <c r="G867" s="4">
        <v>3.0</v>
      </c>
      <c r="H867" s="4">
        <v>1.0</v>
      </c>
      <c r="I867" s="4">
        <v>42.0</v>
      </c>
      <c r="J867" s="4">
        <v>29.0</v>
      </c>
      <c r="K867" s="4">
        <v>13.0</v>
      </c>
      <c r="L867" s="2" t="s">
        <v>208</v>
      </c>
      <c r="M867" s="5">
        <f>IFERROR(__xludf.DUMMYFUNCTION("""COMPUTED_VALUE"""),14.0)</f>
        <v>14</v>
      </c>
      <c r="N867" s="5">
        <f>IFERROR(__xludf.DUMMYFUNCTION("""COMPUTED_VALUE"""),8.0)</f>
        <v>8</v>
      </c>
      <c r="O867" s="5">
        <f>IFERROR(__xludf.DUMMYFUNCTION("""COMPUTED_VALUE"""),2.0)</f>
        <v>2</v>
      </c>
    </row>
    <row r="868">
      <c r="A868" s="1" t="s">
        <v>423</v>
      </c>
      <c r="B868" s="4">
        <v>19.0</v>
      </c>
      <c r="C868" s="1" t="s">
        <v>43</v>
      </c>
      <c r="D868" s="4">
        <v>16.0</v>
      </c>
      <c r="E868" s="4">
        <v>10.0</v>
      </c>
      <c r="F868" s="4">
        <v>8.0</v>
      </c>
      <c r="G868" s="4">
        <v>2.0</v>
      </c>
      <c r="H868" s="4">
        <v>0.0</v>
      </c>
      <c r="I868" s="4">
        <v>63.0</v>
      </c>
      <c r="J868" s="4">
        <v>15.0</v>
      </c>
      <c r="K868" s="4">
        <v>48.0</v>
      </c>
      <c r="L868" s="2" t="s">
        <v>63</v>
      </c>
      <c r="M868" s="5">
        <f>IFERROR(__xludf.DUMMYFUNCTION("""COMPUTED_VALUE"""),16.0)</f>
        <v>16</v>
      </c>
      <c r="N868" s="5">
        <f>IFERROR(__xludf.DUMMYFUNCTION("""COMPUTED_VALUE"""),7.0)</f>
        <v>7</v>
      </c>
      <c r="O868" s="5">
        <f>IFERROR(__xludf.DUMMYFUNCTION("""COMPUTED_VALUE"""),1.0)</f>
        <v>1</v>
      </c>
    </row>
    <row r="869">
      <c r="A869" s="1" t="s">
        <v>423</v>
      </c>
      <c r="B869" s="4">
        <v>20.0</v>
      </c>
      <c r="C869" s="1" t="s">
        <v>131</v>
      </c>
      <c r="D869" s="4">
        <v>16.0</v>
      </c>
      <c r="E869" s="4">
        <v>8.0</v>
      </c>
      <c r="F869" s="4">
        <v>8.0</v>
      </c>
      <c r="G869" s="4">
        <v>0.0</v>
      </c>
      <c r="H869" s="4">
        <v>0.0</v>
      </c>
      <c r="I869" s="4">
        <v>49.0</v>
      </c>
      <c r="J869" s="4">
        <v>4.0</v>
      </c>
      <c r="K869" s="4">
        <v>45.0</v>
      </c>
      <c r="L869" s="2" t="s">
        <v>168</v>
      </c>
      <c r="M869" s="5">
        <f>IFERROR(__xludf.DUMMYFUNCTION("""COMPUTED_VALUE"""),19.0)</f>
        <v>19</v>
      </c>
      <c r="N869" s="5">
        <f>IFERROR(__xludf.DUMMYFUNCTION("""COMPUTED_VALUE"""),3.0)</f>
        <v>3</v>
      </c>
      <c r="O869" s="5">
        <f>IFERROR(__xludf.DUMMYFUNCTION("""COMPUTED_VALUE"""),1.0)</f>
        <v>1</v>
      </c>
    </row>
    <row r="870">
      <c r="A870" s="1" t="s">
        <v>423</v>
      </c>
      <c r="B870" s="4">
        <v>21.0</v>
      </c>
      <c r="C870" s="1" t="s">
        <v>90</v>
      </c>
      <c r="D870" s="4">
        <v>16.0</v>
      </c>
      <c r="E870" s="4">
        <v>10.0</v>
      </c>
      <c r="F870" s="4">
        <v>8.0</v>
      </c>
      <c r="G870" s="4">
        <v>2.0</v>
      </c>
      <c r="H870" s="4">
        <v>0.0</v>
      </c>
      <c r="I870" s="4">
        <v>62.0</v>
      </c>
      <c r="J870" s="4">
        <v>19.0</v>
      </c>
      <c r="K870" s="4">
        <v>43.0</v>
      </c>
      <c r="L870" s="2" t="s">
        <v>169</v>
      </c>
      <c r="M870" s="5">
        <f>IFERROR(__xludf.DUMMYFUNCTION("""COMPUTED_VALUE"""),20.0)</f>
        <v>20</v>
      </c>
      <c r="N870" s="5">
        <f>IFERROR(__xludf.DUMMYFUNCTION("""COMPUTED_VALUE"""),4.0)</f>
        <v>4</v>
      </c>
      <c r="O870" s="5">
        <f>IFERROR(__xludf.DUMMYFUNCTION("""COMPUTED_VALUE"""),0.0)</f>
        <v>0</v>
      </c>
    </row>
    <row r="871">
      <c r="A871" s="1" t="s">
        <v>423</v>
      </c>
      <c r="B871" s="4">
        <v>22.0</v>
      </c>
      <c r="C871" s="1" t="s">
        <v>41</v>
      </c>
      <c r="D871" s="4">
        <v>16.0</v>
      </c>
      <c r="E871" s="4">
        <v>10.0</v>
      </c>
      <c r="F871" s="4">
        <v>8.0</v>
      </c>
      <c r="G871" s="4">
        <v>2.0</v>
      </c>
      <c r="H871" s="4">
        <v>0.0</v>
      </c>
      <c r="I871" s="4">
        <v>63.0</v>
      </c>
      <c r="J871" s="4">
        <v>21.0</v>
      </c>
      <c r="K871" s="4">
        <v>42.0</v>
      </c>
      <c r="L871" s="2" t="s">
        <v>42</v>
      </c>
      <c r="M871" s="5">
        <f>IFERROR(__xludf.DUMMYFUNCTION("""COMPUTED_VALUE"""),19.0)</f>
        <v>19</v>
      </c>
      <c r="N871" s="5">
        <f>IFERROR(__xludf.DUMMYFUNCTION("""COMPUTED_VALUE"""),4.0)</f>
        <v>4</v>
      </c>
      <c r="O871" s="5">
        <f>IFERROR(__xludf.DUMMYFUNCTION("""COMPUTED_VALUE"""),1.0)</f>
        <v>1</v>
      </c>
    </row>
    <row r="872">
      <c r="A872" s="1" t="s">
        <v>423</v>
      </c>
      <c r="B872" s="4">
        <v>23.0</v>
      </c>
      <c r="C872" s="1" t="s">
        <v>33</v>
      </c>
      <c r="D872" s="4">
        <v>16.0</v>
      </c>
      <c r="E872" s="4">
        <v>10.0</v>
      </c>
      <c r="F872" s="4">
        <v>8.0</v>
      </c>
      <c r="G872" s="4">
        <v>2.0</v>
      </c>
      <c r="H872" s="4">
        <v>0.0</v>
      </c>
      <c r="I872" s="4">
        <v>66.0</v>
      </c>
      <c r="J872" s="4">
        <v>26.0</v>
      </c>
      <c r="K872" s="4">
        <v>40.0</v>
      </c>
      <c r="L872" s="2" t="s">
        <v>218</v>
      </c>
      <c r="M872" s="5">
        <f>IFERROR(__xludf.DUMMYFUNCTION("""COMPUTED_VALUE"""),12.0)</f>
        <v>12</v>
      </c>
      <c r="N872" s="5">
        <f>IFERROR(__xludf.DUMMYFUNCTION("""COMPUTED_VALUE"""),11.0)</f>
        <v>11</v>
      </c>
      <c r="O872" s="5">
        <f>IFERROR(__xludf.DUMMYFUNCTION("""COMPUTED_VALUE"""),2000.0)</f>
        <v>2000</v>
      </c>
    </row>
    <row r="873">
      <c r="A873" s="1" t="s">
        <v>423</v>
      </c>
      <c r="B873" s="4">
        <v>24.0</v>
      </c>
      <c r="C873" s="1" t="s">
        <v>62</v>
      </c>
      <c r="D873" s="4">
        <v>16.0</v>
      </c>
      <c r="E873" s="4">
        <v>10.0</v>
      </c>
      <c r="F873" s="4">
        <v>8.0</v>
      </c>
      <c r="G873" s="4">
        <v>2.0</v>
      </c>
      <c r="H873" s="4">
        <v>0.0</v>
      </c>
      <c r="I873" s="4">
        <v>54.0</v>
      </c>
      <c r="J873" s="4">
        <v>20.0</v>
      </c>
      <c r="K873" s="4">
        <v>34.0</v>
      </c>
      <c r="L873" s="2" t="s">
        <v>324</v>
      </c>
      <c r="M873" s="5">
        <f>IFERROR(__xludf.DUMMYFUNCTION("""COMPUTED_VALUE"""),12.0)</f>
        <v>12</v>
      </c>
      <c r="N873" s="5">
        <f>IFERROR(__xludf.DUMMYFUNCTION("""COMPUTED_VALUE"""),8.0)</f>
        <v>8</v>
      </c>
      <c r="O873" s="5">
        <f>IFERROR(__xludf.DUMMYFUNCTION("""COMPUTED_VALUE"""),2004.0)</f>
        <v>2004</v>
      </c>
    </row>
    <row r="874">
      <c r="A874" s="1" t="s">
        <v>423</v>
      </c>
      <c r="B874" s="4">
        <v>25.0</v>
      </c>
      <c r="C874" s="1" t="s">
        <v>24</v>
      </c>
      <c r="D874" s="4">
        <v>16.0</v>
      </c>
      <c r="E874" s="4">
        <v>14.0</v>
      </c>
      <c r="F874" s="4">
        <v>8.0</v>
      </c>
      <c r="G874" s="4">
        <v>6.0</v>
      </c>
      <c r="H874" s="4">
        <v>0.0</v>
      </c>
      <c r="I874" s="4">
        <v>65.0</v>
      </c>
      <c r="J874" s="4">
        <v>32.0</v>
      </c>
      <c r="K874" s="4">
        <v>33.0</v>
      </c>
      <c r="L874" s="2" t="s">
        <v>51</v>
      </c>
      <c r="M874" s="5">
        <f>IFERROR(__xludf.DUMMYFUNCTION("""COMPUTED_VALUE"""),15.0)</f>
        <v>15</v>
      </c>
      <c r="N874" s="5">
        <f>IFERROR(__xludf.DUMMYFUNCTION("""COMPUTED_VALUE"""),9.0)</f>
        <v>9</v>
      </c>
      <c r="O874" s="5">
        <f>IFERROR(__xludf.DUMMYFUNCTION("""COMPUTED_VALUE"""),0.0)</f>
        <v>0</v>
      </c>
    </row>
    <row r="875">
      <c r="A875" s="1" t="s">
        <v>423</v>
      </c>
      <c r="B875" s="4">
        <v>26.0</v>
      </c>
      <c r="C875" s="1" t="s">
        <v>50</v>
      </c>
      <c r="D875" s="4">
        <v>15.0</v>
      </c>
      <c r="E875" s="4">
        <v>10.0</v>
      </c>
      <c r="F875" s="4">
        <v>7.0</v>
      </c>
      <c r="G875" s="4">
        <v>2.0</v>
      </c>
      <c r="H875" s="4">
        <v>1.0</v>
      </c>
      <c r="I875" s="4">
        <v>79.0</v>
      </c>
      <c r="J875" s="4">
        <v>17.0</v>
      </c>
      <c r="K875" s="4">
        <v>62.0</v>
      </c>
      <c r="L875" s="2" t="s">
        <v>182</v>
      </c>
      <c r="M875" s="5">
        <f>IFERROR(__xludf.DUMMYFUNCTION("""COMPUTED_VALUE"""),12.0)</f>
        <v>12</v>
      </c>
      <c r="N875" s="5">
        <f>IFERROR(__xludf.DUMMYFUNCTION("""COMPUTED_VALUE"""),11.0)</f>
        <v>11</v>
      </c>
      <c r="O875" s="5">
        <f>IFERROR(__xludf.DUMMYFUNCTION("""COMPUTED_VALUE"""),2001.0)</f>
        <v>2001</v>
      </c>
    </row>
    <row r="876">
      <c r="A876" s="1" t="s">
        <v>423</v>
      </c>
      <c r="B876" s="4">
        <v>27.0</v>
      </c>
      <c r="C876" s="1" t="s">
        <v>122</v>
      </c>
      <c r="D876" s="4">
        <v>15.0</v>
      </c>
      <c r="E876" s="4">
        <v>10.0</v>
      </c>
      <c r="F876" s="4">
        <v>7.0</v>
      </c>
      <c r="G876" s="4">
        <v>2.0</v>
      </c>
      <c r="H876" s="4">
        <v>1.0</v>
      </c>
      <c r="I876" s="4">
        <v>56.0</v>
      </c>
      <c r="J876" s="4">
        <v>20.0</v>
      </c>
      <c r="K876" s="4">
        <v>36.0</v>
      </c>
      <c r="L876" s="2" t="s">
        <v>353</v>
      </c>
      <c r="M876" s="5">
        <f>IFERROR(__xludf.DUMMYFUNCTION("""COMPUTED_VALUE"""),13.0)</f>
        <v>13</v>
      </c>
      <c r="N876" s="5">
        <f>IFERROR(__xludf.DUMMYFUNCTION("""COMPUTED_VALUE"""),8.0)</f>
        <v>8</v>
      </c>
      <c r="O876" s="5">
        <f>IFERROR(__xludf.DUMMYFUNCTION("""COMPUTED_VALUE"""),3.0)</f>
        <v>3</v>
      </c>
    </row>
    <row r="877">
      <c r="A877" s="1" t="s">
        <v>423</v>
      </c>
      <c r="B877" s="4">
        <v>28.0</v>
      </c>
      <c r="C877" s="1" t="s">
        <v>141</v>
      </c>
      <c r="D877" s="4">
        <v>14.0</v>
      </c>
      <c r="E877" s="4">
        <v>8.0</v>
      </c>
      <c r="F877" s="4">
        <v>7.0</v>
      </c>
      <c r="G877" s="4">
        <v>1.0</v>
      </c>
      <c r="H877" s="4">
        <v>0.0</v>
      </c>
      <c r="I877" s="4">
        <v>40.0</v>
      </c>
      <c r="J877" s="4">
        <v>6.0</v>
      </c>
      <c r="K877" s="4">
        <v>34.0</v>
      </c>
      <c r="L877" s="2" t="s">
        <v>365</v>
      </c>
      <c r="M877" s="5">
        <f>IFERROR(__xludf.DUMMYFUNCTION("""COMPUTED_VALUE"""),20.0)</f>
        <v>20</v>
      </c>
      <c r="N877" s="5">
        <f>IFERROR(__xludf.DUMMYFUNCTION("""COMPUTED_VALUE"""),2.0)</f>
        <v>2</v>
      </c>
      <c r="O877" s="5">
        <f>IFERROR(__xludf.DUMMYFUNCTION("""COMPUTED_VALUE"""),2.0)</f>
        <v>2</v>
      </c>
    </row>
    <row r="878">
      <c r="A878" s="1" t="s">
        <v>423</v>
      </c>
      <c r="B878" s="4">
        <v>29.0</v>
      </c>
      <c r="C878" s="1" t="s">
        <v>101</v>
      </c>
      <c r="D878" s="4">
        <v>14.0</v>
      </c>
      <c r="E878" s="4">
        <v>8.0</v>
      </c>
      <c r="F878" s="4">
        <v>7.0</v>
      </c>
      <c r="G878" s="4">
        <v>1.0</v>
      </c>
      <c r="H878" s="4">
        <v>0.0</v>
      </c>
      <c r="I878" s="4">
        <v>39.0</v>
      </c>
      <c r="J878" s="4">
        <v>12.0</v>
      </c>
      <c r="K878" s="4">
        <v>27.0</v>
      </c>
      <c r="L878" s="2" t="s">
        <v>177</v>
      </c>
      <c r="M878" s="5">
        <f>IFERROR(__xludf.DUMMYFUNCTION("""COMPUTED_VALUE"""),13.0)</f>
        <v>13</v>
      </c>
      <c r="N878" s="5">
        <f>IFERROR(__xludf.DUMMYFUNCTION("""COMPUTED_VALUE"""),10.0)</f>
        <v>10</v>
      </c>
      <c r="O878" s="5">
        <f>IFERROR(__xludf.DUMMYFUNCTION("""COMPUTED_VALUE"""),1.0)</f>
        <v>1</v>
      </c>
    </row>
    <row r="879">
      <c r="A879" s="1" t="s">
        <v>423</v>
      </c>
      <c r="B879" s="4">
        <v>30.0</v>
      </c>
      <c r="C879" s="1" t="s">
        <v>152</v>
      </c>
      <c r="D879" s="4">
        <v>14.0</v>
      </c>
      <c r="E879" s="4">
        <v>9.0</v>
      </c>
      <c r="F879" s="4">
        <v>7.0</v>
      </c>
      <c r="G879" s="4">
        <v>2.0</v>
      </c>
      <c r="H879" s="4">
        <v>0.0</v>
      </c>
      <c r="I879" s="4">
        <v>38.0</v>
      </c>
      <c r="J879" s="4">
        <v>24.0</v>
      </c>
      <c r="K879" s="4">
        <v>14.0</v>
      </c>
      <c r="L879" s="2" t="s">
        <v>109</v>
      </c>
      <c r="M879" s="5">
        <f>IFERROR(__xludf.DUMMYFUNCTION("""COMPUTED_VALUE"""),14.0)</f>
        <v>14</v>
      </c>
      <c r="N879" s="5">
        <f>IFERROR(__xludf.DUMMYFUNCTION("""COMPUTED_VALUE"""),9.0)</f>
        <v>9</v>
      </c>
      <c r="O879" s="5">
        <f>IFERROR(__xludf.DUMMYFUNCTION("""COMPUTED_VALUE"""),0.0)</f>
        <v>0</v>
      </c>
    </row>
    <row r="880">
      <c r="A880" s="1" t="s">
        <v>423</v>
      </c>
      <c r="B880" s="4">
        <v>31.0</v>
      </c>
      <c r="C880" s="1" t="s">
        <v>71</v>
      </c>
      <c r="D880" s="4">
        <v>14.0</v>
      </c>
      <c r="E880" s="4">
        <v>12.0</v>
      </c>
      <c r="F880" s="4">
        <v>7.0</v>
      </c>
      <c r="G880" s="4">
        <v>5.0</v>
      </c>
      <c r="H880" s="4">
        <v>0.0</v>
      </c>
      <c r="I880" s="4">
        <v>44.0</v>
      </c>
      <c r="J880" s="4">
        <v>31.0</v>
      </c>
      <c r="K880" s="4">
        <v>13.0</v>
      </c>
      <c r="L880" s="2" t="s">
        <v>63</v>
      </c>
      <c r="M880" s="5">
        <f>IFERROR(__xludf.DUMMYFUNCTION("""COMPUTED_VALUE"""),16.0)</f>
        <v>16</v>
      </c>
      <c r="N880" s="5">
        <f>IFERROR(__xludf.DUMMYFUNCTION("""COMPUTED_VALUE"""),7.0)</f>
        <v>7</v>
      </c>
      <c r="O880" s="5">
        <f>IFERROR(__xludf.DUMMYFUNCTION("""COMPUTED_VALUE"""),1.0)</f>
        <v>1</v>
      </c>
    </row>
    <row r="881">
      <c r="A881" s="1" t="s">
        <v>423</v>
      </c>
      <c r="B881" s="4">
        <v>32.0</v>
      </c>
      <c r="C881" s="1" t="s">
        <v>61</v>
      </c>
      <c r="D881" s="4">
        <v>14.0</v>
      </c>
      <c r="E881" s="4">
        <v>10.0</v>
      </c>
      <c r="F881" s="4">
        <v>7.0</v>
      </c>
      <c r="G881" s="4">
        <v>3.0</v>
      </c>
      <c r="H881" s="4">
        <v>0.0</v>
      </c>
      <c r="I881" s="4">
        <v>49.0</v>
      </c>
      <c r="J881" s="4">
        <v>39.0</v>
      </c>
      <c r="K881" s="4">
        <v>10.0</v>
      </c>
      <c r="L881" s="2" t="s">
        <v>82</v>
      </c>
      <c r="M881" s="5">
        <f>IFERROR(__xludf.DUMMYFUNCTION("""COMPUTED_VALUE"""),11.0)</f>
        <v>11</v>
      </c>
      <c r="N881" s="5">
        <f>IFERROR(__xludf.DUMMYFUNCTION("""COMPUTED_VALUE"""),12.0)</f>
        <v>12</v>
      </c>
      <c r="O881" s="5">
        <f>IFERROR(__xludf.DUMMYFUNCTION("""COMPUTED_VALUE"""),2001.0)</f>
        <v>2001</v>
      </c>
    </row>
    <row r="882">
      <c r="A882" s="1" t="s">
        <v>423</v>
      </c>
      <c r="B882" s="4">
        <v>33.0</v>
      </c>
      <c r="C882" s="1" t="s">
        <v>37</v>
      </c>
      <c r="D882" s="4">
        <v>13.0</v>
      </c>
      <c r="E882" s="4">
        <v>10.0</v>
      </c>
      <c r="F882" s="4">
        <v>6.0</v>
      </c>
      <c r="G882" s="4">
        <v>3.0</v>
      </c>
      <c r="H882" s="4">
        <v>1.0</v>
      </c>
      <c r="I882" s="4">
        <v>74.0</v>
      </c>
      <c r="J882" s="4">
        <v>23.0</v>
      </c>
      <c r="K882" s="4">
        <v>51.0</v>
      </c>
      <c r="L882" s="2" t="s">
        <v>26</v>
      </c>
      <c r="M882" s="5">
        <f>IFERROR(__xludf.DUMMYFUNCTION("""COMPUTED_VALUE"""),13.0)</f>
        <v>13</v>
      </c>
      <c r="N882" s="5">
        <f>IFERROR(__xludf.DUMMYFUNCTION("""COMPUTED_VALUE"""),9.0)</f>
        <v>9</v>
      </c>
      <c r="O882" s="5">
        <f>IFERROR(__xludf.DUMMYFUNCTION("""COMPUTED_VALUE"""),2.0)</f>
        <v>2</v>
      </c>
    </row>
    <row r="883">
      <c r="A883" s="1" t="s">
        <v>423</v>
      </c>
      <c r="B883" s="4">
        <v>34.0</v>
      </c>
      <c r="C883" s="1" t="s">
        <v>130</v>
      </c>
      <c r="D883" s="4">
        <v>12.0</v>
      </c>
      <c r="E883" s="4">
        <v>8.0</v>
      </c>
      <c r="F883" s="4">
        <v>6.0</v>
      </c>
      <c r="G883" s="4">
        <v>2.0</v>
      </c>
      <c r="H883" s="4">
        <v>0.0</v>
      </c>
      <c r="I883" s="4">
        <v>38.0</v>
      </c>
      <c r="J883" s="4">
        <v>21.0</v>
      </c>
      <c r="K883" s="4">
        <v>17.0</v>
      </c>
      <c r="L883" s="2" t="s">
        <v>38</v>
      </c>
      <c r="M883" s="5">
        <f>IFERROR(__xludf.DUMMYFUNCTION("""COMPUTED_VALUE"""),16.0)</f>
        <v>16</v>
      </c>
      <c r="N883" s="5">
        <f>IFERROR(__xludf.DUMMYFUNCTION("""COMPUTED_VALUE"""),8.0)</f>
        <v>8</v>
      </c>
      <c r="O883" s="5">
        <f>IFERROR(__xludf.DUMMYFUNCTION("""COMPUTED_VALUE"""),0.0)</f>
        <v>0</v>
      </c>
    </row>
    <row r="884">
      <c r="A884" s="1" t="s">
        <v>423</v>
      </c>
      <c r="B884" s="4">
        <v>35.0</v>
      </c>
      <c r="C884" s="1" t="s">
        <v>88</v>
      </c>
      <c r="D884" s="4">
        <v>12.0</v>
      </c>
      <c r="E884" s="4">
        <v>10.0</v>
      </c>
      <c r="F884" s="4">
        <v>6.0</v>
      </c>
      <c r="G884" s="4">
        <v>4.0</v>
      </c>
      <c r="H884" s="4">
        <v>0.0</v>
      </c>
      <c r="I884" s="4">
        <v>31.0</v>
      </c>
      <c r="J884" s="4">
        <v>22.0</v>
      </c>
      <c r="K884" s="4">
        <v>9.0</v>
      </c>
      <c r="L884" s="2" t="s">
        <v>180</v>
      </c>
      <c r="M884" s="5">
        <f>IFERROR(__xludf.DUMMYFUNCTION("""COMPUTED_VALUE"""),12.0)</f>
        <v>12</v>
      </c>
      <c r="N884" s="5">
        <f>IFERROR(__xludf.DUMMYFUNCTION("""COMPUTED_VALUE"""),10.0)</f>
        <v>10</v>
      </c>
      <c r="O884" s="5">
        <f>IFERROR(__xludf.DUMMYFUNCTION("""COMPUTED_VALUE"""),2002.0)</f>
        <v>2002</v>
      </c>
    </row>
    <row r="885">
      <c r="A885" s="1" t="s">
        <v>423</v>
      </c>
      <c r="B885" s="4">
        <v>36.0</v>
      </c>
      <c r="C885" s="1" t="s">
        <v>85</v>
      </c>
      <c r="D885" s="4">
        <v>12.0</v>
      </c>
      <c r="E885" s="4">
        <v>10.0</v>
      </c>
      <c r="F885" s="4">
        <v>6.0</v>
      </c>
      <c r="G885" s="4">
        <v>4.0</v>
      </c>
      <c r="H885" s="4">
        <v>0.0</v>
      </c>
      <c r="I885" s="4">
        <v>39.0</v>
      </c>
      <c r="J885" s="4">
        <v>35.0</v>
      </c>
      <c r="K885" s="4">
        <v>4.0</v>
      </c>
      <c r="L885" s="2" t="s">
        <v>219</v>
      </c>
      <c r="M885" s="5">
        <f>IFERROR(__xludf.DUMMYFUNCTION("""COMPUTED_VALUE"""),11.0)</f>
        <v>11</v>
      </c>
      <c r="N885" s="5">
        <f>IFERROR(__xludf.DUMMYFUNCTION("""COMPUTED_VALUE"""),12.0)</f>
        <v>12</v>
      </c>
      <c r="O885" s="5">
        <f>IFERROR(__xludf.DUMMYFUNCTION("""COMPUTED_VALUE"""),2000.0)</f>
        <v>2000</v>
      </c>
    </row>
    <row r="886">
      <c r="A886" s="1" t="s">
        <v>423</v>
      </c>
      <c r="B886" s="4">
        <v>37.0</v>
      </c>
      <c r="C886" s="1" t="s">
        <v>156</v>
      </c>
      <c r="D886" s="4">
        <v>12.0</v>
      </c>
      <c r="E886" s="4">
        <v>15.0</v>
      </c>
      <c r="F886" s="4">
        <v>6.0</v>
      </c>
      <c r="G886" s="4">
        <v>9.0</v>
      </c>
      <c r="H886" s="4">
        <v>0.0</v>
      </c>
      <c r="I886" s="4">
        <v>40.0</v>
      </c>
      <c r="J886" s="4">
        <v>69.0</v>
      </c>
      <c r="K886" s="4">
        <v>-29.0</v>
      </c>
      <c r="L886" s="2" t="s">
        <v>427</v>
      </c>
      <c r="M886" s="5">
        <f>IFERROR(__xludf.DUMMYFUNCTION("""COMPUTED_VALUE"""),9.0)</f>
        <v>9</v>
      </c>
      <c r="N886" s="5">
        <f>IFERROR(__xludf.DUMMYFUNCTION("""COMPUTED_VALUE"""),12.0)</f>
        <v>12</v>
      </c>
      <c r="O886" s="5">
        <f>IFERROR(__xludf.DUMMYFUNCTION("""COMPUTED_VALUE"""),2000.0)</f>
        <v>2000</v>
      </c>
    </row>
    <row r="887">
      <c r="A887" s="1" t="s">
        <v>423</v>
      </c>
      <c r="B887" s="4">
        <v>38.0</v>
      </c>
      <c r="C887" s="1" t="s">
        <v>96</v>
      </c>
      <c r="D887" s="4">
        <v>11.0</v>
      </c>
      <c r="E887" s="4">
        <v>7.0</v>
      </c>
      <c r="F887" s="4">
        <v>5.0</v>
      </c>
      <c r="G887" s="4">
        <v>1.0</v>
      </c>
      <c r="H887" s="4">
        <v>1.0</v>
      </c>
      <c r="I887" s="4">
        <v>21.0</v>
      </c>
      <c r="J887" s="4">
        <v>13.0</v>
      </c>
      <c r="K887" s="4">
        <v>8.0</v>
      </c>
      <c r="L887" s="2" t="s">
        <v>206</v>
      </c>
      <c r="M887" s="5">
        <f>IFERROR(__xludf.DUMMYFUNCTION("""COMPUTED_VALUE"""),16.0)</f>
        <v>16</v>
      </c>
      <c r="N887" s="5">
        <f>IFERROR(__xludf.DUMMYFUNCTION("""COMPUTED_VALUE"""),6.0)</f>
        <v>6</v>
      </c>
      <c r="O887" s="5">
        <f>IFERROR(__xludf.DUMMYFUNCTION("""COMPUTED_VALUE"""),1.0)</f>
        <v>1</v>
      </c>
    </row>
    <row r="888">
      <c r="A888" s="1" t="s">
        <v>423</v>
      </c>
      <c r="B888" s="4">
        <v>39.0</v>
      </c>
      <c r="C888" s="1" t="s">
        <v>54</v>
      </c>
      <c r="D888" s="4">
        <v>10.0</v>
      </c>
      <c r="E888" s="4">
        <v>7.0</v>
      </c>
      <c r="F888" s="4">
        <v>5.0</v>
      </c>
      <c r="G888" s="4">
        <v>2.0</v>
      </c>
      <c r="H888" s="4">
        <v>0.0</v>
      </c>
      <c r="I888" s="4">
        <v>32.0</v>
      </c>
      <c r="J888" s="4">
        <v>22.0</v>
      </c>
      <c r="K888" s="4">
        <v>10.0</v>
      </c>
      <c r="L888" s="2" t="s">
        <v>84</v>
      </c>
      <c r="M888" s="5">
        <f>IFERROR(__xludf.DUMMYFUNCTION("""COMPUTED_VALUE"""),13.0)</f>
        <v>13</v>
      </c>
      <c r="N888" s="5">
        <f>IFERROR(__xludf.DUMMYFUNCTION("""COMPUTED_VALUE"""),9.0)</f>
        <v>9</v>
      </c>
      <c r="O888" s="5">
        <f>IFERROR(__xludf.DUMMYFUNCTION("""COMPUTED_VALUE"""),1.0)</f>
        <v>1</v>
      </c>
    </row>
    <row r="889">
      <c r="A889" s="1" t="s">
        <v>423</v>
      </c>
      <c r="B889" s="4">
        <v>40.0</v>
      </c>
      <c r="C889" s="1" t="s">
        <v>128</v>
      </c>
      <c r="D889" s="4">
        <v>10.0</v>
      </c>
      <c r="E889" s="4">
        <v>10.0</v>
      </c>
      <c r="F889" s="4">
        <v>5.0</v>
      </c>
      <c r="G889" s="4">
        <v>5.0</v>
      </c>
      <c r="H889" s="4">
        <v>0.0</v>
      </c>
      <c r="I889" s="4">
        <v>39.0</v>
      </c>
      <c r="J889" s="4">
        <v>34.0</v>
      </c>
      <c r="K889" s="4">
        <v>5.0</v>
      </c>
      <c r="L889" s="2" t="s">
        <v>23</v>
      </c>
      <c r="M889" s="5">
        <f>IFERROR(__xludf.DUMMYFUNCTION("""COMPUTED_VALUE"""),14.0)</f>
        <v>14</v>
      </c>
      <c r="N889" s="5">
        <f>IFERROR(__xludf.DUMMYFUNCTION("""COMPUTED_VALUE"""),10.0)</f>
        <v>10</v>
      </c>
      <c r="O889" s="5">
        <f>IFERROR(__xludf.DUMMYFUNCTION("""COMPUTED_VALUE"""),0.0)</f>
        <v>0</v>
      </c>
    </row>
    <row r="890">
      <c r="A890" s="1" t="s">
        <v>423</v>
      </c>
      <c r="B890" s="4">
        <v>41.0</v>
      </c>
      <c r="C890" s="1" t="s">
        <v>81</v>
      </c>
      <c r="D890" s="4">
        <v>10.0</v>
      </c>
      <c r="E890" s="4">
        <v>10.0</v>
      </c>
      <c r="F890" s="4">
        <v>5.0</v>
      </c>
      <c r="G890" s="4">
        <v>5.0</v>
      </c>
      <c r="H890" s="4">
        <v>0.0</v>
      </c>
      <c r="I890" s="4">
        <v>30.0</v>
      </c>
      <c r="J890" s="4">
        <v>36.0</v>
      </c>
      <c r="K890" s="4">
        <v>-6.0</v>
      </c>
      <c r="L890" s="2" t="s">
        <v>179</v>
      </c>
      <c r="M890" s="5">
        <f>IFERROR(__xludf.DUMMYFUNCTION("""COMPUTED_VALUE"""),10.0)</f>
        <v>10</v>
      </c>
      <c r="N890" s="5">
        <f>IFERROR(__xludf.DUMMYFUNCTION("""COMPUTED_VALUE"""),13.0)</f>
        <v>13</v>
      </c>
      <c r="O890" s="5">
        <f>IFERROR(__xludf.DUMMYFUNCTION("""COMPUTED_VALUE"""),2001.0)</f>
        <v>2001</v>
      </c>
    </row>
    <row r="891">
      <c r="A891" s="1" t="s">
        <v>423</v>
      </c>
      <c r="B891" s="4">
        <v>42.0</v>
      </c>
      <c r="C891" s="1" t="s">
        <v>68</v>
      </c>
      <c r="D891" s="4">
        <v>10.0</v>
      </c>
      <c r="E891" s="4">
        <v>10.0</v>
      </c>
      <c r="F891" s="4">
        <v>5.0</v>
      </c>
      <c r="G891" s="4">
        <v>5.0</v>
      </c>
      <c r="H891" s="4">
        <v>0.0</v>
      </c>
      <c r="I891" s="4">
        <v>48.0</v>
      </c>
      <c r="J891" s="4">
        <v>64.0</v>
      </c>
      <c r="K891" s="4">
        <v>-16.0</v>
      </c>
      <c r="L891" s="2" t="s">
        <v>23</v>
      </c>
      <c r="M891" s="5">
        <f>IFERROR(__xludf.DUMMYFUNCTION("""COMPUTED_VALUE"""),14.0)</f>
        <v>14</v>
      </c>
      <c r="N891" s="5">
        <f>IFERROR(__xludf.DUMMYFUNCTION("""COMPUTED_VALUE"""),10.0)</f>
        <v>10</v>
      </c>
      <c r="O891" s="5">
        <f>IFERROR(__xludf.DUMMYFUNCTION("""COMPUTED_VALUE"""),0.0)</f>
        <v>0</v>
      </c>
    </row>
    <row r="892">
      <c r="A892" s="1" t="s">
        <v>423</v>
      </c>
      <c r="B892" s="4">
        <v>43.0</v>
      </c>
      <c r="C892" s="1" t="s">
        <v>66</v>
      </c>
      <c r="D892" s="4">
        <v>10.0</v>
      </c>
      <c r="E892" s="4">
        <v>12.0</v>
      </c>
      <c r="F892" s="4">
        <v>5.0</v>
      </c>
      <c r="G892" s="4">
        <v>7.0</v>
      </c>
      <c r="H892" s="4">
        <v>0.0</v>
      </c>
      <c r="I892" s="4">
        <v>26.0</v>
      </c>
      <c r="J892" s="4">
        <v>45.0</v>
      </c>
      <c r="K892" s="4">
        <v>-19.0</v>
      </c>
      <c r="L892" s="2" t="s">
        <v>82</v>
      </c>
      <c r="M892" s="5">
        <f>IFERROR(__xludf.DUMMYFUNCTION("""COMPUTED_VALUE"""),11.0)</f>
        <v>11</v>
      </c>
      <c r="N892" s="5">
        <f>IFERROR(__xludf.DUMMYFUNCTION("""COMPUTED_VALUE"""),12.0)</f>
        <v>12</v>
      </c>
      <c r="O892" s="5">
        <f>IFERROR(__xludf.DUMMYFUNCTION("""COMPUTED_VALUE"""),2001.0)</f>
        <v>2001</v>
      </c>
    </row>
    <row r="893">
      <c r="A893" s="1" t="s">
        <v>423</v>
      </c>
      <c r="B893" s="4">
        <v>44.0</v>
      </c>
      <c r="C893" s="1" t="s">
        <v>29</v>
      </c>
      <c r="D893" s="4">
        <v>10.0</v>
      </c>
      <c r="E893" s="4">
        <v>15.0</v>
      </c>
      <c r="F893" s="4">
        <v>5.0</v>
      </c>
      <c r="G893" s="4">
        <v>10.0</v>
      </c>
      <c r="H893" s="4">
        <v>0.0</v>
      </c>
      <c r="I893" s="4">
        <v>46.0</v>
      </c>
      <c r="J893" s="4">
        <v>97.0</v>
      </c>
      <c r="K893" s="4">
        <v>-51.0</v>
      </c>
      <c r="L893" s="2" t="s">
        <v>428</v>
      </c>
      <c r="M893" s="5">
        <f>IFERROR(__xludf.DUMMYFUNCTION("""COMPUTED_VALUE"""),5.0)</f>
        <v>5</v>
      </c>
      <c r="N893" s="5">
        <f>IFERROR(__xludf.DUMMYFUNCTION("""COMPUTED_VALUE"""),13.0)</f>
        <v>13</v>
      </c>
      <c r="O893" s="5">
        <f>IFERROR(__xludf.DUMMYFUNCTION("""COMPUTED_VALUE"""),2000.0)</f>
        <v>2000</v>
      </c>
    </row>
    <row r="894">
      <c r="A894" s="1" t="s">
        <v>423</v>
      </c>
      <c r="B894" s="4">
        <v>45.0</v>
      </c>
      <c r="C894" s="1" t="s">
        <v>149</v>
      </c>
      <c r="D894" s="4">
        <v>9.0</v>
      </c>
      <c r="E894" s="4">
        <v>7.0</v>
      </c>
      <c r="F894" s="4">
        <v>4.0</v>
      </c>
      <c r="G894" s="4">
        <v>2.0</v>
      </c>
      <c r="H894" s="4">
        <v>1.0</v>
      </c>
      <c r="I894" s="4">
        <v>26.0</v>
      </c>
      <c r="J894" s="4">
        <v>11.0</v>
      </c>
      <c r="K894" s="4">
        <v>15.0</v>
      </c>
      <c r="L894" s="2" t="s">
        <v>26</v>
      </c>
      <c r="M894" s="5">
        <f>IFERROR(__xludf.DUMMYFUNCTION("""COMPUTED_VALUE"""),13.0)</f>
        <v>13</v>
      </c>
      <c r="N894" s="5">
        <f>IFERROR(__xludf.DUMMYFUNCTION("""COMPUTED_VALUE"""),9.0)</f>
        <v>9</v>
      </c>
      <c r="O894" s="5">
        <f>IFERROR(__xludf.DUMMYFUNCTION("""COMPUTED_VALUE"""),2.0)</f>
        <v>2</v>
      </c>
    </row>
    <row r="895">
      <c r="A895" s="1" t="s">
        <v>423</v>
      </c>
      <c r="B895" s="4">
        <v>46.0</v>
      </c>
      <c r="C895" s="1" t="s">
        <v>161</v>
      </c>
      <c r="D895" s="4">
        <v>8.0</v>
      </c>
      <c r="E895" s="4">
        <v>10.0</v>
      </c>
      <c r="F895" s="4">
        <v>4.0</v>
      </c>
      <c r="G895" s="4">
        <v>6.0</v>
      </c>
      <c r="H895" s="4">
        <v>0.0</v>
      </c>
      <c r="I895" s="4">
        <v>51.0</v>
      </c>
      <c r="J895" s="4">
        <v>24.0</v>
      </c>
      <c r="K895" s="4">
        <v>27.0</v>
      </c>
      <c r="L895" s="2" t="s">
        <v>173</v>
      </c>
      <c r="M895" s="5">
        <f>IFERROR(__xludf.DUMMYFUNCTION("""COMPUTED_VALUE"""),8.0)</f>
        <v>8</v>
      </c>
      <c r="N895" s="5">
        <f>IFERROR(__xludf.DUMMYFUNCTION("""COMPUTED_VALUE"""),15.0)</f>
        <v>15</v>
      </c>
      <c r="O895" s="5">
        <f>IFERROR(__xludf.DUMMYFUNCTION("""COMPUTED_VALUE"""),2001.0)</f>
        <v>2001</v>
      </c>
    </row>
    <row r="896">
      <c r="A896" s="1" t="s">
        <v>423</v>
      </c>
      <c r="B896" s="4">
        <v>47.0</v>
      </c>
      <c r="C896" s="1" t="s">
        <v>98</v>
      </c>
      <c r="D896" s="4">
        <v>8.0</v>
      </c>
      <c r="E896" s="4">
        <v>7.0</v>
      </c>
      <c r="F896" s="4">
        <v>3.0</v>
      </c>
      <c r="G896" s="4">
        <v>2.0</v>
      </c>
      <c r="H896" s="4">
        <v>2.0</v>
      </c>
      <c r="I896" s="4">
        <v>17.0</v>
      </c>
      <c r="J896" s="4">
        <v>18.0</v>
      </c>
      <c r="K896" s="4">
        <v>-1.0</v>
      </c>
      <c r="L896" s="2" t="s">
        <v>429</v>
      </c>
      <c r="M896" s="5">
        <f>IFERROR(__xludf.DUMMYFUNCTION("""COMPUTED_VALUE"""),9.0)</f>
        <v>9</v>
      </c>
      <c r="N896" s="5">
        <f>IFERROR(__xludf.DUMMYFUNCTION("""COMPUTED_VALUE"""),10.0)</f>
        <v>10</v>
      </c>
      <c r="O896" s="5">
        <f>IFERROR(__xludf.DUMMYFUNCTION("""COMPUTED_VALUE"""),2005.0)</f>
        <v>2005</v>
      </c>
    </row>
    <row r="897">
      <c r="A897" s="1" t="s">
        <v>423</v>
      </c>
      <c r="B897" s="4">
        <v>48.0</v>
      </c>
      <c r="C897" s="1" t="s">
        <v>114</v>
      </c>
      <c r="D897" s="4">
        <v>8.0</v>
      </c>
      <c r="E897" s="4">
        <v>8.0</v>
      </c>
      <c r="F897" s="4">
        <v>4.0</v>
      </c>
      <c r="G897" s="4">
        <v>4.0</v>
      </c>
      <c r="H897" s="4">
        <v>0.0</v>
      </c>
      <c r="I897" s="4">
        <v>28.0</v>
      </c>
      <c r="J897" s="4">
        <v>31.0</v>
      </c>
      <c r="K897" s="4">
        <v>-3.0</v>
      </c>
      <c r="L897" s="2" t="s">
        <v>410</v>
      </c>
      <c r="M897" s="5">
        <f>IFERROR(__xludf.DUMMYFUNCTION("""COMPUTED_VALUE"""),13.0)</f>
        <v>13</v>
      </c>
      <c r="N897" s="5">
        <f>IFERROR(__xludf.DUMMYFUNCTION("""COMPUTED_VALUE"""),9.0)</f>
        <v>9</v>
      </c>
      <c r="O897" s="5">
        <f>IFERROR(__xludf.DUMMYFUNCTION("""COMPUTED_VALUE"""),0.0)</f>
        <v>0</v>
      </c>
    </row>
    <row r="898">
      <c r="A898" s="1" t="s">
        <v>423</v>
      </c>
      <c r="B898" s="4">
        <v>49.0</v>
      </c>
      <c r="C898" s="1" t="s">
        <v>159</v>
      </c>
      <c r="D898" s="4">
        <v>8.0</v>
      </c>
      <c r="E898" s="4">
        <v>10.0</v>
      </c>
      <c r="F898" s="4">
        <v>4.0</v>
      </c>
      <c r="G898" s="4">
        <v>6.0</v>
      </c>
      <c r="H898" s="4">
        <v>0.0</v>
      </c>
      <c r="I898" s="4">
        <v>39.0</v>
      </c>
      <c r="J898" s="4">
        <v>47.0</v>
      </c>
      <c r="K898" s="4">
        <v>-8.0</v>
      </c>
      <c r="L898" s="2" t="s">
        <v>430</v>
      </c>
      <c r="M898" s="5">
        <f>IFERROR(__xludf.DUMMYFUNCTION("""COMPUTED_VALUE"""),9.0)</f>
        <v>9</v>
      </c>
      <c r="N898" s="5">
        <f>IFERROR(__xludf.DUMMYFUNCTION("""COMPUTED_VALUE"""),7.0)</f>
        <v>7</v>
      </c>
      <c r="O898" s="5">
        <f>IFERROR(__xludf.DUMMYFUNCTION("""COMPUTED_VALUE"""),2001.0)</f>
        <v>2001</v>
      </c>
    </row>
    <row r="899">
      <c r="A899" s="1" t="s">
        <v>423</v>
      </c>
      <c r="B899" s="4">
        <v>50.0</v>
      </c>
      <c r="C899" s="1" t="s">
        <v>116</v>
      </c>
      <c r="D899" s="4">
        <v>8.0</v>
      </c>
      <c r="E899" s="4">
        <v>10.0</v>
      </c>
      <c r="F899" s="4">
        <v>4.0</v>
      </c>
      <c r="G899" s="4">
        <v>6.0</v>
      </c>
      <c r="H899" s="4">
        <v>0.0</v>
      </c>
      <c r="I899" s="4">
        <v>37.0</v>
      </c>
      <c r="J899" s="4">
        <v>50.0</v>
      </c>
      <c r="K899" s="4">
        <v>-13.0</v>
      </c>
      <c r="L899" s="2" t="s">
        <v>180</v>
      </c>
      <c r="M899" s="5">
        <f>IFERROR(__xludf.DUMMYFUNCTION("""COMPUTED_VALUE"""),12.0)</f>
        <v>12</v>
      </c>
      <c r="N899" s="5">
        <f>IFERROR(__xludf.DUMMYFUNCTION("""COMPUTED_VALUE"""),10.0)</f>
        <v>10</v>
      </c>
      <c r="O899" s="5">
        <f>IFERROR(__xludf.DUMMYFUNCTION("""COMPUTED_VALUE"""),2002.0)</f>
        <v>2002</v>
      </c>
    </row>
    <row r="900">
      <c r="A900" s="1" t="s">
        <v>423</v>
      </c>
      <c r="B900" s="4">
        <v>51.0</v>
      </c>
      <c r="C900" s="1" t="s">
        <v>52</v>
      </c>
      <c r="D900" s="4">
        <v>8.0</v>
      </c>
      <c r="E900" s="4">
        <v>12.0</v>
      </c>
      <c r="F900" s="4">
        <v>4.0</v>
      </c>
      <c r="G900" s="4">
        <v>8.0</v>
      </c>
      <c r="H900" s="4">
        <v>0.0</v>
      </c>
      <c r="I900" s="4">
        <v>25.0</v>
      </c>
      <c r="J900" s="4">
        <v>42.0</v>
      </c>
      <c r="K900" s="4">
        <v>-17.0</v>
      </c>
      <c r="L900" s="2" t="s">
        <v>431</v>
      </c>
      <c r="M900" s="5">
        <f>IFERROR(__xludf.DUMMYFUNCTION("""COMPUTED_VALUE"""),8.0)</f>
        <v>8</v>
      </c>
      <c r="N900" s="5">
        <f>IFERROR(__xludf.DUMMYFUNCTION("""COMPUTED_VALUE"""),11.0)</f>
        <v>11</v>
      </c>
      <c r="O900" s="5">
        <f>IFERROR(__xludf.DUMMYFUNCTION("""COMPUTED_VALUE"""),2001.0)</f>
        <v>2001</v>
      </c>
    </row>
    <row r="901">
      <c r="A901" s="1" t="s">
        <v>423</v>
      </c>
      <c r="B901" s="4">
        <v>52.0</v>
      </c>
      <c r="C901" s="1" t="s">
        <v>146</v>
      </c>
      <c r="D901" s="4">
        <v>8.0</v>
      </c>
      <c r="E901" s="4">
        <v>14.0</v>
      </c>
      <c r="F901" s="4">
        <v>3.0</v>
      </c>
      <c r="G901" s="4">
        <v>9.0</v>
      </c>
      <c r="H901" s="4">
        <v>2.0</v>
      </c>
      <c r="I901" s="4">
        <v>27.0</v>
      </c>
      <c r="J901" s="4">
        <v>62.0</v>
      </c>
      <c r="K901" s="4">
        <v>-35.0</v>
      </c>
      <c r="L901" s="2" t="s">
        <v>224</v>
      </c>
      <c r="M901" s="5">
        <f>IFERROR(__xludf.DUMMYFUNCTION("""COMPUTED_VALUE"""),7.0)</f>
        <v>7</v>
      </c>
      <c r="N901" s="5">
        <f>IFERROR(__xludf.DUMMYFUNCTION("""COMPUTED_VALUE"""),13.0)</f>
        <v>13</v>
      </c>
      <c r="O901" s="5">
        <f>IFERROR(__xludf.DUMMYFUNCTION("""COMPUTED_VALUE"""),2003.0)</f>
        <v>2003</v>
      </c>
    </row>
    <row r="902">
      <c r="A902" s="1" t="s">
        <v>423</v>
      </c>
      <c r="B902" s="4">
        <v>53.0</v>
      </c>
      <c r="C902" s="1" t="s">
        <v>31</v>
      </c>
      <c r="D902" s="4">
        <v>7.0</v>
      </c>
      <c r="E902" s="4">
        <v>7.0</v>
      </c>
      <c r="F902" s="4">
        <v>3.0</v>
      </c>
      <c r="G902" s="4">
        <v>3.0</v>
      </c>
      <c r="H902" s="4">
        <v>1.0</v>
      </c>
      <c r="I902" s="4">
        <v>23.0</v>
      </c>
      <c r="J902" s="4">
        <v>23.0</v>
      </c>
      <c r="K902" s="4">
        <v>0.0</v>
      </c>
      <c r="L902" s="2" t="s">
        <v>325</v>
      </c>
      <c r="M902" s="5">
        <f>IFERROR(__xludf.DUMMYFUNCTION("""COMPUTED_VALUE"""),10.0)</f>
        <v>10</v>
      </c>
      <c r="N902" s="5">
        <f>IFERROR(__xludf.DUMMYFUNCTION("""COMPUTED_VALUE"""),11.0)</f>
        <v>11</v>
      </c>
      <c r="O902" s="5">
        <f>IFERROR(__xludf.DUMMYFUNCTION("""COMPUTED_VALUE"""),2002.0)</f>
        <v>2002</v>
      </c>
    </row>
    <row r="903">
      <c r="A903" s="1" t="s">
        <v>423</v>
      </c>
      <c r="B903" s="4">
        <v>54.0</v>
      </c>
      <c r="C903" s="1" t="s">
        <v>56</v>
      </c>
      <c r="D903" s="4">
        <v>7.0</v>
      </c>
      <c r="E903" s="4">
        <v>8.0</v>
      </c>
      <c r="F903" s="4">
        <v>3.0</v>
      </c>
      <c r="G903" s="4">
        <v>4.0</v>
      </c>
      <c r="H903" s="4">
        <v>1.0</v>
      </c>
      <c r="I903" s="4">
        <v>18.0</v>
      </c>
      <c r="J903" s="4">
        <v>26.0</v>
      </c>
      <c r="K903" s="4">
        <v>-8.0</v>
      </c>
      <c r="L903" s="2" t="s">
        <v>143</v>
      </c>
      <c r="M903" s="5">
        <f>IFERROR(__xludf.DUMMYFUNCTION("""COMPUTED_VALUE"""),7.0)</f>
        <v>7</v>
      </c>
      <c r="N903" s="5">
        <f>IFERROR(__xludf.DUMMYFUNCTION("""COMPUTED_VALUE"""),16.0)</f>
        <v>16</v>
      </c>
      <c r="O903" s="5">
        <f>IFERROR(__xludf.DUMMYFUNCTION("""COMPUTED_VALUE"""),2001.0)</f>
        <v>2001</v>
      </c>
    </row>
    <row r="904">
      <c r="A904" s="1" t="s">
        <v>423</v>
      </c>
      <c r="B904" s="4">
        <v>55.0</v>
      </c>
      <c r="C904" s="1" t="s">
        <v>83</v>
      </c>
      <c r="D904" s="4">
        <v>6.0</v>
      </c>
      <c r="E904" s="4">
        <v>5.0</v>
      </c>
      <c r="F904" s="4">
        <v>3.0</v>
      </c>
      <c r="G904" s="4">
        <v>2.0</v>
      </c>
      <c r="H904" s="4">
        <v>0.0</v>
      </c>
      <c r="I904" s="4">
        <v>26.0</v>
      </c>
      <c r="J904" s="4">
        <v>11.0</v>
      </c>
      <c r="K904" s="4">
        <v>15.0</v>
      </c>
      <c r="L904" s="2" t="s">
        <v>432</v>
      </c>
      <c r="M904" s="5">
        <f>IFERROR(__xludf.DUMMYFUNCTION("""COMPUTED_VALUE"""),10.0)</f>
        <v>10</v>
      </c>
      <c r="N904" s="5">
        <f>IFERROR(__xludf.DUMMYFUNCTION("""COMPUTED_VALUE"""),11.0)</f>
        <v>11</v>
      </c>
      <c r="O904" s="5">
        <f>IFERROR(__xludf.DUMMYFUNCTION("""COMPUTED_VALUE"""),2001.0)</f>
        <v>2001</v>
      </c>
    </row>
    <row r="905">
      <c r="A905" s="1" t="s">
        <v>423</v>
      </c>
      <c r="B905" s="4">
        <v>56.0</v>
      </c>
      <c r="C905" s="1" t="s">
        <v>368</v>
      </c>
      <c r="D905" s="4">
        <v>6.0</v>
      </c>
      <c r="E905" s="4">
        <v>8.0</v>
      </c>
      <c r="F905" s="4">
        <v>3.0</v>
      </c>
      <c r="G905" s="4">
        <v>5.0</v>
      </c>
      <c r="H905" s="4">
        <v>0.0</v>
      </c>
      <c r="I905" s="4">
        <v>24.0</v>
      </c>
      <c r="J905" s="4">
        <v>24.0</v>
      </c>
      <c r="K905" s="4">
        <v>0.0</v>
      </c>
      <c r="L905" s="2" t="s">
        <v>95</v>
      </c>
      <c r="M905" s="5">
        <f>IFERROR(__xludf.DUMMYFUNCTION("""COMPUTED_VALUE"""),9.0)</f>
        <v>9</v>
      </c>
      <c r="N905" s="5">
        <f>IFERROR(__xludf.DUMMYFUNCTION("""COMPUTED_VALUE"""),14.0)</f>
        <v>14</v>
      </c>
      <c r="O905" s="5">
        <f>IFERROR(__xludf.DUMMYFUNCTION("""COMPUTED_VALUE"""),2000.0)</f>
        <v>2000</v>
      </c>
    </row>
    <row r="906">
      <c r="A906" s="1" t="s">
        <v>423</v>
      </c>
      <c r="B906" s="4">
        <v>57.0</v>
      </c>
      <c r="C906" s="1" t="s">
        <v>36</v>
      </c>
      <c r="D906" s="4">
        <v>6.0</v>
      </c>
      <c r="E906" s="4">
        <v>7.0</v>
      </c>
      <c r="F906" s="4">
        <v>3.0</v>
      </c>
      <c r="G906" s="4">
        <v>4.0</v>
      </c>
      <c r="H906" s="4">
        <v>0.0</v>
      </c>
      <c r="I906" s="4">
        <v>21.0</v>
      </c>
      <c r="J906" s="4">
        <v>24.0</v>
      </c>
      <c r="K906" s="4">
        <v>-3.0</v>
      </c>
      <c r="L906" s="2" t="s">
        <v>223</v>
      </c>
      <c r="M906" s="5">
        <f>IFERROR(__xludf.DUMMYFUNCTION("""COMPUTED_VALUE"""),7.0)</f>
        <v>7</v>
      </c>
      <c r="N906" s="5">
        <f>IFERROR(__xludf.DUMMYFUNCTION("""COMPUTED_VALUE"""),15.0)</f>
        <v>15</v>
      </c>
      <c r="O906" s="5">
        <f>IFERROR(__xludf.DUMMYFUNCTION("""COMPUTED_VALUE"""),2001.0)</f>
        <v>2001</v>
      </c>
    </row>
    <row r="907">
      <c r="A907" s="1" t="s">
        <v>423</v>
      </c>
      <c r="B907" s="4">
        <v>58.0</v>
      </c>
      <c r="C907" s="1" t="s">
        <v>34</v>
      </c>
      <c r="D907" s="4">
        <v>6.0</v>
      </c>
      <c r="E907" s="4">
        <v>10.0</v>
      </c>
      <c r="F907" s="4">
        <v>3.0</v>
      </c>
      <c r="G907" s="4">
        <v>7.0</v>
      </c>
      <c r="H907" s="4">
        <v>0.0</v>
      </c>
      <c r="I907" s="4">
        <v>38.0</v>
      </c>
      <c r="J907" s="4">
        <v>45.0</v>
      </c>
      <c r="K907" s="4">
        <v>-7.0</v>
      </c>
      <c r="L907" s="2" t="s">
        <v>433</v>
      </c>
      <c r="M907" s="5">
        <f>IFERROR(__xludf.DUMMYFUNCTION("""COMPUTED_VALUE"""),11.0)</f>
        <v>11</v>
      </c>
      <c r="N907" s="5">
        <f>IFERROR(__xludf.DUMMYFUNCTION("""COMPUTED_VALUE"""),10.0)</f>
        <v>10</v>
      </c>
      <c r="O907" s="5">
        <f>IFERROR(__xludf.DUMMYFUNCTION("""COMPUTED_VALUE"""),2001.0)</f>
        <v>2001</v>
      </c>
    </row>
    <row r="908">
      <c r="A908" s="1" t="s">
        <v>423</v>
      </c>
      <c r="B908" s="4">
        <v>59.0</v>
      </c>
      <c r="C908" s="1" t="s">
        <v>377</v>
      </c>
      <c r="D908" s="4">
        <v>6.0</v>
      </c>
      <c r="E908" s="4">
        <v>8.0</v>
      </c>
      <c r="F908" s="4">
        <v>3.0</v>
      </c>
      <c r="G908" s="4">
        <v>5.0</v>
      </c>
      <c r="H908" s="4">
        <v>0.0</v>
      </c>
      <c r="I908" s="4">
        <v>21.0</v>
      </c>
      <c r="J908" s="4">
        <v>37.0</v>
      </c>
      <c r="K908" s="4">
        <v>-16.0</v>
      </c>
      <c r="L908" s="2" t="s">
        <v>200</v>
      </c>
      <c r="M908" s="5">
        <f>IFERROR(__xludf.DUMMYFUNCTION("""COMPUTED_VALUE"""),6.0)</f>
        <v>6</v>
      </c>
      <c r="N908" s="5">
        <f>IFERROR(__xludf.DUMMYFUNCTION("""COMPUTED_VALUE"""),16.0)</f>
        <v>16</v>
      </c>
      <c r="O908" s="5">
        <f>IFERROR(__xludf.DUMMYFUNCTION("""COMPUTED_VALUE"""),2001.0)</f>
        <v>2001</v>
      </c>
    </row>
    <row r="909">
      <c r="A909" s="1" t="s">
        <v>423</v>
      </c>
      <c r="B909" s="4">
        <v>60.0</v>
      </c>
      <c r="C909" s="1" t="s">
        <v>58</v>
      </c>
      <c r="D909" s="4">
        <v>5.0</v>
      </c>
      <c r="E909" s="4">
        <v>14.0</v>
      </c>
      <c r="F909" s="4">
        <v>2.0</v>
      </c>
      <c r="G909" s="4">
        <v>11.0</v>
      </c>
      <c r="H909" s="4">
        <v>1.0</v>
      </c>
      <c r="I909" s="4">
        <v>30.0</v>
      </c>
      <c r="J909" s="4">
        <v>52.0</v>
      </c>
      <c r="K909" s="4">
        <v>-22.0</v>
      </c>
      <c r="L909" s="2" t="s">
        <v>330</v>
      </c>
      <c r="M909" s="5">
        <f>IFERROR(__xludf.DUMMYFUNCTION("""COMPUTED_VALUE"""),5.0)</f>
        <v>5</v>
      </c>
      <c r="N909" s="5">
        <f>IFERROR(__xludf.DUMMYFUNCTION("""COMPUTED_VALUE"""),17.0)</f>
        <v>17</v>
      </c>
      <c r="O909" s="5">
        <f>IFERROR(__xludf.DUMMYFUNCTION("""COMPUTED_VALUE"""),2002.0)</f>
        <v>2002</v>
      </c>
    </row>
    <row r="910">
      <c r="A910" s="1" t="s">
        <v>423</v>
      </c>
      <c r="B910" s="4">
        <v>61.0</v>
      </c>
      <c r="C910" s="1" t="s">
        <v>413</v>
      </c>
      <c r="D910" s="4">
        <v>5.0</v>
      </c>
      <c r="E910" s="4">
        <v>12.0</v>
      </c>
      <c r="F910" s="4">
        <v>2.0</v>
      </c>
      <c r="G910" s="4">
        <v>9.0</v>
      </c>
      <c r="H910" s="4">
        <v>1.0</v>
      </c>
      <c r="I910" s="4">
        <v>26.0</v>
      </c>
      <c r="J910" s="4">
        <v>70.0</v>
      </c>
      <c r="K910" s="4">
        <v>-44.0</v>
      </c>
      <c r="L910" s="2" t="s">
        <v>325</v>
      </c>
      <c r="M910" s="5">
        <f>IFERROR(__xludf.DUMMYFUNCTION("""COMPUTED_VALUE"""),10.0)</f>
        <v>10</v>
      </c>
      <c r="N910" s="5">
        <f>IFERROR(__xludf.DUMMYFUNCTION("""COMPUTED_VALUE"""),11.0)</f>
        <v>11</v>
      </c>
      <c r="O910" s="5">
        <f>IFERROR(__xludf.DUMMYFUNCTION("""COMPUTED_VALUE"""),2002.0)</f>
        <v>2002</v>
      </c>
    </row>
    <row r="911">
      <c r="A911" s="1" t="s">
        <v>423</v>
      </c>
      <c r="B911" s="4">
        <v>62.0</v>
      </c>
      <c r="C911" s="1" t="s">
        <v>110</v>
      </c>
      <c r="D911" s="4">
        <v>4.0</v>
      </c>
      <c r="E911" s="4">
        <v>3.0</v>
      </c>
      <c r="F911" s="4">
        <v>2.0</v>
      </c>
      <c r="G911" s="4">
        <v>1.0</v>
      </c>
      <c r="H911" s="4">
        <v>0.0</v>
      </c>
      <c r="I911" s="4">
        <v>16.0</v>
      </c>
      <c r="J911" s="4">
        <v>6.0</v>
      </c>
      <c r="K911" s="4">
        <v>10.0</v>
      </c>
      <c r="L911" s="2" t="s">
        <v>242</v>
      </c>
      <c r="M911" s="5">
        <f>IFERROR(__xludf.DUMMYFUNCTION("""COMPUTED_VALUE"""),13.0)</f>
        <v>13</v>
      </c>
      <c r="N911" s="5">
        <f>IFERROR(__xludf.DUMMYFUNCTION("""COMPUTED_VALUE"""),7.0)</f>
        <v>7</v>
      </c>
      <c r="O911" s="5">
        <f>IFERROR(__xludf.DUMMYFUNCTION("""COMPUTED_VALUE"""),0.0)</f>
        <v>0</v>
      </c>
    </row>
    <row r="912">
      <c r="A912" s="1" t="s">
        <v>423</v>
      </c>
      <c r="B912" s="4">
        <v>63.0</v>
      </c>
      <c r="C912" s="1" t="s">
        <v>108</v>
      </c>
      <c r="D912" s="4">
        <v>4.0</v>
      </c>
      <c r="E912" s="4">
        <v>5.0</v>
      </c>
      <c r="F912" s="4">
        <v>2.0</v>
      </c>
      <c r="G912" s="4">
        <v>3.0</v>
      </c>
      <c r="H912" s="4">
        <v>0.0</v>
      </c>
      <c r="I912" s="4">
        <v>19.0</v>
      </c>
      <c r="J912" s="4">
        <v>24.0</v>
      </c>
      <c r="K912" s="4">
        <v>-5.0</v>
      </c>
      <c r="L912" s="2" t="s">
        <v>200</v>
      </c>
      <c r="M912" s="5">
        <f>IFERROR(__xludf.DUMMYFUNCTION("""COMPUTED_VALUE"""),6.0)</f>
        <v>6</v>
      </c>
      <c r="N912" s="5">
        <f>IFERROR(__xludf.DUMMYFUNCTION("""COMPUTED_VALUE"""),16.0)</f>
        <v>16</v>
      </c>
      <c r="O912" s="5">
        <f>IFERROR(__xludf.DUMMYFUNCTION("""COMPUTED_VALUE"""),2001.0)</f>
        <v>2001</v>
      </c>
    </row>
    <row r="913">
      <c r="A913" s="1" t="s">
        <v>423</v>
      </c>
      <c r="B913" s="4">
        <v>64.0</v>
      </c>
      <c r="C913" s="1" t="s">
        <v>77</v>
      </c>
      <c r="D913" s="4">
        <v>4.0</v>
      </c>
      <c r="E913" s="4">
        <v>10.0</v>
      </c>
      <c r="F913" s="4">
        <v>2.0</v>
      </c>
      <c r="G913" s="4">
        <v>8.0</v>
      </c>
      <c r="H913" s="4">
        <v>0.0</v>
      </c>
      <c r="I913" s="4">
        <v>37.0</v>
      </c>
      <c r="J913" s="4">
        <v>50.0</v>
      </c>
      <c r="K913" s="4">
        <v>-13.0</v>
      </c>
      <c r="L913" s="2" t="s">
        <v>100</v>
      </c>
      <c r="M913" s="5">
        <f>IFERROR(__xludf.DUMMYFUNCTION("""COMPUTED_VALUE"""),7.0)</f>
        <v>7</v>
      </c>
      <c r="N913" s="5">
        <f>IFERROR(__xludf.DUMMYFUNCTION("""COMPUTED_VALUE"""),15.0)</f>
        <v>15</v>
      </c>
      <c r="O913" s="5">
        <f>IFERROR(__xludf.DUMMYFUNCTION("""COMPUTED_VALUE"""),2000.0)</f>
        <v>2000</v>
      </c>
    </row>
    <row r="914">
      <c r="A914" s="1" t="s">
        <v>423</v>
      </c>
      <c r="B914" s="4">
        <v>65.0</v>
      </c>
      <c r="C914" s="1" t="s">
        <v>103</v>
      </c>
      <c r="D914" s="4">
        <v>4.0</v>
      </c>
      <c r="E914" s="4">
        <v>7.0</v>
      </c>
      <c r="F914" s="4">
        <v>1.0</v>
      </c>
      <c r="G914" s="4">
        <v>4.0</v>
      </c>
      <c r="H914" s="4">
        <v>2.0</v>
      </c>
      <c r="I914" s="4">
        <v>17.0</v>
      </c>
      <c r="J914" s="4">
        <v>30.0</v>
      </c>
      <c r="K914" s="4">
        <v>-13.0</v>
      </c>
      <c r="L914" s="2" t="s">
        <v>172</v>
      </c>
      <c r="M914" s="5">
        <f>IFERROR(__xludf.DUMMYFUNCTION("""COMPUTED_VALUE"""),11.0)</f>
        <v>11</v>
      </c>
      <c r="N914" s="5">
        <f>IFERROR(__xludf.DUMMYFUNCTION("""COMPUTED_VALUE"""),10.0)</f>
        <v>10</v>
      </c>
      <c r="O914" s="5">
        <f>IFERROR(__xludf.DUMMYFUNCTION("""COMPUTED_VALUE"""),2002.0)</f>
        <v>2002</v>
      </c>
    </row>
    <row r="915">
      <c r="A915" s="1" t="s">
        <v>423</v>
      </c>
      <c r="B915" s="4">
        <v>66.0</v>
      </c>
      <c r="C915" s="1" t="s">
        <v>421</v>
      </c>
      <c r="D915" s="4">
        <v>4.0</v>
      </c>
      <c r="E915" s="4">
        <v>8.0</v>
      </c>
      <c r="F915" s="4">
        <v>1.0</v>
      </c>
      <c r="G915" s="4">
        <v>5.0</v>
      </c>
      <c r="H915" s="4">
        <v>2.0</v>
      </c>
      <c r="I915" s="4">
        <v>13.0</v>
      </c>
      <c r="J915" s="4">
        <v>34.0</v>
      </c>
      <c r="K915" s="4">
        <v>-21.0</v>
      </c>
      <c r="L915" s="2" t="s">
        <v>351</v>
      </c>
      <c r="M915" s="5">
        <f>IFERROR(__xludf.DUMMYFUNCTION("""COMPUTED_VALUE"""),12.0)</f>
        <v>12</v>
      </c>
      <c r="N915" s="5">
        <f>IFERROR(__xludf.DUMMYFUNCTION("""COMPUTED_VALUE"""),8.0)</f>
        <v>8</v>
      </c>
      <c r="O915" s="5">
        <f>IFERROR(__xludf.DUMMYFUNCTION("""COMPUTED_VALUE"""),2002.0)</f>
        <v>2002</v>
      </c>
    </row>
    <row r="916">
      <c r="A916" s="1" t="s">
        <v>423</v>
      </c>
      <c r="B916" s="4">
        <v>67.0</v>
      </c>
      <c r="C916" s="1" t="s">
        <v>416</v>
      </c>
      <c r="D916" s="4">
        <v>4.0</v>
      </c>
      <c r="E916" s="4">
        <v>7.0</v>
      </c>
      <c r="F916" s="4">
        <v>2.0</v>
      </c>
      <c r="G916" s="4">
        <v>5.0</v>
      </c>
      <c r="H916" s="4">
        <v>0.0</v>
      </c>
      <c r="I916" s="4">
        <v>16.0</v>
      </c>
      <c r="J916" s="4">
        <v>38.0</v>
      </c>
      <c r="K916" s="4">
        <v>-22.0</v>
      </c>
      <c r="L916" s="2" t="s">
        <v>434</v>
      </c>
      <c r="M916" s="5">
        <f>IFERROR(__xludf.DUMMYFUNCTION("""COMPUTED_VALUE"""),8.0)</f>
        <v>8</v>
      </c>
      <c r="N916" s="5">
        <f>IFERROR(__xludf.DUMMYFUNCTION("""COMPUTED_VALUE"""),13.0)</f>
        <v>13</v>
      </c>
      <c r="O916" s="5">
        <f>IFERROR(__xludf.DUMMYFUNCTION("""COMPUTED_VALUE"""),2000.0)</f>
        <v>2000</v>
      </c>
    </row>
    <row r="917">
      <c r="A917" s="1" t="s">
        <v>423</v>
      </c>
      <c r="B917" s="4">
        <v>68.0</v>
      </c>
      <c r="C917" s="1" t="s">
        <v>119</v>
      </c>
      <c r="D917" s="4">
        <v>4.0</v>
      </c>
      <c r="E917" s="4">
        <v>10.0</v>
      </c>
      <c r="F917" s="4">
        <v>2.0</v>
      </c>
      <c r="G917" s="4">
        <v>8.0</v>
      </c>
      <c r="H917" s="4">
        <v>0.0</v>
      </c>
      <c r="I917" s="4">
        <v>24.0</v>
      </c>
      <c r="J917" s="4">
        <v>48.0</v>
      </c>
      <c r="K917" s="4">
        <v>-24.0</v>
      </c>
      <c r="L917" s="2" t="s">
        <v>118</v>
      </c>
      <c r="M917" s="5">
        <f>IFERROR(__xludf.DUMMYFUNCTION("""COMPUTED_VALUE"""),9.0)</f>
        <v>9</v>
      </c>
      <c r="N917" s="5">
        <f>IFERROR(__xludf.DUMMYFUNCTION("""COMPUTED_VALUE"""),15.0)</f>
        <v>15</v>
      </c>
      <c r="O917" s="5">
        <f>IFERROR(__xludf.DUMMYFUNCTION("""COMPUTED_VALUE"""),2000.0)</f>
        <v>2000</v>
      </c>
    </row>
    <row r="918">
      <c r="A918" s="1" t="s">
        <v>423</v>
      </c>
      <c r="B918" s="4">
        <v>69.0</v>
      </c>
      <c r="C918" s="1" t="s">
        <v>92</v>
      </c>
      <c r="D918" s="4">
        <v>4.0</v>
      </c>
      <c r="E918" s="4">
        <v>10.0</v>
      </c>
      <c r="F918" s="4">
        <v>2.0</v>
      </c>
      <c r="G918" s="4">
        <v>8.0</v>
      </c>
      <c r="H918" s="4">
        <v>0.0</v>
      </c>
      <c r="I918" s="4">
        <v>24.0</v>
      </c>
      <c r="J918" s="4">
        <v>49.0</v>
      </c>
      <c r="K918" s="4">
        <v>-25.0</v>
      </c>
      <c r="L918" s="2" t="s">
        <v>82</v>
      </c>
      <c r="M918" s="5">
        <f>IFERROR(__xludf.DUMMYFUNCTION("""COMPUTED_VALUE"""),11.0)</f>
        <v>11</v>
      </c>
      <c r="N918" s="5">
        <f>IFERROR(__xludf.DUMMYFUNCTION("""COMPUTED_VALUE"""),12.0)</f>
        <v>12</v>
      </c>
      <c r="O918" s="5">
        <f>IFERROR(__xludf.DUMMYFUNCTION("""COMPUTED_VALUE"""),2001.0)</f>
        <v>2001</v>
      </c>
    </row>
    <row r="919">
      <c r="A919" s="1" t="s">
        <v>423</v>
      </c>
      <c r="B919" s="4">
        <v>70.0</v>
      </c>
      <c r="C919" s="1" t="s">
        <v>123</v>
      </c>
      <c r="D919" s="4">
        <v>4.0</v>
      </c>
      <c r="E919" s="4">
        <v>12.0</v>
      </c>
      <c r="F919" s="4">
        <v>2.0</v>
      </c>
      <c r="G919" s="4">
        <v>10.0</v>
      </c>
      <c r="H919" s="4">
        <v>0.0</v>
      </c>
      <c r="I919" s="4">
        <v>12.0</v>
      </c>
      <c r="J919" s="4">
        <v>42.0</v>
      </c>
      <c r="K919" s="4">
        <v>-30.0</v>
      </c>
      <c r="L919" s="2" t="s">
        <v>336</v>
      </c>
      <c r="M919" s="5">
        <f>IFERROR(__xludf.DUMMYFUNCTION("""COMPUTED_VALUE"""),5.0)</f>
        <v>5</v>
      </c>
      <c r="N919" s="5">
        <f>IFERROR(__xludf.DUMMYFUNCTION("""COMPUTED_VALUE"""),17.0)</f>
        <v>17</v>
      </c>
      <c r="O919" s="5">
        <f>IFERROR(__xludf.DUMMYFUNCTION("""COMPUTED_VALUE"""),2001.0)</f>
        <v>2001</v>
      </c>
    </row>
    <row r="920">
      <c r="A920" s="1" t="s">
        <v>423</v>
      </c>
      <c r="B920" s="4">
        <v>71.0</v>
      </c>
      <c r="C920" s="1" t="s">
        <v>113</v>
      </c>
      <c r="D920" s="4">
        <v>4.0</v>
      </c>
      <c r="E920" s="4">
        <v>10.0</v>
      </c>
      <c r="F920" s="4">
        <v>2.0</v>
      </c>
      <c r="G920" s="4">
        <v>8.0</v>
      </c>
      <c r="H920" s="4">
        <v>0.0</v>
      </c>
      <c r="I920" s="4">
        <v>14.0</v>
      </c>
      <c r="J920" s="4">
        <v>50.0</v>
      </c>
      <c r="K920" s="4">
        <v>-36.0</v>
      </c>
      <c r="L920" s="2" t="s">
        <v>435</v>
      </c>
      <c r="M920" s="5">
        <f>IFERROR(__xludf.DUMMYFUNCTION("""COMPUTED_VALUE"""),3.0)</f>
        <v>3</v>
      </c>
      <c r="N920" s="5">
        <f>IFERROR(__xludf.DUMMYFUNCTION("""COMPUTED_VALUE"""),19.0)</f>
        <v>19</v>
      </c>
      <c r="O920" s="5">
        <f>IFERROR(__xludf.DUMMYFUNCTION("""COMPUTED_VALUE"""),2001.0)</f>
        <v>2001</v>
      </c>
    </row>
    <row r="921">
      <c r="A921" s="1" t="s">
        <v>423</v>
      </c>
      <c r="B921" s="4">
        <v>72.0</v>
      </c>
      <c r="C921" s="1" t="s">
        <v>140</v>
      </c>
      <c r="D921" s="4">
        <v>4.0</v>
      </c>
      <c r="E921" s="4">
        <v>12.0</v>
      </c>
      <c r="F921" s="4">
        <v>2.0</v>
      </c>
      <c r="G921" s="4">
        <v>10.0</v>
      </c>
      <c r="H921" s="4">
        <v>0.0</v>
      </c>
      <c r="I921" s="4">
        <v>19.0</v>
      </c>
      <c r="J921" s="4">
        <v>83.0</v>
      </c>
      <c r="K921" s="4">
        <v>-64.0</v>
      </c>
      <c r="L921" s="2" t="s">
        <v>436</v>
      </c>
      <c r="M921" s="5">
        <f>IFERROR(__xludf.DUMMYFUNCTION("""COMPUTED_VALUE"""),5.0)</f>
        <v>5</v>
      </c>
      <c r="N921" s="5">
        <f>IFERROR(__xludf.DUMMYFUNCTION("""COMPUTED_VALUE"""),14.0)</f>
        <v>14</v>
      </c>
      <c r="O921" s="5">
        <f>IFERROR(__xludf.DUMMYFUNCTION("""COMPUTED_VALUE"""),2000.0)</f>
        <v>2000</v>
      </c>
    </row>
    <row r="922">
      <c r="A922" s="1" t="s">
        <v>423</v>
      </c>
      <c r="B922" s="4">
        <v>73.0</v>
      </c>
      <c r="C922" s="1" t="s">
        <v>134</v>
      </c>
      <c r="D922" s="4">
        <v>3.0</v>
      </c>
      <c r="E922" s="4">
        <v>12.0</v>
      </c>
      <c r="F922" s="4">
        <v>1.0</v>
      </c>
      <c r="G922" s="4">
        <v>10.0</v>
      </c>
      <c r="H922" s="4">
        <v>1.0</v>
      </c>
      <c r="I922" s="4">
        <v>15.0</v>
      </c>
      <c r="J922" s="4">
        <v>50.0</v>
      </c>
      <c r="K922" s="4">
        <v>-35.0</v>
      </c>
      <c r="L922" s="2" t="s">
        <v>321</v>
      </c>
      <c r="M922" s="5">
        <f>IFERROR(__xludf.DUMMYFUNCTION("""COMPUTED_VALUE"""),9.0)</f>
        <v>9</v>
      </c>
      <c r="N922" s="5">
        <f>IFERROR(__xludf.DUMMYFUNCTION("""COMPUTED_VALUE"""),14.0)</f>
        <v>14</v>
      </c>
      <c r="O922" s="5">
        <f>IFERROR(__xludf.DUMMYFUNCTION("""COMPUTED_VALUE"""),2001.0)</f>
        <v>2001</v>
      </c>
    </row>
    <row r="923">
      <c r="A923" s="1" t="s">
        <v>423</v>
      </c>
      <c r="B923" s="4">
        <v>74.0</v>
      </c>
      <c r="C923" s="1" t="s">
        <v>75</v>
      </c>
      <c r="D923" s="4">
        <v>3.0</v>
      </c>
      <c r="E923" s="4">
        <v>14.0</v>
      </c>
      <c r="F923" s="4">
        <v>1.0</v>
      </c>
      <c r="G923" s="4">
        <v>12.0</v>
      </c>
      <c r="H923" s="4">
        <v>1.0</v>
      </c>
      <c r="I923" s="4">
        <v>25.0</v>
      </c>
      <c r="J923" s="4">
        <v>72.0</v>
      </c>
      <c r="K923" s="4">
        <v>-47.0</v>
      </c>
      <c r="L923" s="2" t="s">
        <v>260</v>
      </c>
      <c r="M923" s="5">
        <f>IFERROR(__xludf.DUMMYFUNCTION("""COMPUTED_VALUE"""),1.0)</f>
        <v>1</v>
      </c>
      <c r="N923" s="5">
        <f>IFERROR(__xludf.DUMMYFUNCTION("""COMPUTED_VALUE"""),21.0)</f>
        <v>21</v>
      </c>
      <c r="O923" s="5">
        <f>IFERROR(__xludf.DUMMYFUNCTION("""COMPUTED_VALUE"""),2001.0)</f>
        <v>2001</v>
      </c>
    </row>
    <row r="924">
      <c r="A924" s="1" t="s">
        <v>423</v>
      </c>
      <c r="B924" s="4">
        <v>75.0</v>
      </c>
      <c r="C924" s="1" t="s">
        <v>158</v>
      </c>
      <c r="D924" s="4">
        <v>3.0</v>
      </c>
      <c r="E924" s="4">
        <v>12.0</v>
      </c>
      <c r="F924" s="4">
        <v>1.0</v>
      </c>
      <c r="G924" s="4">
        <v>10.0</v>
      </c>
      <c r="H924" s="4">
        <v>1.0</v>
      </c>
      <c r="I924" s="4">
        <v>14.0</v>
      </c>
      <c r="J924" s="4">
        <v>67.0</v>
      </c>
      <c r="K924" s="4">
        <v>-53.0</v>
      </c>
      <c r="L924" s="2" t="s">
        <v>223</v>
      </c>
      <c r="M924" s="5">
        <f>IFERROR(__xludf.DUMMYFUNCTION("""COMPUTED_VALUE"""),7.0)</f>
        <v>7</v>
      </c>
      <c r="N924" s="5">
        <f>IFERROR(__xludf.DUMMYFUNCTION("""COMPUTED_VALUE"""),15.0)</f>
        <v>15</v>
      </c>
      <c r="O924" s="5">
        <f>IFERROR(__xludf.DUMMYFUNCTION("""COMPUTED_VALUE"""),2001.0)</f>
        <v>2001</v>
      </c>
    </row>
    <row r="925">
      <c r="A925" s="1" t="s">
        <v>423</v>
      </c>
      <c r="B925" s="4">
        <v>76.0</v>
      </c>
      <c r="C925" s="1" t="s">
        <v>144</v>
      </c>
      <c r="D925" s="4">
        <v>2.0</v>
      </c>
      <c r="E925" s="4">
        <v>1.0</v>
      </c>
      <c r="F925" s="4">
        <v>1.0</v>
      </c>
      <c r="G925" s="4">
        <v>0.0</v>
      </c>
      <c r="H925" s="4">
        <v>0.0</v>
      </c>
      <c r="I925" s="4">
        <v>6.0</v>
      </c>
      <c r="J925" s="4">
        <v>2.0</v>
      </c>
      <c r="K925" s="4">
        <v>4.0</v>
      </c>
      <c r="L925" s="2" t="s">
        <v>19</v>
      </c>
      <c r="M925" s="5">
        <f>IFERROR(__xludf.DUMMYFUNCTION("""COMPUTED_VALUE"""),18.0)</f>
        <v>18</v>
      </c>
      <c r="N925" s="5">
        <f>IFERROR(__xludf.DUMMYFUNCTION("""COMPUTED_VALUE"""),6.0)</f>
        <v>6</v>
      </c>
      <c r="O925" s="5">
        <f>IFERROR(__xludf.DUMMYFUNCTION("""COMPUTED_VALUE"""),0.0)</f>
        <v>0</v>
      </c>
    </row>
    <row r="926">
      <c r="A926" s="1" t="s">
        <v>423</v>
      </c>
      <c r="B926" s="4">
        <v>77.0</v>
      </c>
      <c r="C926" s="1" t="s">
        <v>126</v>
      </c>
      <c r="D926" s="4">
        <v>2.0</v>
      </c>
      <c r="E926" s="4">
        <v>4.0</v>
      </c>
      <c r="F926" s="4">
        <v>1.0</v>
      </c>
      <c r="G926" s="4">
        <v>3.0</v>
      </c>
      <c r="H926" s="4">
        <v>0.0</v>
      </c>
      <c r="I926" s="4">
        <v>10.0</v>
      </c>
      <c r="J926" s="4">
        <v>19.0</v>
      </c>
      <c r="K926" s="4">
        <v>-9.0</v>
      </c>
      <c r="L926" s="2" t="s">
        <v>201</v>
      </c>
      <c r="M926" s="5">
        <f>IFERROR(__xludf.DUMMYFUNCTION("""COMPUTED_VALUE"""),2.0)</f>
        <v>2</v>
      </c>
      <c r="N926" s="5">
        <f>IFERROR(__xludf.DUMMYFUNCTION("""COMPUTED_VALUE"""),18.0)</f>
        <v>18</v>
      </c>
      <c r="O926" s="5">
        <f>IFERROR(__xludf.DUMMYFUNCTION("""COMPUTED_VALUE"""),2000.0)</f>
        <v>2000</v>
      </c>
    </row>
    <row r="927">
      <c r="A927" s="1" t="s">
        <v>423</v>
      </c>
      <c r="B927" s="4">
        <v>78.0</v>
      </c>
      <c r="C927" s="1" t="s">
        <v>398</v>
      </c>
      <c r="D927" s="4">
        <v>2.0</v>
      </c>
      <c r="E927" s="4">
        <v>10.0</v>
      </c>
      <c r="F927" s="4">
        <v>1.0</v>
      </c>
      <c r="G927" s="4">
        <v>9.0</v>
      </c>
      <c r="H927" s="4">
        <v>0.0</v>
      </c>
      <c r="I927" s="4">
        <v>8.0</v>
      </c>
      <c r="J927" s="4">
        <v>77.0</v>
      </c>
      <c r="K927" s="4">
        <v>-69.0</v>
      </c>
      <c r="L927" s="2" t="s">
        <v>437</v>
      </c>
      <c r="M927" s="5">
        <f>IFERROR(__xludf.DUMMYFUNCTION("""COMPUTED_VALUE"""),1.0)</f>
        <v>1</v>
      </c>
      <c r="N927" s="5">
        <f>IFERROR(__xludf.DUMMYFUNCTION("""COMPUTED_VALUE"""),21.0)</f>
        <v>21</v>
      </c>
      <c r="O927" s="5">
        <f>IFERROR(__xludf.DUMMYFUNCTION("""COMPUTED_VALUE"""),2000.0)</f>
        <v>2000</v>
      </c>
    </row>
    <row r="928">
      <c r="A928" s="1" t="s">
        <v>423</v>
      </c>
      <c r="B928" s="4">
        <v>79.0</v>
      </c>
      <c r="C928" s="1" t="s">
        <v>135</v>
      </c>
      <c r="D928" s="4">
        <v>2.0</v>
      </c>
      <c r="E928" s="4">
        <v>14.0</v>
      </c>
      <c r="F928" s="4">
        <v>1.0</v>
      </c>
      <c r="G928" s="4">
        <v>13.0</v>
      </c>
      <c r="H928" s="4">
        <v>0.0</v>
      </c>
      <c r="I928" s="4">
        <v>16.0</v>
      </c>
      <c r="J928" s="4">
        <v>93.0</v>
      </c>
      <c r="K928" s="4">
        <v>-77.0</v>
      </c>
      <c r="L928" s="2" t="s">
        <v>201</v>
      </c>
      <c r="M928" s="5">
        <f>IFERROR(__xludf.DUMMYFUNCTION("""COMPUTED_VALUE"""),2.0)</f>
        <v>2</v>
      </c>
      <c r="N928" s="5">
        <f>IFERROR(__xludf.DUMMYFUNCTION("""COMPUTED_VALUE"""),18.0)</f>
        <v>18</v>
      </c>
      <c r="O928" s="5">
        <f>IFERROR(__xludf.DUMMYFUNCTION("""COMPUTED_VALUE"""),2000.0)</f>
        <v>2000</v>
      </c>
    </row>
    <row r="929">
      <c r="A929" s="1" t="s">
        <v>423</v>
      </c>
      <c r="B929" s="4">
        <v>80.0</v>
      </c>
      <c r="C929" s="1" t="s">
        <v>73</v>
      </c>
      <c r="D929" s="4">
        <v>2.0</v>
      </c>
      <c r="E929" s="4">
        <v>10.0</v>
      </c>
      <c r="F929" s="4">
        <v>1.0</v>
      </c>
      <c r="G929" s="4">
        <v>9.0</v>
      </c>
      <c r="H929" s="4">
        <v>0.0</v>
      </c>
      <c r="I929" s="4">
        <v>11.0</v>
      </c>
      <c r="J929" s="4">
        <v>92.0</v>
      </c>
      <c r="K929" s="4">
        <v>-81.0</v>
      </c>
      <c r="L929" s="2" t="s">
        <v>157</v>
      </c>
      <c r="M929" s="5">
        <f>IFERROR(__xludf.DUMMYFUNCTION("""COMPUTED_VALUE"""),3.0)</f>
        <v>3</v>
      </c>
      <c r="N929" s="5">
        <f>IFERROR(__xludf.DUMMYFUNCTION("""COMPUTED_VALUE"""),21.0)</f>
        <v>21</v>
      </c>
      <c r="O929" s="5">
        <f>IFERROR(__xludf.DUMMYFUNCTION("""COMPUTED_VALUE"""),2000.0)</f>
        <v>2000</v>
      </c>
    </row>
    <row r="930">
      <c r="A930" s="1" t="s">
        <v>423</v>
      </c>
      <c r="B930" s="4">
        <v>81.0</v>
      </c>
      <c r="C930" s="1" t="s">
        <v>137</v>
      </c>
      <c r="D930" s="4">
        <v>2.0</v>
      </c>
      <c r="E930" s="4">
        <v>10.0</v>
      </c>
      <c r="F930" s="4">
        <v>1.0</v>
      </c>
      <c r="G930" s="4">
        <v>9.0</v>
      </c>
      <c r="H930" s="4">
        <v>0.0</v>
      </c>
      <c r="I930" s="4">
        <v>17.0</v>
      </c>
      <c r="J930" s="4">
        <v>101.0</v>
      </c>
      <c r="K930" s="4">
        <v>-84.0</v>
      </c>
      <c r="L930" s="2" t="s">
        <v>438</v>
      </c>
      <c r="M930" s="5">
        <f>IFERROR(__xludf.DUMMYFUNCTION("""COMPUTED_VALUE"""),3.0)</f>
        <v>3</v>
      </c>
      <c r="N930" s="5">
        <f>IFERROR(__xludf.DUMMYFUNCTION("""COMPUTED_VALUE"""),14.0)</f>
        <v>14</v>
      </c>
      <c r="O930" s="5">
        <f>IFERROR(__xludf.DUMMYFUNCTION("""COMPUTED_VALUE"""),2000.0)</f>
        <v>2000</v>
      </c>
    </row>
    <row r="931">
      <c r="A931" s="1" t="s">
        <v>423</v>
      </c>
      <c r="B931" s="4">
        <v>82.0</v>
      </c>
      <c r="C931" s="1" t="s">
        <v>48</v>
      </c>
      <c r="D931" s="4">
        <v>2.0</v>
      </c>
      <c r="E931" s="4">
        <v>10.0</v>
      </c>
      <c r="F931" s="4">
        <v>1.0</v>
      </c>
      <c r="G931" s="4">
        <v>9.0</v>
      </c>
      <c r="H931" s="4">
        <v>0.0</v>
      </c>
      <c r="I931" s="4">
        <v>12.0</v>
      </c>
      <c r="J931" s="4">
        <v>153.0</v>
      </c>
      <c r="K931" s="4">
        <v>-141.0</v>
      </c>
      <c r="L931" s="2" t="s">
        <v>203</v>
      </c>
      <c r="M931" s="5">
        <f>IFERROR(__xludf.DUMMYFUNCTION("""COMPUTED_VALUE"""),2.0)</f>
        <v>2</v>
      </c>
      <c r="N931" s="5">
        <f>IFERROR(__xludf.DUMMYFUNCTION("""COMPUTED_VALUE"""),19.0)</f>
        <v>19</v>
      </c>
      <c r="O931" s="5">
        <f>IFERROR(__xludf.DUMMYFUNCTION("""COMPUTED_VALUE"""),2000.0)</f>
        <v>2000</v>
      </c>
    </row>
    <row r="932">
      <c r="A932" s="1" t="s">
        <v>423</v>
      </c>
      <c r="B932" s="4">
        <v>83.0</v>
      </c>
      <c r="C932" s="1" t="s">
        <v>69</v>
      </c>
      <c r="D932" s="4">
        <v>1.0</v>
      </c>
      <c r="E932" s="4">
        <v>7.0</v>
      </c>
      <c r="F932" s="4">
        <v>0.0</v>
      </c>
      <c r="G932" s="4">
        <v>6.0</v>
      </c>
      <c r="H932" s="4">
        <v>1.0</v>
      </c>
      <c r="I932" s="4">
        <v>8.0</v>
      </c>
      <c r="J932" s="4">
        <v>24.0</v>
      </c>
      <c r="K932" s="4">
        <v>-16.0</v>
      </c>
      <c r="L932" s="2" t="s">
        <v>143</v>
      </c>
      <c r="M932" s="5">
        <f>IFERROR(__xludf.DUMMYFUNCTION("""COMPUTED_VALUE"""),7.0)</f>
        <v>7</v>
      </c>
      <c r="N932" s="5">
        <f>IFERROR(__xludf.DUMMYFUNCTION("""COMPUTED_VALUE"""),16.0)</f>
        <v>16</v>
      </c>
      <c r="O932" s="5">
        <f>IFERROR(__xludf.DUMMYFUNCTION("""COMPUTED_VALUE"""),2001.0)</f>
        <v>2001</v>
      </c>
    </row>
    <row r="933">
      <c r="A933" s="1" t="s">
        <v>423</v>
      </c>
      <c r="B933" s="4">
        <v>84.0</v>
      </c>
      <c r="C933" s="1" t="s">
        <v>147</v>
      </c>
      <c r="D933" s="4">
        <v>1.0</v>
      </c>
      <c r="E933" s="4">
        <v>8.0</v>
      </c>
      <c r="F933" s="4">
        <v>0.0</v>
      </c>
      <c r="G933" s="4">
        <v>7.0</v>
      </c>
      <c r="H933" s="4">
        <v>1.0</v>
      </c>
      <c r="I933" s="4">
        <v>6.0</v>
      </c>
      <c r="J933" s="4">
        <v>38.0</v>
      </c>
      <c r="K933" s="4">
        <v>-32.0</v>
      </c>
      <c r="L933" s="2" t="s">
        <v>439</v>
      </c>
      <c r="M933" s="5">
        <f>IFERROR(__xludf.DUMMYFUNCTION("""COMPUTED_VALUE"""),3.0)</f>
        <v>3</v>
      </c>
      <c r="N933" s="5">
        <f>IFERROR(__xludf.DUMMYFUNCTION("""COMPUTED_VALUE"""),20.0)</f>
        <v>20</v>
      </c>
      <c r="O933" s="5">
        <f>IFERROR(__xludf.DUMMYFUNCTION("""COMPUTED_VALUE"""),2001.0)</f>
        <v>2001</v>
      </c>
    </row>
    <row r="934">
      <c r="A934" s="1" t="s">
        <v>423</v>
      </c>
      <c r="B934" s="4">
        <v>85.0</v>
      </c>
      <c r="C934" s="1" t="s">
        <v>142</v>
      </c>
      <c r="D934" s="4">
        <v>0.0</v>
      </c>
      <c r="E934" s="4">
        <v>0.0</v>
      </c>
      <c r="F934" s="4">
        <v>0.0</v>
      </c>
      <c r="G934" s="4">
        <v>0.0</v>
      </c>
      <c r="H934" s="4">
        <v>0.0</v>
      </c>
      <c r="I934" s="4">
        <v>0.0</v>
      </c>
      <c r="J934" s="4">
        <v>0.0</v>
      </c>
      <c r="K934" s="4">
        <v>0.0</v>
      </c>
      <c r="L934" s="2" t="s">
        <v>328</v>
      </c>
      <c r="M934" s="5">
        <f>IFERROR(__xludf.DUMMYFUNCTION("""COMPUTED_VALUE"""),8.0)</f>
        <v>8</v>
      </c>
      <c r="N934" s="5">
        <f>IFERROR(__xludf.DUMMYFUNCTION("""COMPUTED_VALUE"""),14.0)</f>
        <v>14</v>
      </c>
      <c r="O934" s="5">
        <f>IFERROR(__xludf.DUMMYFUNCTION("""COMPUTED_VALUE"""),2001.0)</f>
        <v>2001</v>
      </c>
    </row>
    <row r="935">
      <c r="A935" s="1" t="s">
        <v>423</v>
      </c>
      <c r="B935" s="4">
        <v>86.0</v>
      </c>
      <c r="C935" s="1" t="s">
        <v>418</v>
      </c>
      <c r="D935" s="4">
        <v>0.0</v>
      </c>
      <c r="E935" s="4">
        <v>0.0</v>
      </c>
      <c r="F935" s="4">
        <v>0.0</v>
      </c>
      <c r="G935" s="4">
        <v>0.0</v>
      </c>
      <c r="H935" s="4">
        <v>0.0</v>
      </c>
      <c r="I935" s="4">
        <v>0.0</v>
      </c>
      <c r="J935" s="4">
        <v>0.0</v>
      </c>
      <c r="K935" s="4">
        <v>0.0</v>
      </c>
      <c r="L935" s="2" t="s">
        <v>285</v>
      </c>
      <c r="M935" s="5">
        <f>IFERROR(__xludf.DUMMYFUNCTION("""COMPUTED_VALUE"""),0.0)</f>
        <v>0</v>
      </c>
      <c r="N935" s="5">
        <f>IFERROR(__xludf.DUMMYFUNCTION("""COMPUTED_VALUE"""),0.0)</f>
        <v>0</v>
      </c>
      <c r="O935" s="5">
        <f>IFERROR(__xludf.DUMMYFUNCTION("""COMPUTED_VALUE"""),0.0)</f>
        <v>0</v>
      </c>
    </row>
    <row r="936">
      <c r="A936" s="1" t="s">
        <v>423</v>
      </c>
      <c r="B936" s="4">
        <v>87.0</v>
      </c>
      <c r="C936" s="1" t="s">
        <v>112</v>
      </c>
      <c r="D936" s="4">
        <v>0.0</v>
      </c>
      <c r="E936" s="4">
        <v>0.0</v>
      </c>
      <c r="F936" s="4">
        <v>0.0</v>
      </c>
      <c r="G936" s="4">
        <v>0.0</v>
      </c>
      <c r="H936" s="4">
        <v>0.0</v>
      </c>
      <c r="I936" s="4">
        <v>0.0</v>
      </c>
      <c r="J936" s="4">
        <v>0.0</v>
      </c>
      <c r="K936" s="4">
        <v>0.0</v>
      </c>
      <c r="L936" s="2" t="s">
        <v>440</v>
      </c>
      <c r="M936" s="5">
        <f>IFERROR(__xludf.DUMMYFUNCTION("""COMPUTED_VALUE"""),0.0)</f>
        <v>0</v>
      </c>
      <c r="N936" s="5">
        <f>IFERROR(__xludf.DUMMYFUNCTION("""COMPUTED_VALUE"""),4.0)</f>
        <v>4</v>
      </c>
      <c r="O936" s="5">
        <f>IFERROR(__xludf.DUMMYFUNCTION("""COMPUTED_VALUE"""),0.0)</f>
        <v>0</v>
      </c>
    </row>
    <row r="937">
      <c r="A937" s="1" t="s">
        <v>423</v>
      </c>
      <c r="B937" s="4">
        <v>88.0</v>
      </c>
      <c r="C937" s="1" t="s">
        <v>441</v>
      </c>
      <c r="D937" s="4">
        <v>0.0</v>
      </c>
      <c r="E937" s="4">
        <v>0.0</v>
      </c>
      <c r="F937" s="4">
        <v>0.0</v>
      </c>
      <c r="G937" s="4">
        <v>0.0</v>
      </c>
      <c r="H937" s="4">
        <v>0.0</v>
      </c>
      <c r="I937" s="4">
        <v>0.0</v>
      </c>
      <c r="J937" s="4">
        <v>0.0</v>
      </c>
      <c r="K937" s="4">
        <v>0.0</v>
      </c>
      <c r="L937" s="2" t="s">
        <v>296</v>
      </c>
      <c r="M937" s="5">
        <f>IFERROR(__xludf.DUMMYFUNCTION("""COMPUTED_VALUE"""),0.0)</f>
        <v>0</v>
      </c>
      <c r="N937" s="5">
        <f>IFERROR(__xludf.DUMMYFUNCTION("""COMPUTED_VALUE"""),1.0)</f>
        <v>1</v>
      </c>
      <c r="O937" s="5">
        <f>IFERROR(__xludf.DUMMYFUNCTION("""COMPUTED_VALUE"""),0.0)</f>
        <v>0</v>
      </c>
    </row>
    <row r="938">
      <c r="A938" s="1" t="s">
        <v>423</v>
      </c>
      <c r="B938" s="4">
        <v>89.0</v>
      </c>
      <c r="C938" s="1" t="s">
        <v>150</v>
      </c>
      <c r="D938" s="4">
        <v>0.0</v>
      </c>
      <c r="E938" s="4">
        <v>2.0</v>
      </c>
      <c r="F938" s="4">
        <v>0.0</v>
      </c>
      <c r="G938" s="4">
        <v>2.0</v>
      </c>
      <c r="H938" s="4">
        <v>0.0</v>
      </c>
      <c r="I938" s="4">
        <v>4.0</v>
      </c>
      <c r="J938" s="4">
        <v>8.0</v>
      </c>
      <c r="K938" s="4">
        <v>-4.0</v>
      </c>
      <c r="L938" s="2" t="s">
        <v>442</v>
      </c>
      <c r="M938" s="5">
        <f>IFERROR(__xludf.DUMMYFUNCTION("""COMPUTED_VALUE"""),1.0)</f>
        <v>1</v>
      </c>
      <c r="N938" s="5">
        <f>IFERROR(__xludf.DUMMYFUNCTION("""COMPUTED_VALUE"""),9.0)</f>
        <v>9</v>
      </c>
      <c r="O938" s="5">
        <f>IFERROR(__xludf.DUMMYFUNCTION("""COMPUTED_VALUE"""),2001.0)</f>
        <v>2001</v>
      </c>
    </row>
    <row r="939">
      <c r="A939" s="1" t="s">
        <v>423</v>
      </c>
      <c r="B939" s="4">
        <v>90.0</v>
      </c>
      <c r="C939" s="1" t="s">
        <v>99</v>
      </c>
      <c r="D939" s="4">
        <v>0.0</v>
      </c>
      <c r="E939" s="4">
        <v>10.0</v>
      </c>
      <c r="F939" s="4">
        <v>0.0</v>
      </c>
      <c r="G939" s="4">
        <v>10.0</v>
      </c>
      <c r="H939" s="4">
        <v>0.0</v>
      </c>
      <c r="I939" s="4">
        <v>18.0</v>
      </c>
      <c r="J939" s="4">
        <v>56.0</v>
      </c>
      <c r="K939" s="4">
        <v>-38.0</v>
      </c>
      <c r="L939" s="2" t="s">
        <v>255</v>
      </c>
      <c r="M939" s="5">
        <f>IFERROR(__xludf.DUMMYFUNCTION("""COMPUTED_VALUE"""),6.0)</f>
        <v>6</v>
      </c>
      <c r="N939" s="5">
        <f>IFERROR(__xludf.DUMMYFUNCTION("""COMPUTED_VALUE"""),15.0)</f>
        <v>15</v>
      </c>
      <c r="O939" s="5">
        <f>IFERROR(__xludf.DUMMYFUNCTION("""COMPUTED_VALUE"""),2000.0)</f>
        <v>2000</v>
      </c>
    </row>
    <row r="940">
      <c r="A940" s="1" t="s">
        <v>423</v>
      </c>
      <c r="B940" s="4">
        <v>91.0</v>
      </c>
      <c r="C940" s="1" t="s">
        <v>371</v>
      </c>
      <c r="D940" s="4">
        <v>0.0</v>
      </c>
      <c r="E940" s="4">
        <v>8.0</v>
      </c>
      <c r="F940" s="4">
        <v>0.0</v>
      </c>
      <c r="G940" s="4">
        <v>8.0</v>
      </c>
      <c r="H940" s="4">
        <v>0.0</v>
      </c>
      <c r="I940" s="4">
        <v>10.0</v>
      </c>
      <c r="J940" s="4">
        <v>56.0</v>
      </c>
      <c r="K940" s="4">
        <v>-46.0</v>
      </c>
      <c r="L940" s="2" t="s">
        <v>335</v>
      </c>
      <c r="M940" s="5">
        <f>IFERROR(__xludf.DUMMYFUNCTION("""COMPUTED_VALUE"""),4.0)</f>
        <v>4</v>
      </c>
      <c r="N940" s="5">
        <f>IFERROR(__xludf.DUMMYFUNCTION("""COMPUTED_VALUE"""),19.0)</f>
        <v>19</v>
      </c>
      <c r="O940" s="5">
        <f>IFERROR(__xludf.DUMMYFUNCTION("""COMPUTED_VALUE"""),2000.0)</f>
        <v>2000</v>
      </c>
    </row>
    <row r="941">
      <c r="A941" s="1" t="s">
        <v>423</v>
      </c>
      <c r="B941" s="4">
        <v>92.0</v>
      </c>
      <c r="C941" s="1" t="s">
        <v>39</v>
      </c>
      <c r="D941" s="4">
        <v>0.0</v>
      </c>
      <c r="E941" s="4">
        <v>10.0</v>
      </c>
      <c r="F941" s="4">
        <v>0.0</v>
      </c>
      <c r="G941" s="4">
        <v>10.0</v>
      </c>
      <c r="H941" s="4">
        <v>0.0</v>
      </c>
      <c r="I941" s="4">
        <v>15.0</v>
      </c>
      <c r="J941" s="4">
        <v>88.0</v>
      </c>
      <c r="K941" s="4">
        <v>-73.0</v>
      </c>
      <c r="L941" s="2" t="s">
        <v>359</v>
      </c>
      <c r="M941" s="5">
        <f>IFERROR(__xludf.DUMMYFUNCTION("""COMPUTED_VALUE"""),1.0)</f>
        <v>1</v>
      </c>
      <c r="N941" s="5">
        <f>IFERROR(__xludf.DUMMYFUNCTION("""COMPUTED_VALUE"""),20.0)</f>
        <v>20</v>
      </c>
      <c r="O941" s="5">
        <f>IFERROR(__xludf.DUMMYFUNCTION("""COMPUTED_VALUE"""),2000.0)</f>
        <v>2000</v>
      </c>
    </row>
    <row r="942">
      <c r="A942" s="1" t="s">
        <v>423</v>
      </c>
      <c r="B942" s="4">
        <v>93.0</v>
      </c>
      <c r="C942" s="1" t="s">
        <v>233</v>
      </c>
      <c r="D942" s="4">
        <v>0.0</v>
      </c>
      <c r="E942" s="4">
        <v>14.0</v>
      </c>
      <c r="F942" s="4">
        <v>0.0</v>
      </c>
      <c r="G942" s="4">
        <v>14.0</v>
      </c>
      <c r="H942" s="4">
        <v>0.0</v>
      </c>
      <c r="I942" s="4">
        <v>8.0</v>
      </c>
      <c r="J942" s="4">
        <v>149.0</v>
      </c>
      <c r="K942" s="4">
        <v>-141.0</v>
      </c>
      <c r="L942" s="2" t="s">
        <v>437</v>
      </c>
      <c r="M942" s="5">
        <f>IFERROR(__xludf.DUMMYFUNCTION("""COMPUTED_VALUE"""),1.0)</f>
        <v>1</v>
      </c>
      <c r="N942" s="5">
        <f>IFERROR(__xludf.DUMMYFUNCTION("""COMPUTED_VALUE"""),21.0)</f>
        <v>21</v>
      </c>
      <c r="O942" s="5">
        <f>IFERROR(__xludf.DUMMYFUNCTION("""COMPUTED_VALUE"""),2000.0)</f>
        <v>2000</v>
      </c>
    </row>
    <row r="943">
      <c r="A943" s="1" t="s">
        <v>443</v>
      </c>
      <c r="B943" s="4">
        <v>1.0</v>
      </c>
      <c r="C943" s="1" t="s">
        <v>24</v>
      </c>
      <c r="D943" s="4">
        <v>28.0</v>
      </c>
      <c r="E943" s="4">
        <v>14.0</v>
      </c>
      <c r="F943" s="4">
        <v>14.0</v>
      </c>
      <c r="G943" s="4">
        <v>0.0</v>
      </c>
      <c r="H943" s="4">
        <v>0.0</v>
      </c>
      <c r="I943" s="4">
        <v>92.0</v>
      </c>
      <c r="J943" s="4">
        <v>14.0</v>
      </c>
      <c r="K943" s="4">
        <v>78.0</v>
      </c>
      <c r="L943" s="2" t="s">
        <v>365</v>
      </c>
      <c r="M943" s="5">
        <f>IFERROR(__xludf.DUMMYFUNCTION("""COMPUTED_VALUE"""),20.0)</f>
        <v>20</v>
      </c>
      <c r="N943" s="5">
        <f>IFERROR(__xludf.DUMMYFUNCTION("""COMPUTED_VALUE"""),2.0)</f>
        <v>2</v>
      </c>
      <c r="O943" s="5">
        <f>IFERROR(__xludf.DUMMYFUNCTION("""COMPUTED_VALUE"""),2.0)</f>
        <v>2</v>
      </c>
    </row>
    <row r="944">
      <c r="A944" s="1" t="s">
        <v>443</v>
      </c>
      <c r="B944" s="4">
        <v>2.0</v>
      </c>
      <c r="C944" s="1" t="s">
        <v>64</v>
      </c>
      <c r="D944" s="4">
        <v>26.0</v>
      </c>
      <c r="E944" s="4">
        <v>14.0</v>
      </c>
      <c r="F944" s="4">
        <v>13.0</v>
      </c>
      <c r="G944" s="4">
        <v>1.0</v>
      </c>
      <c r="H944" s="4">
        <v>0.0</v>
      </c>
      <c r="I944" s="4">
        <v>90.0</v>
      </c>
      <c r="J944" s="4">
        <v>18.0</v>
      </c>
      <c r="K944" s="4">
        <v>72.0</v>
      </c>
      <c r="L944" s="2" t="s">
        <v>444</v>
      </c>
      <c r="M944" s="5">
        <f>IFERROR(__xludf.DUMMYFUNCTION("""COMPUTED_VALUE"""),21.0)</f>
        <v>21</v>
      </c>
      <c r="N944" s="5">
        <f>IFERROR(__xludf.DUMMYFUNCTION("""COMPUTED_VALUE"""),1.0)</f>
        <v>1</v>
      </c>
      <c r="O944" s="5">
        <f>IFERROR(__xludf.DUMMYFUNCTION("""COMPUTED_VALUE"""),2.0)</f>
        <v>2</v>
      </c>
    </row>
    <row r="945">
      <c r="A945" s="1" t="s">
        <v>443</v>
      </c>
      <c r="B945" s="4">
        <v>3.0</v>
      </c>
      <c r="C945" s="1" t="s">
        <v>43</v>
      </c>
      <c r="D945" s="4">
        <v>24.0</v>
      </c>
      <c r="E945" s="4">
        <v>12.0</v>
      </c>
      <c r="F945" s="4">
        <v>12.0</v>
      </c>
      <c r="G945" s="4">
        <v>0.0</v>
      </c>
      <c r="H945" s="4">
        <v>0.0</v>
      </c>
      <c r="I945" s="4">
        <v>111.0</v>
      </c>
      <c r="J945" s="4">
        <v>4.0</v>
      </c>
      <c r="K945" s="4">
        <v>107.0</v>
      </c>
      <c r="L945" s="2" t="s">
        <v>445</v>
      </c>
      <c r="M945" s="5">
        <f>IFERROR(__xludf.DUMMYFUNCTION("""COMPUTED_VALUE"""),23.0)</f>
        <v>23</v>
      </c>
      <c r="N945" s="5">
        <f>IFERROR(__xludf.DUMMYFUNCTION("""COMPUTED_VALUE"""),1.0)</f>
        <v>1</v>
      </c>
      <c r="O945" s="5">
        <f>IFERROR(__xludf.DUMMYFUNCTION("""COMPUTED_VALUE"""),0.0)</f>
        <v>0</v>
      </c>
    </row>
    <row r="946">
      <c r="A946" s="1" t="s">
        <v>443</v>
      </c>
      <c r="B946" s="4">
        <v>4.0</v>
      </c>
      <c r="C946" s="1" t="s">
        <v>86</v>
      </c>
      <c r="D946" s="4">
        <v>24.0</v>
      </c>
      <c r="E946" s="4">
        <v>14.0</v>
      </c>
      <c r="F946" s="4">
        <v>12.0</v>
      </c>
      <c r="G946" s="4">
        <v>2.0</v>
      </c>
      <c r="H946" s="4">
        <v>0.0</v>
      </c>
      <c r="I946" s="4">
        <v>80.0</v>
      </c>
      <c r="J946" s="4">
        <v>24.0</v>
      </c>
      <c r="K946" s="4">
        <v>56.0</v>
      </c>
      <c r="L946" s="2" t="s">
        <v>446</v>
      </c>
      <c r="M946" s="5">
        <f>IFERROR(__xludf.DUMMYFUNCTION("""COMPUTED_VALUE"""),18.0)</f>
        <v>18</v>
      </c>
      <c r="N946" s="5">
        <f>IFERROR(__xludf.DUMMYFUNCTION("""COMPUTED_VALUE"""),4.0)</f>
        <v>4</v>
      </c>
      <c r="O946" s="5">
        <f>IFERROR(__xludf.DUMMYFUNCTION("""COMPUTED_VALUE"""),1.0)</f>
        <v>1</v>
      </c>
    </row>
    <row r="947">
      <c r="A947" s="1" t="s">
        <v>443</v>
      </c>
      <c r="B947" s="4">
        <v>5.0</v>
      </c>
      <c r="C947" s="1" t="s">
        <v>79</v>
      </c>
      <c r="D947" s="4">
        <v>24.0</v>
      </c>
      <c r="E947" s="4">
        <v>14.0</v>
      </c>
      <c r="F947" s="4">
        <v>12.0</v>
      </c>
      <c r="G947" s="4">
        <v>2.0</v>
      </c>
      <c r="H947" s="4">
        <v>0.0</v>
      </c>
      <c r="I947" s="4">
        <v>69.0</v>
      </c>
      <c r="J947" s="4">
        <v>23.0</v>
      </c>
      <c r="K947" s="4">
        <v>46.0</v>
      </c>
      <c r="L947" s="2" t="s">
        <v>168</v>
      </c>
      <c r="M947" s="5">
        <f>IFERROR(__xludf.DUMMYFUNCTION("""COMPUTED_VALUE"""),19.0)</f>
        <v>19</v>
      </c>
      <c r="N947" s="5">
        <f>IFERROR(__xludf.DUMMYFUNCTION("""COMPUTED_VALUE"""),3.0)</f>
        <v>3</v>
      </c>
      <c r="O947" s="5">
        <f>IFERROR(__xludf.DUMMYFUNCTION("""COMPUTED_VALUE"""),1.0)</f>
        <v>1</v>
      </c>
    </row>
    <row r="948">
      <c r="A948" s="1" t="s">
        <v>443</v>
      </c>
      <c r="B948" s="4">
        <v>6.0</v>
      </c>
      <c r="C948" s="1" t="s">
        <v>25</v>
      </c>
      <c r="D948" s="4">
        <v>22.0</v>
      </c>
      <c r="E948" s="4">
        <v>12.0</v>
      </c>
      <c r="F948" s="4">
        <v>11.0</v>
      </c>
      <c r="G948" s="4">
        <v>1.0</v>
      </c>
      <c r="H948" s="4">
        <v>0.0</v>
      </c>
      <c r="I948" s="4">
        <v>63.0</v>
      </c>
      <c r="J948" s="4">
        <v>22.0</v>
      </c>
      <c r="K948" s="4">
        <v>41.0</v>
      </c>
      <c r="L948" s="2" t="s">
        <v>42</v>
      </c>
      <c r="M948" s="5">
        <f>IFERROR(__xludf.DUMMYFUNCTION("""COMPUTED_VALUE"""),19.0)</f>
        <v>19</v>
      </c>
      <c r="N948" s="5">
        <f>IFERROR(__xludf.DUMMYFUNCTION("""COMPUTED_VALUE"""),4.0)</f>
        <v>4</v>
      </c>
      <c r="O948" s="5">
        <f>IFERROR(__xludf.DUMMYFUNCTION("""COMPUTED_VALUE"""),1.0)</f>
        <v>1</v>
      </c>
    </row>
    <row r="949">
      <c r="A949" s="1" t="s">
        <v>443</v>
      </c>
      <c r="B949" s="4">
        <v>7.0</v>
      </c>
      <c r="C949" s="1" t="s">
        <v>46</v>
      </c>
      <c r="D949" s="4">
        <v>20.0</v>
      </c>
      <c r="E949" s="4">
        <v>14.0</v>
      </c>
      <c r="F949" s="4">
        <v>10.0</v>
      </c>
      <c r="G949" s="4">
        <v>4.0</v>
      </c>
      <c r="H949" s="4">
        <v>0.0</v>
      </c>
      <c r="I949" s="4">
        <v>83.0</v>
      </c>
      <c r="J949" s="4">
        <v>33.0</v>
      </c>
      <c r="K949" s="4">
        <v>50.0</v>
      </c>
      <c r="L949" s="2" t="s">
        <v>183</v>
      </c>
      <c r="M949" s="5">
        <f>IFERROR(__xludf.DUMMYFUNCTION("""COMPUTED_VALUE"""),14.0)</f>
        <v>14</v>
      </c>
      <c r="N949" s="5">
        <f>IFERROR(__xludf.DUMMYFUNCTION("""COMPUTED_VALUE"""),8.0)</f>
        <v>8</v>
      </c>
      <c r="O949" s="5">
        <f>IFERROR(__xludf.DUMMYFUNCTION("""COMPUTED_VALUE"""),1.0)</f>
        <v>1</v>
      </c>
    </row>
    <row r="950">
      <c r="A950" s="1" t="s">
        <v>443</v>
      </c>
      <c r="B950" s="4">
        <v>8.0</v>
      </c>
      <c r="C950" s="1" t="s">
        <v>90</v>
      </c>
      <c r="D950" s="4">
        <v>19.0</v>
      </c>
      <c r="E950" s="4">
        <v>12.0</v>
      </c>
      <c r="F950" s="4">
        <v>9.0</v>
      </c>
      <c r="G950" s="4">
        <v>2.0</v>
      </c>
      <c r="H950" s="4">
        <v>1.0</v>
      </c>
      <c r="I950" s="4">
        <v>71.0</v>
      </c>
      <c r="J950" s="4">
        <v>23.0</v>
      </c>
      <c r="K950" s="4">
        <v>48.0</v>
      </c>
      <c r="L950" s="2" t="s">
        <v>208</v>
      </c>
      <c r="M950" s="5">
        <f>IFERROR(__xludf.DUMMYFUNCTION("""COMPUTED_VALUE"""),14.0)</f>
        <v>14</v>
      </c>
      <c r="N950" s="5">
        <f>IFERROR(__xludf.DUMMYFUNCTION("""COMPUTED_VALUE"""),8.0)</f>
        <v>8</v>
      </c>
      <c r="O950" s="5">
        <f>IFERROR(__xludf.DUMMYFUNCTION("""COMPUTED_VALUE"""),2.0)</f>
        <v>2</v>
      </c>
    </row>
    <row r="951">
      <c r="A951" s="1" t="s">
        <v>443</v>
      </c>
      <c r="B951" s="4">
        <v>9.0</v>
      </c>
      <c r="C951" s="1" t="s">
        <v>94</v>
      </c>
      <c r="D951" s="4">
        <v>18.0</v>
      </c>
      <c r="E951" s="4">
        <v>14.0</v>
      </c>
      <c r="F951" s="4">
        <v>9.0</v>
      </c>
      <c r="G951" s="4">
        <v>5.0</v>
      </c>
      <c r="H951" s="4">
        <v>0.0</v>
      </c>
      <c r="I951" s="4">
        <v>91.0</v>
      </c>
      <c r="J951" s="4">
        <v>40.0</v>
      </c>
      <c r="K951" s="4">
        <v>51.0</v>
      </c>
      <c r="L951" s="2" t="s">
        <v>63</v>
      </c>
      <c r="M951" s="5">
        <f>IFERROR(__xludf.DUMMYFUNCTION("""COMPUTED_VALUE"""),16.0)</f>
        <v>16</v>
      </c>
      <c r="N951" s="5">
        <f>IFERROR(__xludf.DUMMYFUNCTION("""COMPUTED_VALUE"""),7.0)</f>
        <v>7</v>
      </c>
      <c r="O951" s="5">
        <f>IFERROR(__xludf.DUMMYFUNCTION("""COMPUTED_VALUE"""),1.0)</f>
        <v>1</v>
      </c>
    </row>
    <row r="952">
      <c r="A952" s="1" t="s">
        <v>443</v>
      </c>
      <c r="B952" s="4">
        <v>10.0</v>
      </c>
      <c r="C952" s="1" t="s">
        <v>105</v>
      </c>
      <c r="D952" s="4">
        <v>18.0</v>
      </c>
      <c r="E952" s="4">
        <v>11.0</v>
      </c>
      <c r="F952" s="4">
        <v>9.0</v>
      </c>
      <c r="G952" s="4">
        <v>2.0</v>
      </c>
      <c r="H952" s="4">
        <v>0.0</v>
      </c>
      <c r="I952" s="4">
        <v>59.0</v>
      </c>
      <c r="J952" s="4">
        <v>18.0</v>
      </c>
      <c r="K952" s="4">
        <v>41.0</v>
      </c>
      <c r="L952" s="2" t="s">
        <v>241</v>
      </c>
      <c r="M952" s="5">
        <f>IFERROR(__xludf.DUMMYFUNCTION("""COMPUTED_VALUE"""),21.0)</f>
        <v>21</v>
      </c>
      <c r="N952" s="5">
        <f>IFERROR(__xludf.DUMMYFUNCTION("""COMPUTED_VALUE"""),2.0)</f>
        <v>2</v>
      </c>
      <c r="O952" s="5">
        <f>IFERROR(__xludf.DUMMYFUNCTION("""COMPUTED_VALUE"""),0.0)</f>
        <v>0</v>
      </c>
    </row>
    <row r="953">
      <c r="A953" s="1" t="s">
        <v>443</v>
      </c>
      <c r="B953" s="4">
        <v>11.0</v>
      </c>
      <c r="C953" s="1" t="s">
        <v>20</v>
      </c>
      <c r="D953" s="4">
        <v>18.0</v>
      </c>
      <c r="E953" s="4">
        <v>11.0</v>
      </c>
      <c r="F953" s="4">
        <v>9.0</v>
      </c>
      <c r="G953" s="4">
        <v>2.0</v>
      </c>
      <c r="H953" s="4">
        <v>0.0</v>
      </c>
      <c r="I953" s="4">
        <v>48.0</v>
      </c>
      <c r="J953" s="4">
        <v>14.0</v>
      </c>
      <c r="K953" s="4">
        <v>34.0</v>
      </c>
      <c r="L953" s="2" t="s">
        <v>345</v>
      </c>
      <c r="M953" s="5">
        <f>IFERROR(__xludf.DUMMYFUNCTION("""COMPUTED_VALUE"""),18.0)</f>
        <v>18</v>
      </c>
      <c r="N953" s="5">
        <f>IFERROR(__xludf.DUMMYFUNCTION("""COMPUTED_VALUE"""),3.0)</f>
        <v>3</v>
      </c>
      <c r="O953" s="5">
        <f>IFERROR(__xludf.DUMMYFUNCTION("""COMPUTED_VALUE"""),2.0)</f>
        <v>2</v>
      </c>
    </row>
    <row r="954">
      <c r="A954" s="1" t="s">
        <v>443</v>
      </c>
      <c r="B954" s="4">
        <v>12.0</v>
      </c>
      <c r="C954" s="1" t="s">
        <v>45</v>
      </c>
      <c r="D954" s="4">
        <v>18.0</v>
      </c>
      <c r="E954" s="4">
        <v>11.0</v>
      </c>
      <c r="F954" s="4">
        <v>9.0</v>
      </c>
      <c r="G954" s="4">
        <v>2.0</v>
      </c>
      <c r="H954" s="4">
        <v>0.0</v>
      </c>
      <c r="I954" s="4">
        <v>51.0</v>
      </c>
      <c r="J954" s="4">
        <v>22.0</v>
      </c>
      <c r="K954" s="4">
        <v>29.0</v>
      </c>
      <c r="L954" s="2" t="s">
        <v>55</v>
      </c>
      <c r="M954" s="5">
        <f>IFERROR(__xludf.DUMMYFUNCTION("""COMPUTED_VALUE"""),17.0)</f>
        <v>17</v>
      </c>
      <c r="N954" s="5">
        <f>IFERROR(__xludf.DUMMYFUNCTION("""COMPUTED_VALUE"""),6.0)</f>
        <v>6</v>
      </c>
      <c r="O954" s="5">
        <f>IFERROR(__xludf.DUMMYFUNCTION("""COMPUTED_VALUE"""),0.0)</f>
        <v>0</v>
      </c>
    </row>
    <row r="955">
      <c r="A955" s="1" t="s">
        <v>443</v>
      </c>
      <c r="B955" s="4">
        <v>13.0</v>
      </c>
      <c r="C955" s="1" t="s">
        <v>123</v>
      </c>
      <c r="D955" s="4">
        <v>18.0</v>
      </c>
      <c r="E955" s="4">
        <v>11.0</v>
      </c>
      <c r="F955" s="4">
        <v>9.0</v>
      </c>
      <c r="G955" s="4">
        <v>2.0</v>
      </c>
      <c r="H955" s="4">
        <v>0.0</v>
      </c>
      <c r="I955" s="4">
        <v>63.0</v>
      </c>
      <c r="J955" s="4">
        <v>37.0</v>
      </c>
      <c r="K955" s="4">
        <v>26.0</v>
      </c>
      <c r="L955" s="2" t="s">
        <v>447</v>
      </c>
      <c r="M955" s="5">
        <f>IFERROR(__xludf.DUMMYFUNCTION("""COMPUTED_VALUE"""),12.0)</f>
        <v>12</v>
      </c>
      <c r="N955" s="5">
        <f>IFERROR(__xludf.DUMMYFUNCTION("""COMPUTED_VALUE"""),7.0)</f>
        <v>7</v>
      </c>
      <c r="O955" s="5">
        <f>IFERROR(__xludf.DUMMYFUNCTION("""COMPUTED_VALUE"""),2001.0)</f>
        <v>2001</v>
      </c>
    </row>
    <row r="956">
      <c r="A956" s="1" t="s">
        <v>443</v>
      </c>
      <c r="B956" s="4">
        <v>14.0</v>
      </c>
      <c r="C956" s="1" t="s">
        <v>113</v>
      </c>
      <c r="D956" s="4">
        <v>17.0</v>
      </c>
      <c r="E956" s="4">
        <v>12.0</v>
      </c>
      <c r="F956" s="4">
        <v>8.0</v>
      </c>
      <c r="G956" s="4">
        <v>3.0</v>
      </c>
      <c r="H956" s="4">
        <v>1.0</v>
      </c>
      <c r="I956" s="4">
        <v>74.0</v>
      </c>
      <c r="J956" s="4">
        <v>17.0</v>
      </c>
      <c r="K956" s="4">
        <v>57.0</v>
      </c>
      <c r="L956" s="2" t="s">
        <v>72</v>
      </c>
      <c r="M956" s="5">
        <f>IFERROR(__xludf.DUMMYFUNCTION("""COMPUTED_VALUE"""),15.0)</f>
        <v>15</v>
      </c>
      <c r="N956" s="5">
        <f>IFERROR(__xludf.DUMMYFUNCTION("""COMPUTED_VALUE"""),8.0)</f>
        <v>8</v>
      </c>
      <c r="O956" s="5">
        <f>IFERROR(__xludf.DUMMYFUNCTION("""COMPUTED_VALUE"""),1.0)</f>
        <v>1</v>
      </c>
    </row>
    <row r="957">
      <c r="A957" s="1" t="s">
        <v>443</v>
      </c>
      <c r="B957" s="4">
        <v>15.0</v>
      </c>
      <c r="C957" s="1" t="s">
        <v>117</v>
      </c>
      <c r="D957" s="4">
        <v>17.0</v>
      </c>
      <c r="E957" s="4">
        <v>14.0</v>
      </c>
      <c r="F957" s="4">
        <v>8.0</v>
      </c>
      <c r="G957" s="4">
        <v>5.0</v>
      </c>
      <c r="H957" s="4">
        <v>1.0</v>
      </c>
      <c r="I957" s="4">
        <v>66.0</v>
      </c>
      <c r="J957" s="4">
        <v>33.0</v>
      </c>
      <c r="K957" s="4">
        <v>33.0</v>
      </c>
      <c r="L957" s="2" t="s">
        <v>26</v>
      </c>
      <c r="M957" s="5">
        <f>IFERROR(__xludf.DUMMYFUNCTION("""COMPUTED_VALUE"""),13.0)</f>
        <v>13</v>
      </c>
      <c r="N957" s="5">
        <f>IFERROR(__xludf.DUMMYFUNCTION("""COMPUTED_VALUE"""),9.0)</f>
        <v>9</v>
      </c>
      <c r="O957" s="5">
        <f>IFERROR(__xludf.DUMMYFUNCTION("""COMPUTED_VALUE"""),2.0)</f>
        <v>2</v>
      </c>
    </row>
    <row r="958">
      <c r="A958" s="1" t="s">
        <v>443</v>
      </c>
      <c r="B958" s="4">
        <v>16.0</v>
      </c>
      <c r="C958" s="1" t="s">
        <v>131</v>
      </c>
      <c r="D958" s="4">
        <v>16.0</v>
      </c>
      <c r="E958" s="4">
        <v>8.0</v>
      </c>
      <c r="F958" s="4">
        <v>8.0</v>
      </c>
      <c r="G958" s="4">
        <v>0.0</v>
      </c>
      <c r="H958" s="4">
        <v>0.0</v>
      </c>
      <c r="I958" s="4">
        <v>73.0</v>
      </c>
      <c r="J958" s="4">
        <v>7.0</v>
      </c>
      <c r="K958" s="4">
        <v>66.0</v>
      </c>
      <c r="L958" s="2" t="s">
        <v>448</v>
      </c>
      <c r="M958" s="5">
        <f>IFERROR(__xludf.DUMMYFUNCTION("""COMPUTED_VALUE"""),18.0)</f>
        <v>18</v>
      </c>
      <c r="N958" s="5">
        <f>IFERROR(__xludf.DUMMYFUNCTION("""COMPUTED_VALUE"""),3.0)</f>
        <v>3</v>
      </c>
      <c r="O958" s="5">
        <f>IFERROR(__xludf.DUMMYFUNCTION("""COMPUTED_VALUE"""),1.0)</f>
        <v>1</v>
      </c>
    </row>
    <row r="959">
      <c r="A959" s="1" t="s">
        <v>443</v>
      </c>
      <c r="B959" s="4">
        <v>17.0</v>
      </c>
      <c r="C959" s="1" t="s">
        <v>18</v>
      </c>
      <c r="D959" s="4">
        <v>16.0</v>
      </c>
      <c r="E959" s="4">
        <v>10.0</v>
      </c>
      <c r="F959" s="4">
        <v>8.0</v>
      </c>
      <c r="G959" s="4">
        <v>2.0</v>
      </c>
      <c r="H959" s="4">
        <v>0.0</v>
      </c>
      <c r="I959" s="4">
        <v>76.0</v>
      </c>
      <c r="J959" s="4">
        <v>12.0</v>
      </c>
      <c r="K959" s="4">
        <v>64.0</v>
      </c>
      <c r="L959" s="2" t="s">
        <v>23</v>
      </c>
      <c r="M959" s="5">
        <f>IFERROR(__xludf.DUMMYFUNCTION("""COMPUTED_VALUE"""),14.0)</f>
        <v>14</v>
      </c>
      <c r="N959" s="5">
        <f>IFERROR(__xludf.DUMMYFUNCTION("""COMPUTED_VALUE"""),10.0)</f>
        <v>10</v>
      </c>
      <c r="O959" s="5">
        <f>IFERROR(__xludf.DUMMYFUNCTION("""COMPUTED_VALUE"""),0.0)</f>
        <v>0</v>
      </c>
    </row>
    <row r="960">
      <c r="A960" s="1" t="s">
        <v>443</v>
      </c>
      <c r="B960" s="4">
        <v>18.0</v>
      </c>
      <c r="C960" s="1" t="s">
        <v>37</v>
      </c>
      <c r="D960" s="4">
        <v>16.0</v>
      </c>
      <c r="E960" s="4">
        <v>10.0</v>
      </c>
      <c r="F960" s="4">
        <v>8.0</v>
      </c>
      <c r="G960" s="4">
        <v>2.0</v>
      </c>
      <c r="H960" s="4">
        <v>0.0</v>
      </c>
      <c r="I960" s="4">
        <v>73.0</v>
      </c>
      <c r="J960" s="4">
        <v>24.0</v>
      </c>
      <c r="K960" s="4">
        <v>49.0</v>
      </c>
      <c r="L960" s="2" t="s">
        <v>207</v>
      </c>
      <c r="M960" s="5">
        <f>IFERROR(__xludf.DUMMYFUNCTION("""COMPUTED_VALUE"""),19.0)</f>
        <v>19</v>
      </c>
      <c r="N960" s="5">
        <f>IFERROR(__xludf.DUMMYFUNCTION("""COMPUTED_VALUE"""),5.0)</f>
        <v>5</v>
      </c>
      <c r="O960" s="5">
        <f>IFERROR(__xludf.DUMMYFUNCTION("""COMPUTED_VALUE"""),0.0)</f>
        <v>0</v>
      </c>
    </row>
    <row r="961">
      <c r="A961" s="1" t="s">
        <v>443</v>
      </c>
      <c r="B961" s="4">
        <v>19.0</v>
      </c>
      <c r="C961" s="1" t="s">
        <v>22</v>
      </c>
      <c r="D961" s="4">
        <v>16.0</v>
      </c>
      <c r="E961" s="4">
        <v>14.0</v>
      </c>
      <c r="F961" s="4">
        <v>7.0</v>
      </c>
      <c r="G961" s="4">
        <v>5.0</v>
      </c>
      <c r="H961" s="4">
        <v>2.0</v>
      </c>
      <c r="I961" s="4">
        <v>59.0</v>
      </c>
      <c r="J961" s="4">
        <v>37.0</v>
      </c>
      <c r="K961" s="4">
        <v>22.0</v>
      </c>
      <c r="L961" s="2" t="s">
        <v>325</v>
      </c>
      <c r="M961" s="5">
        <f>IFERROR(__xludf.DUMMYFUNCTION("""COMPUTED_VALUE"""),10.0)</f>
        <v>10</v>
      </c>
      <c r="N961" s="5">
        <f>IFERROR(__xludf.DUMMYFUNCTION("""COMPUTED_VALUE"""),11.0)</f>
        <v>11</v>
      </c>
      <c r="O961" s="5">
        <f>IFERROR(__xludf.DUMMYFUNCTION("""COMPUTED_VALUE"""),2002.0)</f>
        <v>2002</v>
      </c>
    </row>
    <row r="962">
      <c r="A962" s="1" t="s">
        <v>443</v>
      </c>
      <c r="B962" s="4">
        <v>20.0</v>
      </c>
      <c r="C962" s="1" t="s">
        <v>27</v>
      </c>
      <c r="D962" s="4">
        <v>15.0</v>
      </c>
      <c r="E962" s="4">
        <v>11.0</v>
      </c>
      <c r="F962" s="4">
        <v>7.0</v>
      </c>
      <c r="G962" s="4">
        <v>3.0</v>
      </c>
      <c r="H962" s="4">
        <v>1.0</v>
      </c>
      <c r="I962" s="4">
        <v>47.0</v>
      </c>
      <c r="J962" s="4">
        <v>21.0</v>
      </c>
      <c r="K962" s="4">
        <v>26.0</v>
      </c>
      <c r="L962" s="2" t="s">
        <v>182</v>
      </c>
      <c r="M962" s="5">
        <f>IFERROR(__xludf.DUMMYFUNCTION("""COMPUTED_VALUE"""),12.0)</f>
        <v>12</v>
      </c>
      <c r="N962" s="5">
        <f>IFERROR(__xludf.DUMMYFUNCTION("""COMPUTED_VALUE"""),11.0)</f>
        <v>11</v>
      </c>
      <c r="O962" s="5">
        <f>IFERROR(__xludf.DUMMYFUNCTION("""COMPUTED_VALUE"""),2001.0)</f>
        <v>2001</v>
      </c>
    </row>
    <row r="963">
      <c r="A963" s="1" t="s">
        <v>443</v>
      </c>
      <c r="B963" s="4">
        <v>21.0</v>
      </c>
      <c r="C963" s="1" t="s">
        <v>121</v>
      </c>
      <c r="D963" s="4">
        <v>15.0</v>
      </c>
      <c r="E963" s="4">
        <v>9.0</v>
      </c>
      <c r="F963" s="4">
        <v>7.0</v>
      </c>
      <c r="G963" s="4">
        <v>1.0</v>
      </c>
      <c r="H963" s="4">
        <v>1.0</v>
      </c>
      <c r="I963" s="4">
        <v>39.0</v>
      </c>
      <c r="J963" s="4">
        <v>16.0</v>
      </c>
      <c r="K963" s="4">
        <v>23.0</v>
      </c>
      <c r="L963" s="2" t="s">
        <v>449</v>
      </c>
      <c r="M963" s="5">
        <f>IFERROR(__xludf.DUMMYFUNCTION("""COMPUTED_VALUE"""),12.0)</f>
        <v>12</v>
      </c>
      <c r="N963" s="5">
        <f>IFERROR(__xludf.DUMMYFUNCTION("""COMPUTED_VALUE"""),6.0)</f>
        <v>6</v>
      </c>
      <c r="O963" s="5">
        <f>IFERROR(__xludf.DUMMYFUNCTION("""COMPUTED_VALUE"""),2004.0)</f>
        <v>2004</v>
      </c>
    </row>
    <row r="964">
      <c r="A964" s="1" t="s">
        <v>443</v>
      </c>
      <c r="B964" s="4">
        <v>22.0</v>
      </c>
      <c r="C964" s="1" t="s">
        <v>33</v>
      </c>
      <c r="D964" s="4">
        <v>14.0</v>
      </c>
      <c r="E964" s="4">
        <v>8.0</v>
      </c>
      <c r="F964" s="4">
        <v>7.0</v>
      </c>
      <c r="G964" s="4">
        <v>1.0</v>
      </c>
      <c r="H964" s="4">
        <v>0.0</v>
      </c>
      <c r="I964" s="4">
        <v>63.0</v>
      </c>
      <c r="J964" s="4">
        <v>12.0</v>
      </c>
      <c r="K964" s="4">
        <v>51.0</v>
      </c>
      <c r="L964" s="2" t="s">
        <v>51</v>
      </c>
      <c r="M964" s="5">
        <f>IFERROR(__xludf.DUMMYFUNCTION("""COMPUTED_VALUE"""),15.0)</f>
        <v>15</v>
      </c>
      <c r="N964" s="5">
        <f>IFERROR(__xludf.DUMMYFUNCTION("""COMPUTED_VALUE"""),9.0)</f>
        <v>9</v>
      </c>
      <c r="O964" s="5">
        <f>IFERROR(__xludf.DUMMYFUNCTION("""COMPUTED_VALUE"""),0.0)</f>
        <v>0</v>
      </c>
    </row>
    <row r="965">
      <c r="A965" s="1" t="s">
        <v>443</v>
      </c>
      <c r="B965" s="4">
        <v>23.0</v>
      </c>
      <c r="C965" s="1" t="s">
        <v>122</v>
      </c>
      <c r="D965" s="4">
        <v>14.0</v>
      </c>
      <c r="E965" s="4">
        <v>8.0</v>
      </c>
      <c r="F965" s="4">
        <v>7.0</v>
      </c>
      <c r="G965" s="4">
        <v>1.0</v>
      </c>
      <c r="H965" s="4">
        <v>0.0</v>
      </c>
      <c r="I965" s="4">
        <v>52.0</v>
      </c>
      <c r="J965" s="4">
        <v>9.0</v>
      </c>
      <c r="K965" s="4">
        <v>43.0</v>
      </c>
      <c r="L965" s="2" t="s">
        <v>251</v>
      </c>
      <c r="M965" s="5">
        <f>IFERROR(__xludf.DUMMYFUNCTION("""COMPUTED_VALUE"""),16.0)</f>
        <v>16</v>
      </c>
      <c r="N965" s="5">
        <f>IFERROR(__xludf.DUMMYFUNCTION("""COMPUTED_VALUE"""),5.0)</f>
        <v>5</v>
      </c>
      <c r="O965" s="5">
        <f>IFERROR(__xludf.DUMMYFUNCTION("""COMPUTED_VALUE"""),0.0)</f>
        <v>0</v>
      </c>
    </row>
    <row r="966">
      <c r="A966" s="1" t="s">
        <v>443</v>
      </c>
      <c r="B966" s="4">
        <v>24.0</v>
      </c>
      <c r="C966" s="1" t="s">
        <v>16</v>
      </c>
      <c r="D966" s="4">
        <v>14.0</v>
      </c>
      <c r="E966" s="4">
        <v>8.0</v>
      </c>
      <c r="F966" s="4">
        <v>7.0</v>
      </c>
      <c r="G966" s="4">
        <v>1.0</v>
      </c>
      <c r="H966" s="4">
        <v>0.0</v>
      </c>
      <c r="I966" s="4">
        <v>57.0</v>
      </c>
      <c r="J966" s="4">
        <v>17.0</v>
      </c>
      <c r="K966" s="4">
        <v>40.0</v>
      </c>
      <c r="L966" s="2" t="s">
        <v>38</v>
      </c>
      <c r="M966" s="5">
        <f>IFERROR(__xludf.DUMMYFUNCTION("""COMPUTED_VALUE"""),16.0)</f>
        <v>16</v>
      </c>
      <c r="N966" s="5">
        <f>IFERROR(__xludf.DUMMYFUNCTION("""COMPUTED_VALUE"""),8.0)</f>
        <v>8</v>
      </c>
      <c r="O966" s="5">
        <f>IFERROR(__xludf.DUMMYFUNCTION("""COMPUTED_VALUE"""),0.0)</f>
        <v>0</v>
      </c>
    </row>
    <row r="967">
      <c r="A967" s="1" t="s">
        <v>443</v>
      </c>
      <c r="B967" s="4">
        <v>25.0</v>
      </c>
      <c r="C967" s="1" t="s">
        <v>141</v>
      </c>
      <c r="D967" s="4">
        <v>14.0</v>
      </c>
      <c r="E967" s="4">
        <v>8.0</v>
      </c>
      <c r="F967" s="4">
        <v>7.0</v>
      </c>
      <c r="G967" s="4">
        <v>1.0</v>
      </c>
      <c r="H967" s="4">
        <v>0.0</v>
      </c>
      <c r="I967" s="4">
        <v>52.0</v>
      </c>
      <c r="J967" s="4">
        <v>14.0</v>
      </c>
      <c r="K967" s="4">
        <v>38.0</v>
      </c>
      <c r="L967" s="2" t="s">
        <v>63</v>
      </c>
      <c r="M967" s="5">
        <f>IFERROR(__xludf.DUMMYFUNCTION("""COMPUTED_VALUE"""),16.0)</f>
        <v>16</v>
      </c>
      <c r="N967" s="5">
        <f>IFERROR(__xludf.DUMMYFUNCTION("""COMPUTED_VALUE"""),7.0)</f>
        <v>7</v>
      </c>
      <c r="O967" s="5">
        <f>IFERROR(__xludf.DUMMYFUNCTION("""COMPUTED_VALUE"""),1.0)</f>
        <v>1</v>
      </c>
    </row>
    <row r="968">
      <c r="A968" s="1" t="s">
        <v>443</v>
      </c>
      <c r="B968" s="4">
        <v>26.0</v>
      </c>
      <c r="C968" s="1" t="s">
        <v>85</v>
      </c>
      <c r="D968" s="4">
        <v>14.0</v>
      </c>
      <c r="E968" s="4">
        <v>8.0</v>
      </c>
      <c r="F968" s="4">
        <v>7.0</v>
      </c>
      <c r="G968" s="4">
        <v>1.0</v>
      </c>
      <c r="H968" s="4">
        <v>0.0</v>
      </c>
      <c r="I968" s="4">
        <v>54.0</v>
      </c>
      <c r="J968" s="4">
        <v>21.0</v>
      </c>
      <c r="K968" s="4">
        <v>33.0</v>
      </c>
      <c r="L968" s="2" t="s">
        <v>30</v>
      </c>
      <c r="M968" s="5">
        <f>IFERROR(__xludf.DUMMYFUNCTION("""COMPUTED_VALUE"""),20.0)</f>
        <v>20</v>
      </c>
      <c r="N968" s="5">
        <f>IFERROR(__xludf.DUMMYFUNCTION("""COMPUTED_VALUE"""),3.0)</f>
        <v>3</v>
      </c>
      <c r="O968" s="5">
        <f>IFERROR(__xludf.DUMMYFUNCTION("""COMPUTED_VALUE"""),0.0)</f>
        <v>0</v>
      </c>
    </row>
    <row r="969">
      <c r="A969" s="1" t="s">
        <v>443</v>
      </c>
      <c r="B969" s="4">
        <v>27.0</v>
      </c>
      <c r="C969" s="1" t="s">
        <v>50</v>
      </c>
      <c r="D969" s="4">
        <v>14.0</v>
      </c>
      <c r="E969" s="4">
        <v>10.0</v>
      </c>
      <c r="F969" s="4">
        <v>7.0</v>
      </c>
      <c r="G969" s="4">
        <v>3.0</v>
      </c>
      <c r="H969" s="4">
        <v>0.0</v>
      </c>
      <c r="I969" s="4">
        <v>44.0</v>
      </c>
      <c r="J969" s="4">
        <v>25.0</v>
      </c>
      <c r="K969" s="4">
        <v>19.0</v>
      </c>
      <c r="L969" s="2" t="s">
        <v>89</v>
      </c>
      <c r="M969" s="5">
        <f>IFERROR(__xludf.DUMMYFUNCTION("""COMPUTED_VALUE"""),12.0)</f>
        <v>12</v>
      </c>
      <c r="N969" s="5">
        <f>IFERROR(__xludf.DUMMYFUNCTION("""COMPUTED_VALUE"""),10.0)</f>
        <v>10</v>
      </c>
      <c r="O969" s="5">
        <f>IFERROR(__xludf.DUMMYFUNCTION("""COMPUTED_VALUE"""),2001.0)</f>
        <v>2001</v>
      </c>
    </row>
    <row r="970">
      <c r="A970" s="1" t="s">
        <v>443</v>
      </c>
      <c r="B970" s="4">
        <v>28.0</v>
      </c>
      <c r="C970" s="1" t="s">
        <v>61</v>
      </c>
      <c r="D970" s="4">
        <v>14.0</v>
      </c>
      <c r="E970" s="4">
        <v>9.0</v>
      </c>
      <c r="F970" s="4">
        <v>7.0</v>
      </c>
      <c r="G970" s="4">
        <v>2.0</v>
      </c>
      <c r="H970" s="4">
        <v>0.0</v>
      </c>
      <c r="I970" s="4">
        <v>39.0</v>
      </c>
      <c r="J970" s="4">
        <v>23.0</v>
      </c>
      <c r="K970" s="4">
        <v>16.0</v>
      </c>
      <c r="L970" s="2" t="s">
        <v>70</v>
      </c>
      <c r="M970" s="5">
        <f>IFERROR(__xludf.DUMMYFUNCTION("""COMPUTED_VALUE"""),16.0)</f>
        <v>16</v>
      </c>
      <c r="N970" s="5">
        <f>IFERROR(__xludf.DUMMYFUNCTION("""COMPUTED_VALUE"""),7.0)</f>
        <v>7</v>
      </c>
      <c r="O970" s="5">
        <f>IFERROR(__xludf.DUMMYFUNCTION("""COMPUTED_VALUE"""),0.0)</f>
        <v>0</v>
      </c>
    </row>
    <row r="971">
      <c r="A971" s="1" t="s">
        <v>443</v>
      </c>
      <c r="B971" s="4">
        <v>29.0</v>
      </c>
      <c r="C971" s="1" t="s">
        <v>106</v>
      </c>
      <c r="D971" s="4">
        <v>13.0</v>
      </c>
      <c r="E971" s="4">
        <v>14.0</v>
      </c>
      <c r="F971" s="4">
        <v>6.0</v>
      </c>
      <c r="G971" s="4">
        <v>7.0</v>
      </c>
      <c r="H971" s="4">
        <v>1.0</v>
      </c>
      <c r="I971" s="4">
        <v>66.0</v>
      </c>
      <c r="J971" s="4">
        <v>39.0</v>
      </c>
      <c r="K971" s="4">
        <v>27.0</v>
      </c>
      <c r="L971" s="2" t="s">
        <v>323</v>
      </c>
      <c r="M971" s="5">
        <f>IFERROR(__xludf.DUMMYFUNCTION("""COMPUTED_VALUE"""),10.0)</f>
        <v>10</v>
      </c>
      <c r="N971" s="5">
        <f>IFERROR(__xludf.DUMMYFUNCTION("""COMPUTED_VALUE"""),12.0)</f>
        <v>12</v>
      </c>
      <c r="O971" s="5">
        <f>IFERROR(__xludf.DUMMYFUNCTION("""COMPUTED_VALUE"""),2001.0)</f>
        <v>2001</v>
      </c>
    </row>
    <row r="972">
      <c r="A972" s="1" t="s">
        <v>443</v>
      </c>
      <c r="B972" s="4">
        <v>30.0</v>
      </c>
      <c r="C972" s="1" t="s">
        <v>149</v>
      </c>
      <c r="D972" s="4">
        <v>13.0</v>
      </c>
      <c r="E972" s="4">
        <v>7.0</v>
      </c>
      <c r="F972" s="4">
        <v>6.0</v>
      </c>
      <c r="G972" s="4">
        <v>0.0</v>
      </c>
      <c r="H972" s="4">
        <v>1.0</v>
      </c>
      <c r="I972" s="4">
        <v>30.0</v>
      </c>
      <c r="J972" s="4">
        <v>9.0</v>
      </c>
      <c r="K972" s="4">
        <v>21.0</v>
      </c>
      <c r="L972" s="2" t="s">
        <v>366</v>
      </c>
      <c r="M972" s="5">
        <f>IFERROR(__xludf.DUMMYFUNCTION("""COMPUTED_VALUE"""),17.0)</f>
        <v>17</v>
      </c>
      <c r="N972" s="5">
        <f>IFERROR(__xludf.DUMMYFUNCTION("""COMPUTED_VALUE"""),4.0)</f>
        <v>4</v>
      </c>
      <c r="O972" s="5">
        <f>IFERROR(__xludf.DUMMYFUNCTION("""COMPUTED_VALUE"""),3.0)</f>
        <v>3</v>
      </c>
    </row>
    <row r="973">
      <c r="A973" s="1" t="s">
        <v>443</v>
      </c>
      <c r="B973" s="4">
        <v>31.0</v>
      </c>
      <c r="C973" s="1" t="s">
        <v>101</v>
      </c>
      <c r="D973" s="4">
        <v>12.0</v>
      </c>
      <c r="E973" s="4">
        <v>8.0</v>
      </c>
      <c r="F973" s="4">
        <v>6.0</v>
      </c>
      <c r="G973" s="4">
        <v>2.0</v>
      </c>
      <c r="H973" s="4">
        <v>0.0</v>
      </c>
      <c r="I973" s="4">
        <v>58.0</v>
      </c>
      <c r="J973" s="4">
        <v>14.0</v>
      </c>
      <c r="K973" s="4">
        <v>44.0</v>
      </c>
      <c r="L973" s="2" t="s">
        <v>40</v>
      </c>
      <c r="M973" s="5">
        <f>IFERROR(__xludf.DUMMYFUNCTION("""COMPUTED_VALUE"""),17.0)</f>
        <v>17</v>
      </c>
      <c r="N973" s="5">
        <f>IFERROR(__xludf.DUMMYFUNCTION("""COMPUTED_VALUE"""),6.0)</f>
        <v>6</v>
      </c>
      <c r="O973" s="5">
        <f>IFERROR(__xludf.DUMMYFUNCTION("""COMPUTED_VALUE"""),1.0)</f>
        <v>1</v>
      </c>
    </row>
    <row r="974">
      <c r="A974" s="1" t="s">
        <v>443</v>
      </c>
      <c r="B974" s="4">
        <v>32.0</v>
      </c>
      <c r="C974" s="1" t="s">
        <v>81</v>
      </c>
      <c r="D974" s="4">
        <v>12.0</v>
      </c>
      <c r="E974" s="4">
        <v>10.0</v>
      </c>
      <c r="F974" s="4">
        <v>6.0</v>
      </c>
      <c r="G974" s="4">
        <v>4.0</v>
      </c>
      <c r="H974" s="4">
        <v>0.0</v>
      </c>
      <c r="I974" s="4">
        <v>45.0</v>
      </c>
      <c r="J974" s="4">
        <v>24.0</v>
      </c>
      <c r="K974" s="4">
        <v>21.0</v>
      </c>
      <c r="L974" s="2" t="s">
        <v>176</v>
      </c>
      <c r="M974" s="5">
        <f>IFERROR(__xludf.DUMMYFUNCTION("""COMPUTED_VALUE"""),11.0)</f>
        <v>11</v>
      </c>
      <c r="N974" s="5">
        <f>IFERROR(__xludf.DUMMYFUNCTION("""COMPUTED_VALUE"""),11.0)</f>
        <v>11</v>
      </c>
      <c r="O974" s="5">
        <f>IFERROR(__xludf.DUMMYFUNCTION("""COMPUTED_VALUE"""),2001.0)</f>
        <v>2001</v>
      </c>
    </row>
    <row r="975">
      <c r="A975" s="1" t="s">
        <v>443</v>
      </c>
      <c r="B975" s="4">
        <v>33.0</v>
      </c>
      <c r="C975" s="1" t="s">
        <v>88</v>
      </c>
      <c r="D975" s="4">
        <v>12.0</v>
      </c>
      <c r="E975" s="4">
        <v>12.0</v>
      </c>
      <c r="F975" s="4">
        <v>6.0</v>
      </c>
      <c r="G975" s="4">
        <v>6.0</v>
      </c>
      <c r="H975" s="4">
        <v>0.0</v>
      </c>
      <c r="I975" s="4">
        <v>54.0</v>
      </c>
      <c r="J975" s="4">
        <v>33.0</v>
      </c>
      <c r="K975" s="4">
        <v>21.0</v>
      </c>
      <c r="L975" s="2" t="s">
        <v>80</v>
      </c>
      <c r="M975" s="5">
        <f>IFERROR(__xludf.DUMMYFUNCTION("""COMPUTED_VALUE"""),12.0)</f>
        <v>12</v>
      </c>
      <c r="N975" s="5">
        <f>IFERROR(__xludf.DUMMYFUNCTION("""COMPUTED_VALUE"""),12.0)</f>
        <v>12</v>
      </c>
      <c r="O975" s="5">
        <f>IFERROR(__xludf.DUMMYFUNCTION("""COMPUTED_VALUE"""),2000.0)</f>
        <v>2000</v>
      </c>
    </row>
    <row r="976">
      <c r="A976" s="1" t="s">
        <v>443</v>
      </c>
      <c r="B976" s="4">
        <v>34.0</v>
      </c>
      <c r="C976" s="1" t="s">
        <v>71</v>
      </c>
      <c r="D976" s="4">
        <v>12.0</v>
      </c>
      <c r="E976" s="4">
        <v>11.0</v>
      </c>
      <c r="F976" s="4">
        <v>6.0</v>
      </c>
      <c r="G976" s="4">
        <v>5.0</v>
      </c>
      <c r="H976" s="4">
        <v>0.0</v>
      </c>
      <c r="I976" s="4">
        <v>40.0</v>
      </c>
      <c r="J976" s="4">
        <v>24.0</v>
      </c>
      <c r="K976" s="4">
        <v>16.0</v>
      </c>
      <c r="L976" s="2" t="s">
        <v>93</v>
      </c>
      <c r="M976" s="5">
        <f>IFERROR(__xludf.DUMMYFUNCTION("""COMPUTED_VALUE"""),13.0)</f>
        <v>13</v>
      </c>
      <c r="N976" s="5">
        <f>IFERROR(__xludf.DUMMYFUNCTION("""COMPUTED_VALUE"""),10.0)</f>
        <v>10</v>
      </c>
      <c r="O976" s="5">
        <f>IFERROR(__xludf.DUMMYFUNCTION("""COMPUTED_VALUE"""),0.0)</f>
        <v>0</v>
      </c>
    </row>
    <row r="977">
      <c r="A977" s="1" t="s">
        <v>443</v>
      </c>
      <c r="B977" s="4">
        <v>35.0</v>
      </c>
      <c r="C977" s="1" t="s">
        <v>116</v>
      </c>
      <c r="D977" s="4">
        <v>12.0</v>
      </c>
      <c r="E977" s="4">
        <v>10.0</v>
      </c>
      <c r="F977" s="4">
        <v>6.0</v>
      </c>
      <c r="G977" s="4">
        <v>4.0</v>
      </c>
      <c r="H977" s="4">
        <v>0.0</v>
      </c>
      <c r="I977" s="4">
        <v>47.0</v>
      </c>
      <c r="J977" s="4">
        <v>41.0</v>
      </c>
      <c r="K977" s="4">
        <v>6.0</v>
      </c>
      <c r="L977" s="2" t="s">
        <v>57</v>
      </c>
      <c r="M977" s="5">
        <f>IFERROR(__xludf.DUMMYFUNCTION("""COMPUTED_VALUE"""),17.0)</f>
        <v>17</v>
      </c>
      <c r="N977" s="5">
        <f>IFERROR(__xludf.DUMMYFUNCTION("""COMPUTED_VALUE"""),7.0)</f>
        <v>7</v>
      </c>
      <c r="O977" s="5">
        <f>IFERROR(__xludf.DUMMYFUNCTION("""COMPUTED_VALUE"""),0.0)</f>
        <v>0</v>
      </c>
    </row>
    <row r="978">
      <c r="A978" s="1" t="s">
        <v>443</v>
      </c>
      <c r="B978" s="4">
        <v>36.0</v>
      </c>
      <c r="C978" s="1" t="s">
        <v>156</v>
      </c>
      <c r="D978" s="4">
        <v>12.0</v>
      </c>
      <c r="E978" s="4">
        <v>15.0</v>
      </c>
      <c r="F978" s="4">
        <v>6.0</v>
      </c>
      <c r="G978" s="4">
        <v>9.0</v>
      </c>
      <c r="H978" s="4">
        <v>0.0</v>
      </c>
      <c r="I978" s="4">
        <v>40.0</v>
      </c>
      <c r="J978" s="4">
        <v>59.0</v>
      </c>
      <c r="K978" s="4">
        <v>-19.0</v>
      </c>
      <c r="L978" s="2" t="s">
        <v>247</v>
      </c>
      <c r="M978" s="5">
        <f>IFERROR(__xludf.DUMMYFUNCTION("""COMPUTED_VALUE"""),9.0)</f>
        <v>9</v>
      </c>
      <c r="N978" s="5">
        <f>IFERROR(__xludf.DUMMYFUNCTION("""COMPUTED_VALUE"""),13.0)</f>
        <v>13</v>
      </c>
      <c r="O978" s="5">
        <f>IFERROR(__xludf.DUMMYFUNCTION("""COMPUTED_VALUE"""),2001.0)</f>
        <v>2001</v>
      </c>
    </row>
    <row r="979">
      <c r="A979" s="1" t="s">
        <v>443</v>
      </c>
      <c r="B979" s="4">
        <v>37.0</v>
      </c>
      <c r="C979" s="1" t="s">
        <v>66</v>
      </c>
      <c r="D979" s="4">
        <v>11.0</v>
      </c>
      <c r="E979" s="4">
        <v>12.0</v>
      </c>
      <c r="F979" s="4">
        <v>5.0</v>
      </c>
      <c r="G979" s="4">
        <v>6.0</v>
      </c>
      <c r="H979" s="4">
        <v>1.0</v>
      </c>
      <c r="I979" s="4">
        <v>56.0</v>
      </c>
      <c r="J979" s="4">
        <v>50.0</v>
      </c>
      <c r="K979" s="4">
        <v>6.0</v>
      </c>
      <c r="L979" s="2" t="s">
        <v>72</v>
      </c>
      <c r="M979" s="5">
        <f>IFERROR(__xludf.DUMMYFUNCTION("""COMPUTED_VALUE"""),15.0)</f>
        <v>15</v>
      </c>
      <c r="N979" s="5">
        <f>IFERROR(__xludf.DUMMYFUNCTION("""COMPUTED_VALUE"""),8.0)</f>
        <v>8</v>
      </c>
      <c r="O979" s="5">
        <f>IFERROR(__xludf.DUMMYFUNCTION("""COMPUTED_VALUE"""),1.0)</f>
        <v>1</v>
      </c>
    </row>
    <row r="980">
      <c r="A980" s="1" t="s">
        <v>443</v>
      </c>
      <c r="B980" s="4">
        <v>38.0</v>
      </c>
      <c r="C980" s="1" t="s">
        <v>75</v>
      </c>
      <c r="D980" s="4">
        <v>11.0</v>
      </c>
      <c r="E980" s="4">
        <v>14.0</v>
      </c>
      <c r="F980" s="4">
        <v>5.0</v>
      </c>
      <c r="G980" s="4">
        <v>8.0</v>
      </c>
      <c r="H980" s="4">
        <v>1.0</v>
      </c>
      <c r="I980" s="4">
        <v>38.0</v>
      </c>
      <c r="J980" s="4">
        <v>53.0</v>
      </c>
      <c r="K980" s="4">
        <v>-15.0</v>
      </c>
      <c r="L980" s="2" t="s">
        <v>321</v>
      </c>
      <c r="M980" s="5">
        <f>IFERROR(__xludf.DUMMYFUNCTION("""COMPUTED_VALUE"""),9.0)</f>
        <v>9</v>
      </c>
      <c r="N980" s="5">
        <f>IFERROR(__xludf.DUMMYFUNCTION("""COMPUTED_VALUE"""),14.0)</f>
        <v>14</v>
      </c>
      <c r="O980" s="5">
        <f>IFERROR(__xludf.DUMMYFUNCTION("""COMPUTED_VALUE"""),2001.0)</f>
        <v>2001</v>
      </c>
    </row>
    <row r="981">
      <c r="A981" s="1" t="s">
        <v>443</v>
      </c>
      <c r="B981" s="4">
        <v>39.0</v>
      </c>
      <c r="C981" s="1" t="s">
        <v>96</v>
      </c>
      <c r="D981" s="4">
        <v>10.0</v>
      </c>
      <c r="E981" s="4">
        <v>7.0</v>
      </c>
      <c r="F981" s="4">
        <v>5.0</v>
      </c>
      <c r="G981" s="4">
        <v>2.0</v>
      </c>
      <c r="H981" s="4">
        <v>0.0</v>
      </c>
      <c r="I981" s="4">
        <v>23.0</v>
      </c>
      <c r="J981" s="4">
        <v>11.0</v>
      </c>
      <c r="K981" s="4">
        <v>12.0</v>
      </c>
      <c r="L981" s="2" t="s">
        <v>446</v>
      </c>
      <c r="M981" s="5">
        <f>IFERROR(__xludf.DUMMYFUNCTION("""COMPUTED_VALUE"""),18.0)</f>
        <v>18</v>
      </c>
      <c r="N981" s="5">
        <f>IFERROR(__xludf.DUMMYFUNCTION("""COMPUTED_VALUE"""),4.0)</f>
        <v>4</v>
      </c>
      <c r="O981" s="5">
        <f>IFERROR(__xludf.DUMMYFUNCTION("""COMPUTED_VALUE"""),1.0)</f>
        <v>1</v>
      </c>
    </row>
    <row r="982">
      <c r="A982" s="1" t="s">
        <v>443</v>
      </c>
      <c r="B982" s="4">
        <v>40.0</v>
      </c>
      <c r="C982" s="1" t="s">
        <v>54</v>
      </c>
      <c r="D982" s="4">
        <v>10.0</v>
      </c>
      <c r="E982" s="4">
        <v>7.0</v>
      </c>
      <c r="F982" s="4">
        <v>4.0</v>
      </c>
      <c r="G982" s="4">
        <v>1.0</v>
      </c>
      <c r="H982" s="4">
        <v>2.0</v>
      </c>
      <c r="I982" s="4">
        <v>20.0</v>
      </c>
      <c r="J982" s="4">
        <v>14.0</v>
      </c>
      <c r="K982" s="4">
        <v>6.0</v>
      </c>
      <c r="L982" s="2" t="s">
        <v>450</v>
      </c>
      <c r="M982" s="5">
        <f>IFERROR(__xludf.DUMMYFUNCTION("""COMPUTED_VALUE"""),10.0)</f>
        <v>10</v>
      </c>
      <c r="N982" s="5">
        <f>IFERROR(__xludf.DUMMYFUNCTION("""COMPUTED_VALUE"""),8.0)</f>
        <v>8</v>
      </c>
      <c r="O982" s="5">
        <f>IFERROR(__xludf.DUMMYFUNCTION("""COMPUTED_VALUE"""),2004.0)</f>
        <v>2004</v>
      </c>
    </row>
    <row r="983">
      <c r="A983" s="1" t="s">
        <v>443</v>
      </c>
      <c r="B983" s="4">
        <v>41.0</v>
      </c>
      <c r="C983" s="1" t="s">
        <v>161</v>
      </c>
      <c r="D983" s="4">
        <v>10.0</v>
      </c>
      <c r="E983" s="4">
        <v>10.0</v>
      </c>
      <c r="F983" s="4">
        <v>5.0</v>
      </c>
      <c r="G983" s="4">
        <v>5.0</v>
      </c>
      <c r="H983" s="4">
        <v>0.0</v>
      </c>
      <c r="I983" s="4">
        <v>33.0</v>
      </c>
      <c r="J983" s="4">
        <v>37.0</v>
      </c>
      <c r="K983" s="4">
        <v>-4.0</v>
      </c>
      <c r="L983" s="2" t="s">
        <v>349</v>
      </c>
      <c r="M983" s="5">
        <f>IFERROR(__xludf.DUMMYFUNCTION("""COMPUTED_VALUE"""),10.0)</f>
        <v>10</v>
      </c>
      <c r="N983" s="5">
        <f>IFERROR(__xludf.DUMMYFUNCTION("""COMPUTED_VALUE"""),12.0)</f>
        <v>12</v>
      </c>
      <c r="O983" s="5">
        <f>IFERROR(__xludf.DUMMYFUNCTION("""COMPUTED_VALUE"""),2000.0)</f>
        <v>2000</v>
      </c>
    </row>
    <row r="984">
      <c r="A984" s="1" t="s">
        <v>443</v>
      </c>
      <c r="B984" s="4">
        <v>42.0</v>
      </c>
      <c r="C984" s="1" t="s">
        <v>138</v>
      </c>
      <c r="D984" s="4">
        <v>9.0</v>
      </c>
      <c r="E984" s="4">
        <v>12.0</v>
      </c>
      <c r="F984" s="4">
        <v>4.0</v>
      </c>
      <c r="G984" s="4">
        <v>7.0</v>
      </c>
      <c r="H984" s="4">
        <v>1.0</v>
      </c>
      <c r="I984" s="4">
        <v>45.0</v>
      </c>
      <c r="J984" s="4">
        <v>40.0</v>
      </c>
      <c r="K984" s="4">
        <v>5.0</v>
      </c>
      <c r="L984" s="2" t="s">
        <v>451</v>
      </c>
      <c r="M984" s="5">
        <f>IFERROR(__xludf.DUMMYFUNCTION("""COMPUTED_VALUE"""),9.0)</f>
        <v>9</v>
      </c>
      <c r="N984" s="5">
        <f>IFERROR(__xludf.DUMMYFUNCTION("""COMPUTED_VALUE"""),12.0)</f>
        <v>12</v>
      </c>
      <c r="O984" s="5">
        <f>IFERROR(__xludf.DUMMYFUNCTION("""COMPUTED_VALUE"""),2001.0)</f>
        <v>2001</v>
      </c>
    </row>
    <row r="985">
      <c r="A985" s="1" t="s">
        <v>443</v>
      </c>
      <c r="B985" s="4">
        <v>43.0</v>
      </c>
      <c r="C985" s="1" t="s">
        <v>159</v>
      </c>
      <c r="D985" s="4">
        <v>9.0</v>
      </c>
      <c r="E985" s="4">
        <v>10.0</v>
      </c>
      <c r="F985" s="4">
        <v>4.0</v>
      </c>
      <c r="G985" s="4">
        <v>5.0</v>
      </c>
      <c r="H985" s="4">
        <v>1.0</v>
      </c>
      <c r="I985" s="4">
        <v>28.0</v>
      </c>
      <c r="J985" s="4">
        <v>32.0</v>
      </c>
      <c r="K985" s="4">
        <v>-4.0</v>
      </c>
      <c r="L985" s="2" t="s">
        <v>143</v>
      </c>
      <c r="M985" s="5">
        <f>IFERROR(__xludf.DUMMYFUNCTION("""COMPUTED_VALUE"""),7.0)</f>
        <v>7</v>
      </c>
      <c r="N985" s="5">
        <f>IFERROR(__xludf.DUMMYFUNCTION("""COMPUTED_VALUE"""),16.0)</f>
        <v>16</v>
      </c>
      <c r="O985" s="5">
        <f>IFERROR(__xludf.DUMMYFUNCTION("""COMPUTED_VALUE"""),2001.0)</f>
        <v>2001</v>
      </c>
    </row>
    <row r="986">
      <c r="A986" s="1" t="s">
        <v>443</v>
      </c>
      <c r="B986" s="4">
        <v>44.0</v>
      </c>
      <c r="C986" s="1" t="s">
        <v>62</v>
      </c>
      <c r="D986" s="4">
        <v>8.0</v>
      </c>
      <c r="E986" s="4">
        <v>8.0</v>
      </c>
      <c r="F986" s="4">
        <v>4.0</v>
      </c>
      <c r="G986" s="4">
        <v>4.0</v>
      </c>
      <c r="H986" s="4">
        <v>0.0</v>
      </c>
      <c r="I986" s="4">
        <v>48.0</v>
      </c>
      <c r="J986" s="4">
        <v>26.0</v>
      </c>
      <c r="K986" s="4">
        <v>22.0</v>
      </c>
      <c r="L986" s="2" t="s">
        <v>404</v>
      </c>
      <c r="M986" s="5">
        <f>IFERROR(__xludf.DUMMYFUNCTION("""COMPUTED_VALUE"""),16.0)</f>
        <v>16</v>
      </c>
      <c r="N986" s="5">
        <f>IFERROR(__xludf.DUMMYFUNCTION("""COMPUTED_VALUE"""),5.0)</f>
        <v>5</v>
      </c>
      <c r="O986" s="5">
        <f>IFERROR(__xludf.DUMMYFUNCTION("""COMPUTED_VALUE"""),3.0)</f>
        <v>3</v>
      </c>
    </row>
    <row r="987">
      <c r="A987" s="1" t="s">
        <v>443</v>
      </c>
      <c r="B987" s="4">
        <v>45.0</v>
      </c>
      <c r="C987" s="1" t="s">
        <v>60</v>
      </c>
      <c r="D987" s="4">
        <v>8.0</v>
      </c>
      <c r="E987" s="4">
        <v>8.0</v>
      </c>
      <c r="F987" s="4">
        <v>4.0</v>
      </c>
      <c r="G987" s="4">
        <v>4.0</v>
      </c>
      <c r="H987" s="4">
        <v>0.0</v>
      </c>
      <c r="I987" s="4">
        <v>37.0</v>
      </c>
      <c r="J987" s="4">
        <v>21.0</v>
      </c>
      <c r="K987" s="4">
        <v>16.0</v>
      </c>
      <c r="L987" s="2" t="s">
        <v>247</v>
      </c>
      <c r="M987" s="5">
        <f>IFERROR(__xludf.DUMMYFUNCTION("""COMPUTED_VALUE"""),9.0)</f>
        <v>9</v>
      </c>
      <c r="N987" s="5">
        <f>IFERROR(__xludf.DUMMYFUNCTION("""COMPUTED_VALUE"""),13.0)</f>
        <v>13</v>
      </c>
      <c r="O987" s="5">
        <f>IFERROR(__xludf.DUMMYFUNCTION("""COMPUTED_VALUE"""),2001.0)</f>
        <v>2001</v>
      </c>
    </row>
    <row r="988">
      <c r="A988" s="1" t="s">
        <v>443</v>
      </c>
      <c r="B988" s="4">
        <v>46.0</v>
      </c>
      <c r="C988" s="1" t="s">
        <v>144</v>
      </c>
      <c r="D988" s="4">
        <v>8.0</v>
      </c>
      <c r="E988" s="4">
        <v>4.0</v>
      </c>
      <c r="F988" s="4">
        <v>4.0</v>
      </c>
      <c r="G988" s="4">
        <v>0.0</v>
      </c>
      <c r="H988" s="4">
        <v>0.0</v>
      </c>
      <c r="I988" s="4">
        <v>24.0</v>
      </c>
      <c r="J988" s="4">
        <v>8.0</v>
      </c>
      <c r="K988" s="4">
        <v>16.0</v>
      </c>
      <c r="L988" s="2" t="s">
        <v>63</v>
      </c>
      <c r="M988" s="5">
        <f>IFERROR(__xludf.DUMMYFUNCTION("""COMPUTED_VALUE"""),16.0)</f>
        <v>16</v>
      </c>
      <c r="N988" s="5">
        <f>IFERROR(__xludf.DUMMYFUNCTION("""COMPUTED_VALUE"""),7.0)</f>
        <v>7</v>
      </c>
      <c r="O988" s="5">
        <f>IFERROR(__xludf.DUMMYFUNCTION("""COMPUTED_VALUE"""),1.0)</f>
        <v>1</v>
      </c>
    </row>
    <row r="989">
      <c r="A989" s="1" t="s">
        <v>443</v>
      </c>
      <c r="B989" s="4">
        <v>47.0</v>
      </c>
      <c r="C989" s="1" t="s">
        <v>126</v>
      </c>
      <c r="D989" s="4">
        <v>8.0</v>
      </c>
      <c r="E989" s="4">
        <v>6.0</v>
      </c>
      <c r="F989" s="4">
        <v>4.0</v>
      </c>
      <c r="G989" s="4">
        <v>2.0</v>
      </c>
      <c r="H989" s="4">
        <v>0.0</v>
      </c>
      <c r="I989" s="4">
        <v>31.0</v>
      </c>
      <c r="J989" s="4">
        <v>18.0</v>
      </c>
      <c r="K989" s="4">
        <v>13.0</v>
      </c>
      <c r="L989" s="2" t="s">
        <v>242</v>
      </c>
      <c r="M989" s="5">
        <f>IFERROR(__xludf.DUMMYFUNCTION("""COMPUTED_VALUE"""),13.0)</f>
        <v>13</v>
      </c>
      <c r="N989" s="5">
        <f>IFERROR(__xludf.DUMMYFUNCTION("""COMPUTED_VALUE"""),7.0)</f>
        <v>7</v>
      </c>
      <c r="O989" s="5">
        <f>IFERROR(__xludf.DUMMYFUNCTION("""COMPUTED_VALUE"""),0.0)</f>
        <v>0</v>
      </c>
    </row>
    <row r="990">
      <c r="A990" s="1" t="s">
        <v>443</v>
      </c>
      <c r="B990" s="4">
        <v>48.0</v>
      </c>
      <c r="C990" s="1" t="s">
        <v>114</v>
      </c>
      <c r="D990" s="4">
        <v>8.0</v>
      </c>
      <c r="E990" s="4">
        <v>5.0</v>
      </c>
      <c r="F990" s="4">
        <v>4.0</v>
      </c>
      <c r="G990" s="4">
        <v>1.0</v>
      </c>
      <c r="H990" s="4">
        <v>0.0</v>
      </c>
      <c r="I990" s="4">
        <v>27.0</v>
      </c>
      <c r="J990" s="4">
        <v>16.0</v>
      </c>
      <c r="K990" s="4">
        <v>11.0</v>
      </c>
      <c r="L990" s="2" t="s">
        <v>452</v>
      </c>
      <c r="M990" s="5">
        <f>IFERROR(__xludf.DUMMYFUNCTION("""COMPUTED_VALUE"""),16.0)</f>
        <v>16</v>
      </c>
      <c r="N990" s="5">
        <f>IFERROR(__xludf.DUMMYFUNCTION("""COMPUTED_VALUE"""),3.0)</f>
        <v>3</v>
      </c>
      <c r="O990" s="5">
        <f>IFERROR(__xludf.DUMMYFUNCTION("""COMPUTED_VALUE"""),0.0)</f>
        <v>0</v>
      </c>
    </row>
    <row r="991">
      <c r="A991" s="1" t="s">
        <v>443</v>
      </c>
      <c r="B991" s="4">
        <v>49.0</v>
      </c>
      <c r="C991" s="1" t="s">
        <v>56</v>
      </c>
      <c r="D991" s="4">
        <v>8.0</v>
      </c>
      <c r="E991" s="4">
        <v>8.0</v>
      </c>
      <c r="F991" s="4">
        <v>4.0</v>
      </c>
      <c r="G991" s="4">
        <v>4.0</v>
      </c>
      <c r="H991" s="4">
        <v>0.0</v>
      </c>
      <c r="I991" s="4">
        <v>32.0</v>
      </c>
      <c r="J991" s="4">
        <v>28.0</v>
      </c>
      <c r="K991" s="4">
        <v>4.0</v>
      </c>
      <c r="L991" s="2" t="s">
        <v>344</v>
      </c>
      <c r="M991" s="5">
        <f>IFERROR(__xludf.DUMMYFUNCTION("""COMPUTED_VALUE"""),11.0)</f>
        <v>11</v>
      </c>
      <c r="N991" s="5">
        <f>IFERROR(__xludf.DUMMYFUNCTION("""COMPUTED_VALUE"""),10.0)</f>
        <v>10</v>
      </c>
      <c r="O991" s="5">
        <f>IFERROR(__xludf.DUMMYFUNCTION("""COMPUTED_VALUE"""),2000.0)</f>
        <v>2000</v>
      </c>
    </row>
    <row r="992">
      <c r="A992" s="1" t="s">
        <v>443</v>
      </c>
      <c r="B992" s="4">
        <v>50.0</v>
      </c>
      <c r="C992" s="1" t="s">
        <v>36</v>
      </c>
      <c r="D992" s="4">
        <v>8.0</v>
      </c>
      <c r="E992" s="4">
        <v>7.0</v>
      </c>
      <c r="F992" s="4">
        <v>3.0</v>
      </c>
      <c r="G992" s="4">
        <v>2.0</v>
      </c>
      <c r="H992" s="4">
        <v>2.0</v>
      </c>
      <c r="I992" s="4">
        <v>21.0</v>
      </c>
      <c r="J992" s="4">
        <v>18.0</v>
      </c>
      <c r="K992" s="4">
        <v>3.0</v>
      </c>
      <c r="L992" s="2" t="s">
        <v>411</v>
      </c>
      <c r="M992" s="5">
        <f>IFERROR(__xludf.DUMMYFUNCTION("""COMPUTED_VALUE"""),12.0)</f>
        <v>12</v>
      </c>
      <c r="N992" s="5">
        <f>IFERROR(__xludf.DUMMYFUNCTION("""COMPUTED_VALUE"""),9.0)</f>
        <v>9</v>
      </c>
      <c r="O992" s="5">
        <f>IFERROR(__xludf.DUMMYFUNCTION("""COMPUTED_VALUE"""),2002.0)</f>
        <v>2002</v>
      </c>
    </row>
    <row r="993">
      <c r="A993" s="1" t="s">
        <v>443</v>
      </c>
      <c r="B993" s="4">
        <v>51.0</v>
      </c>
      <c r="C993" s="1" t="s">
        <v>41</v>
      </c>
      <c r="D993" s="4">
        <v>8.0</v>
      </c>
      <c r="E993" s="4">
        <v>10.0</v>
      </c>
      <c r="F993" s="4">
        <v>4.0</v>
      </c>
      <c r="G993" s="4">
        <v>6.0</v>
      </c>
      <c r="H993" s="4">
        <v>0.0</v>
      </c>
      <c r="I993" s="4">
        <v>47.0</v>
      </c>
      <c r="J993" s="4">
        <v>45.0</v>
      </c>
      <c r="K993" s="4">
        <v>2.0</v>
      </c>
      <c r="L993" s="2" t="s">
        <v>127</v>
      </c>
      <c r="M993" s="5">
        <f>IFERROR(__xludf.DUMMYFUNCTION("""COMPUTED_VALUE"""),9.0)</f>
        <v>9</v>
      </c>
      <c r="N993" s="5">
        <f>IFERROR(__xludf.DUMMYFUNCTION("""COMPUTED_VALUE"""),11.0)</f>
        <v>11</v>
      </c>
      <c r="O993" s="5">
        <f>IFERROR(__xludf.DUMMYFUNCTION("""COMPUTED_VALUE"""),2000.0)</f>
        <v>2000</v>
      </c>
    </row>
    <row r="994">
      <c r="A994" s="1" t="s">
        <v>443</v>
      </c>
      <c r="B994" s="4">
        <v>52.0</v>
      </c>
      <c r="C994" s="1" t="s">
        <v>368</v>
      </c>
      <c r="D994" s="4">
        <v>8.0</v>
      </c>
      <c r="E994" s="4">
        <v>7.0</v>
      </c>
      <c r="F994" s="4">
        <v>4.0</v>
      </c>
      <c r="G994" s="4">
        <v>3.0</v>
      </c>
      <c r="H994" s="4">
        <v>0.0</v>
      </c>
      <c r="I994" s="4">
        <v>21.0</v>
      </c>
      <c r="J994" s="4">
        <v>22.0</v>
      </c>
      <c r="K994" s="4">
        <v>-1.0</v>
      </c>
      <c r="L994" s="2" t="s">
        <v>451</v>
      </c>
      <c r="M994" s="5">
        <f>IFERROR(__xludf.DUMMYFUNCTION("""COMPUTED_VALUE"""),9.0)</f>
        <v>9</v>
      </c>
      <c r="N994" s="5">
        <f>IFERROR(__xludf.DUMMYFUNCTION("""COMPUTED_VALUE"""),12.0)</f>
        <v>12</v>
      </c>
      <c r="O994" s="5">
        <f>IFERROR(__xludf.DUMMYFUNCTION("""COMPUTED_VALUE"""),2001.0)</f>
        <v>2001</v>
      </c>
    </row>
    <row r="995">
      <c r="A995" s="1" t="s">
        <v>443</v>
      </c>
      <c r="B995" s="4">
        <v>53.0</v>
      </c>
      <c r="C995" s="1" t="s">
        <v>130</v>
      </c>
      <c r="D995" s="4">
        <v>8.0</v>
      </c>
      <c r="E995" s="4">
        <v>8.0</v>
      </c>
      <c r="F995" s="4">
        <v>4.0</v>
      </c>
      <c r="G995" s="4">
        <v>4.0</v>
      </c>
      <c r="H995" s="4">
        <v>0.0</v>
      </c>
      <c r="I995" s="4">
        <v>26.0</v>
      </c>
      <c r="J995" s="4">
        <v>30.0</v>
      </c>
      <c r="K995" s="4">
        <v>-4.0</v>
      </c>
      <c r="L995" s="2" t="s">
        <v>187</v>
      </c>
      <c r="M995" s="5">
        <f>IFERROR(__xludf.DUMMYFUNCTION("""COMPUTED_VALUE"""),6.0)</f>
        <v>6</v>
      </c>
      <c r="N995" s="5">
        <f>IFERROR(__xludf.DUMMYFUNCTION("""COMPUTED_VALUE"""),16.0)</f>
        <v>16</v>
      </c>
      <c r="O995" s="5">
        <f>IFERROR(__xludf.DUMMYFUNCTION("""COMPUTED_VALUE"""),2000.0)</f>
        <v>2000</v>
      </c>
    </row>
    <row r="996">
      <c r="A996" s="1" t="s">
        <v>443</v>
      </c>
      <c r="B996" s="4">
        <v>54.0</v>
      </c>
      <c r="C996" s="1" t="s">
        <v>128</v>
      </c>
      <c r="D996" s="4">
        <v>8.0</v>
      </c>
      <c r="E996" s="4">
        <v>12.0</v>
      </c>
      <c r="F996" s="4">
        <v>4.0</v>
      </c>
      <c r="G996" s="4">
        <v>8.0</v>
      </c>
      <c r="H996" s="4">
        <v>0.0</v>
      </c>
      <c r="I996" s="4">
        <v>35.0</v>
      </c>
      <c r="J996" s="4">
        <v>72.0</v>
      </c>
      <c r="K996" s="4">
        <v>-37.0</v>
      </c>
      <c r="L996" s="2" t="s">
        <v>321</v>
      </c>
      <c r="M996" s="5">
        <f>IFERROR(__xludf.DUMMYFUNCTION("""COMPUTED_VALUE"""),9.0)</f>
        <v>9</v>
      </c>
      <c r="N996" s="5">
        <f>IFERROR(__xludf.DUMMYFUNCTION("""COMPUTED_VALUE"""),14.0)</f>
        <v>14</v>
      </c>
      <c r="O996" s="5">
        <f>IFERROR(__xludf.DUMMYFUNCTION("""COMPUTED_VALUE"""),2001.0)</f>
        <v>2001</v>
      </c>
    </row>
    <row r="997">
      <c r="A997" s="1" t="s">
        <v>443</v>
      </c>
      <c r="B997" s="4">
        <v>55.0</v>
      </c>
      <c r="C997" s="1" t="s">
        <v>31</v>
      </c>
      <c r="D997" s="4">
        <v>7.0</v>
      </c>
      <c r="E997" s="4">
        <v>7.0</v>
      </c>
      <c r="F997" s="4">
        <v>3.0</v>
      </c>
      <c r="G997" s="4">
        <v>3.0</v>
      </c>
      <c r="H997" s="4">
        <v>1.0</v>
      </c>
      <c r="I997" s="4">
        <v>17.0</v>
      </c>
      <c r="J997" s="4">
        <v>14.0</v>
      </c>
      <c r="K997" s="4">
        <v>3.0</v>
      </c>
      <c r="L997" s="2" t="s">
        <v>453</v>
      </c>
      <c r="M997" s="5">
        <f>IFERROR(__xludf.DUMMYFUNCTION("""COMPUTED_VALUE"""),11.0)</f>
        <v>11</v>
      </c>
      <c r="N997" s="5">
        <f>IFERROR(__xludf.DUMMYFUNCTION("""COMPUTED_VALUE"""),10.0)</f>
        <v>10</v>
      </c>
      <c r="O997" s="5">
        <f>IFERROR(__xludf.DUMMYFUNCTION("""COMPUTED_VALUE"""),2003.0)</f>
        <v>2003</v>
      </c>
    </row>
    <row r="998">
      <c r="A998" s="1" t="s">
        <v>443</v>
      </c>
      <c r="B998" s="4">
        <v>56.0</v>
      </c>
      <c r="C998" s="1" t="s">
        <v>146</v>
      </c>
      <c r="D998" s="4">
        <v>7.0</v>
      </c>
      <c r="E998" s="4">
        <v>14.0</v>
      </c>
      <c r="F998" s="4">
        <v>3.0</v>
      </c>
      <c r="G998" s="4">
        <v>10.0</v>
      </c>
      <c r="H998" s="4">
        <v>1.0</v>
      </c>
      <c r="I998" s="4">
        <v>56.0</v>
      </c>
      <c r="J998" s="4">
        <v>77.0</v>
      </c>
      <c r="K998" s="4">
        <v>-21.0</v>
      </c>
      <c r="L998" s="2" t="s">
        <v>223</v>
      </c>
      <c r="M998" s="5">
        <f>IFERROR(__xludf.DUMMYFUNCTION("""COMPUTED_VALUE"""),7.0)</f>
        <v>7</v>
      </c>
      <c r="N998" s="5">
        <f>IFERROR(__xludf.DUMMYFUNCTION("""COMPUTED_VALUE"""),15.0)</f>
        <v>15</v>
      </c>
      <c r="O998" s="5">
        <f>IFERROR(__xludf.DUMMYFUNCTION("""COMPUTED_VALUE"""),2001.0)</f>
        <v>2001</v>
      </c>
    </row>
    <row r="999">
      <c r="A999" s="1" t="s">
        <v>443</v>
      </c>
      <c r="B999" s="4">
        <v>57.0</v>
      </c>
      <c r="C999" s="1" t="s">
        <v>152</v>
      </c>
      <c r="D999" s="4">
        <v>6.0</v>
      </c>
      <c r="E999" s="4">
        <v>3.0</v>
      </c>
      <c r="F999" s="4">
        <v>3.0</v>
      </c>
      <c r="G999" s="4">
        <v>0.0</v>
      </c>
      <c r="H999" s="4">
        <v>0.0</v>
      </c>
      <c r="I999" s="4">
        <v>18.0</v>
      </c>
      <c r="J999" s="4">
        <v>5.0</v>
      </c>
      <c r="K999" s="4">
        <v>13.0</v>
      </c>
      <c r="L999" s="2" t="s">
        <v>454</v>
      </c>
      <c r="M999" s="5">
        <f>IFERROR(__xludf.DUMMYFUNCTION("""COMPUTED_VALUE"""),14.0)</f>
        <v>14</v>
      </c>
      <c r="N999" s="5">
        <f>IFERROR(__xludf.DUMMYFUNCTION("""COMPUTED_VALUE"""),6.0)</f>
        <v>6</v>
      </c>
      <c r="O999" s="5">
        <f>IFERROR(__xludf.DUMMYFUNCTION("""COMPUTED_VALUE"""),0.0)</f>
        <v>0</v>
      </c>
    </row>
    <row r="1000">
      <c r="A1000" s="1" t="s">
        <v>443</v>
      </c>
      <c r="B1000" s="4">
        <v>58.0</v>
      </c>
      <c r="C1000" s="1" t="s">
        <v>98</v>
      </c>
      <c r="D1000" s="4">
        <v>6.0</v>
      </c>
      <c r="E1000" s="4">
        <v>7.0</v>
      </c>
      <c r="F1000" s="4">
        <v>3.0</v>
      </c>
      <c r="G1000" s="4">
        <v>4.0</v>
      </c>
      <c r="H1000" s="4">
        <v>0.0</v>
      </c>
      <c r="I1000" s="4">
        <v>21.0</v>
      </c>
      <c r="J1000" s="4">
        <v>18.0</v>
      </c>
      <c r="K1000" s="4">
        <v>3.0</v>
      </c>
      <c r="L1000" s="2" t="s">
        <v>455</v>
      </c>
      <c r="M1000" s="5">
        <f>IFERROR(__xludf.DUMMYFUNCTION("""COMPUTED_VALUE"""),8.0)</f>
        <v>8</v>
      </c>
      <c r="N1000" s="5">
        <f>IFERROR(__xludf.DUMMYFUNCTION("""COMPUTED_VALUE"""),13.0)</f>
        <v>13</v>
      </c>
      <c r="O1000" s="5">
        <f>IFERROR(__xludf.DUMMYFUNCTION("""COMPUTED_VALUE"""),2003.0)</f>
        <v>2003</v>
      </c>
    </row>
    <row r="1001">
      <c r="A1001" s="1" t="s">
        <v>443</v>
      </c>
      <c r="B1001" s="4">
        <v>59.0</v>
      </c>
      <c r="C1001" s="1" t="s">
        <v>58</v>
      </c>
      <c r="D1001" s="4">
        <v>6.0</v>
      </c>
      <c r="E1001" s="4">
        <v>14.0</v>
      </c>
      <c r="F1001" s="4">
        <v>3.0</v>
      </c>
      <c r="G1001" s="4">
        <v>11.0</v>
      </c>
      <c r="H1001" s="4">
        <v>0.0</v>
      </c>
      <c r="I1001" s="4">
        <v>57.0</v>
      </c>
      <c r="J1001" s="4">
        <v>58.0</v>
      </c>
      <c r="K1001" s="4">
        <v>-1.0</v>
      </c>
      <c r="L1001" s="2" t="s">
        <v>456</v>
      </c>
      <c r="M1001" s="5">
        <f>IFERROR(__xludf.DUMMYFUNCTION("""COMPUTED_VALUE"""),6.0)</f>
        <v>6</v>
      </c>
      <c r="N1001" s="5">
        <f>IFERROR(__xludf.DUMMYFUNCTION("""COMPUTED_VALUE"""),15.0)</f>
        <v>15</v>
      </c>
      <c r="O1001" s="5">
        <f>IFERROR(__xludf.DUMMYFUNCTION("""COMPUTED_VALUE"""),2001.0)</f>
        <v>2001</v>
      </c>
    </row>
    <row r="1002">
      <c r="A1002" s="1" t="s">
        <v>443</v>
      </c>
      <c r="B1002" s="4">
        <v>60.0</v>
      </c>
      <c r="C1002" s="1" t="s">
        <v>377</v>
      </c>
      <c r="D1002" s="4">
        <v>6.0</v>
      </c>
      <c r="E1002" s="4">
        <v>7.0</v>
      </c>
      <c r="F1002" s="4">
        <v>3.0</v>
      </c>
      <c r="G1002" s="4">
        <v>4.0</v>
      </c>
      <c r="H1002" s="4">
        <v>0.0</v>
      </c>
      <c r="I1002" s="4">
        <v>16.0</v>
      </c>
      <c r="J1002" s="4">
        <v>32.0</v>
      </c>
      <c r="K1002" s="4">
        <v>-16.0</v>
      </c>
      <c r="L1002" s="2" t="s">
        <v>412</v>
      </c>
      <c r="M1002" s="5">
        <f>IFERROR(__xludf.DUMMYFUNCTION("""COMPUTED_VALUE"""),6.0)</f>
        <v>6</v>
      </c>
      <c r="N1002" s="5">
        <f>IFERROR(__xludf.DUMMYFUNCTION("""COMPUTED_VALUE"""),14.0)</f>
        <v>14</v>
      </c>
      <c r="O1002" s="5">
        <f>IFERROR(__xludf.DUMMYFUNCTION("""COMPUTED_VALUE"""),2001.0)</f>
        <v>2001</v>
      </c>
    </row>
    <row r="1003">
      <c r="A1003" s="1" t="s">
        <v>443</v>
      </c>
      <c r="B1003" s="4">
        <v>61.0</v>
      </c>
      <c r="C1003" s="1" t="s">
        <v>92</v>
      </c>
      <c r="D1003" s="4">
        <v>6.0</v>
      </c>
      <c r="E1003" s="4">
        <v>10.0</v>
      </c>
      <c r="F1003" s="4">
        <v>3.0</v>
      </c>
      <c r="G1003" s="4">
        <v>7.0</v>
      </c>
      <c r="H1003" s="4">
        <v>0.0</v>
      </c>
      <c r="I1003" s="4">
        <v>29.0</v>
      </c>
      <c r="J1003" s="4">
        <v>51.0</v>
      </c>
      <c r="K1003" s="4">
        <v>-22.0</v>
      </c>
      <c r="L1003" s="2" t="s">
        <v>118</v>
      </c>
      <c r="M1003" s="5">
        <f>IFERROR(__xludf.DUMMYFUNCTION("""COMPUTED_VALUE"""),9.0)</f>
        <v>9</v>
      </c>
      <c r="N1003" s="5">
        <f>IFERROR(__xludf.DUMMYFUNCTION("""COMPUTED_VALUE"""),15.0)</f>
        <v>15</v>
      </c>
      <c r="O1003" s="5">
        <f>IFERROR(__xludf.DUMMYFUNCTION("""COMPUTED_VALUE"""),2000.0)</f>
        <v>2000</v>
      </c>
    </row>
    <row r="1004">
      <c r="A1004" s="1" t="s">
        <v>443</v>
      </c>
      <c r="B1004" s="4">
        <v>62.0</v>
      </c>
      <c r="C1004" s="1" t="s">
        <v>147</v>
      </c>
      <c r="D1004" s="4">
        <v>6.0</v>
      </c>
      <c r="E1004" s="4">
        <v>8.0</v>
      </c>
      <c r="F1004" s="4">
        <v>3.0</v>
      </c>
      <c r="G1004" s="4">
        <v>5.0</v>
      </c>
      <c r="H1004" s="4">
        <v>0.0</v>
      </c>
      <c r="I1004" s="4">
        <v>20.0</v>
      </c>
      <c r="J1004" s="4">
        <v>44.0</v>
      </c>
      <c r="K1004" s="4">
        <v>-24.0</v>
      </c>
      <c r="L1004" s="2" t="s">
        <v>107</v>
      </c>
      <c r="M1004" s="5">
        <f>IFERROR(__xludf.DUMMYFUNCTION("""COMPUTED_VALUE"""),5.0)</f>
        <v>5</v>
      </c>
      <c r="N1004" s="5">
        <f>IFERROR(__xludf.DUMMYFUNCTION("""COMPUTED_VALUE"""),19.0)</f>
        <v>19</v>
      </c>
      <c r="O1004" s="5">
        <f>IFERROR(__xludf.DUMMYFUNCTION("""COMPUTED_VALUE"""),2000.0)</f>
        <v>2000</v>
      </c>
    </row>
    <row r="1005">
      <c r="A1005" s="1" t="s">
        <v>443</v>
      </c>
      <c r="B1005" s="4">
        <v>63.0</v>
      </c>
      <c r="C1005" s="1" t="s">
        <v>413</v>
      </c>
      <c r="D1005" s="4">
        <v>5.0</v>
      </c>
      <c r="E1005" s="4">
        <v>11.0</v>
      </c>
      <c r="F1005" s="4">
        <v>2.0</v>
      </c>
      <c r="G1005" s="4">
        <v>8.0</v>
      </c>
      <c r="H1005" s="4">
        <v>1.0</v>
      </c>
      <c r="I1005" s="4">
        <v>17.0</v>
      </c>
      <c r="J1005" s="4">
        <v>46.0</v>
      </c>
      <c r="K1005" s="4">
        <v>-29.0</v>
      </c>
      <c r="L1005" s="2" t="s">
        <v>331</v>
      </c>
      <c r="M1005" s="5">
        <f>IFERROR(__xludf.DUMMYFUNCTION("""COMPUTED_VALUE"""),8.0)</f>
        <v>8</v>
      </c>
      <c r="N1005" s="5">
        <f>IFERROR(__xludf.DUMMYFUNCTION("""COMPUTED_VALUE"""),13.0)</f>
        <v>13</v>
      </c>
      <c r="O1005" s="5">
        <f>IFERROR(__xludf.DUMMYFUNCTION("""COMPUTED_VALUE"""),2001.0)</f>
        <v>2001</v>
      </c>
    </row>
    <row r="1006">
      <c r="A1006" s="1" t="s">
        <v>443</v>
      </c>
      <c r="B1006" s="4">
        <v>64.0</v>
      </c>
      <c r="C1006" s="1" t="s">
        <v>110</v>
      </c>
      <c r="D1006" s="4">
        <v>4.0</v>
      </c>
      <c r="E1006" s="4">
        <v>3.0</v>
      </c>
      <c r="F1006" s="4">
        <v>2.0</v>
      </c>
      <c r="G1006" s="4">
        <v>1.0</v>
      </c>
      <c r="H1006" s="4">
        <v>0.0</v>
      </c>
      <c r="I1006" s="4">
        <v>10.0</v>
      </c>
      <c r="J1006" s="4">
        <v>5.0</v>
      </c>
      <c r="K1006" s="4">
        <v>5.0</v>
      </c>
      <c r="L1006" s="2" t="s">
        <v>251</v>
      </c>
      <c r="M1006" s="5">
        <f>IFERROR(__xludf.DUMMYFUNCTION("""COMPUTED_VALUE"""),16.0)</f>
        <v>16</v>
      </c>
      <c r="N1006" s="5">
        <f>IFERROR(__xludf.DUMMYFUNCTION("""COMPUTED_VALUE"""),5.0)</f>
        <v>5</v>
      </c>
      <c r="O1006" s="5">
        <f>IFERROR(__xludf.DUMMYFUNCTION("""COMPUTED_VALUE"""),0.0)</f>
        <v>0</v>
      </c>
    </row>
    <row r="1007">
      <c r="A1007" s="1" t="s">
        <v>443</v>
      </c>
      <c r="B1007" s="4">
        <v>65.0</v>
      </c>
      <c r="C1007" s="1" t="s">
        <v>398</v>
      </c>
      <c r="D1007" s="4">
        <v>4.0</v>
      </c>
      <c r="E1007" s="4">
        <v>12.0</v>
      </c>
      <c r="F1007" s="4">
        <v>2.0</v>
      </c>
      <c r="G1007" s="4">
        <v>10.0</v>
      </c>
      <c r="H1007" s="4">
        <v>0.0</v>
      </c>
      <c r="I1007" s="4">
        <v>31.0</v>
      </c>
      <c r="J1007" s="4">
        <v>57.0</v>
      </c>
      <c r="K1007" s="4">
        <v>-26.0</v>
      </c>
      <c r="L1007" s="2" t="s">
        <v>107</v>
      </c>
      <c r="M1007" s="5">
        <f>IFERROR(__xludf.DUMMYFUNCTION("""COMPUTED_VALUE"""),5.0)</f>
        <v>5</v>
      </c>
      <c r="N1007" s="5">
        <f>IFERROR(__xludf.DUMMYFUNCTION("""COMPUTED_VALUE"""),19.0)</f>
        <v>19</v>
      </c>
      <c r="O1007" s="5">
        <f>IFERROR(__xludf.DUMMYFUNCTION("""COMPUTED_VALUE"""),2000.0)</f>
        <v>2000</v>
      </c>
    </row>
    <row r="1008">
      <c r="A1008" s="1" t="s">
        <v>443</v>
      </c>
      <c r="B1008" s="4">
        <v>66.0</v>
      </c>
      <c r="C1008" s="1" t="s">
        <v>52</v>
      </c>
      <c r="D1008" s="4">
        <v>4.0</v>
      </c>
      <c r="E1008" s="4">
        <v>12.0</v>
      </c>
      <c r="F1008" s="4">
        <v>2.0</v>
      </c>
      <c r="G1008" s="4">
        <v>10.0</v>
      </c>
      <c r="H1008" s="4">
        <v>0.0</v>
      </c>
      <c r="I1008" s="4">
        <v>28.0</v>
      </c>
      <c r="J1008" s="4">
        <v>68.0</v>
      </c>
      <c r="K1008" s="4">
        <v>-40.0</v>
      </c>
      <c r="L1008" s="2" t="s">
        <v>189</v>
      </c>
      <c r="M1008" s="5">
        <f>IFERROR(__xludf.DUMMYFUNCTION("""COMPUTED_VALUE"""),7.0)</f>
        <v>7</v>
      </c>
      <c r="N1008" s="5">
        <f>IFERROR(__xludf.DUMMYFUNCTION("""COMPUTED_VALUE"""),17.0)</f>
        <v>17</v>
      </c>
      <c r="O1008" s="5">
        <f>IFERROR(__xludf.DUMMYFUNCTION("""COMPUTED_VALUE"""),2000.0)</f>
        <v>2000</v>
      </c>
    </row>
    <row r="1009">
      <c r="A1009" s="1" t="s">
        <v>443</v>
      </c>
      <c r="B1009" s="4">
        <v>67.0</v>
      </c>
      <c r="C1009" s="1" t="s">
        <v>34</v>
      </c>
      <c r="D1009" s="4">
        <v>4.0</v>
      </c>
      <c r="E1009" s="4">
        <v>10.0</v>
      </c>
      <c r="F1009" s="4">
        <v>2.0</v>
      </c>
      <c r="G1009" s="4">
        <v>8.0</v>
      </c>
      <c r="H1009" s="4">
        <v>0.0</v>
      </c>
      <c r="I1009" s="4">
        <v>18.0</v>
      </c>
      <c r="J1009" s="4">
        <v>61.0</v>
      </c>
      <c r="K1009" s="4">
        <v>-43.0</v>
      </c>
      <c r="L1009" s="2" t="s">
        <v>133</v>
      </c>
      <c r="M1009" s="5">
        <f>IFERROR(__xludf.DUMMYFUNCTION("""COMPUTED_VALUE"""),5.0)</f>
        <v>5</v>
      </c>
      <c r="N1009" s="5">
        <f>IFERROR(__xludf.DUMMYFUNCTION("""COMPUTED_VALUE"""),16.0)</f>
        <v>16</v>
      </c>
      <c r="O1009" s="5">
        <f>IFERROR(__xludf.DUMMYFUNCTION("""COMPUTED_VALUE"""),2000.0)</f>
        <v>2000</v>
      </c>
    </row>
    <row r="1010">
      <c r="A1010" s="1" t="s">
        <v>443</v>
      </c>
      <c r="B1010" s="4">
        <v>68.0</v>
      </c>
      <c r="C1010" s="1" t="s">
        <v>29</v>
      </c>
      <c r="D1010" s="4">
        <v>4.0</v>
      </c>
      <c r="E1010" s="4">
        <v>15.0</v>
      </c>
      <c r="F1010" s="4">
        <v>2.0</v>
      </c>
      <c r="G1010" s="4">
        <v>13.0</v>
      </c>
      <c r="H1010" s="4">
        <v>0.0</v>
      </c>
      <c r="I1010" s="4">
        <v>49.0</v>
      </c>
      <c r="J1010" s="4">
        <v>125.0</v>
      </c>
      <c r="K1010" s="4">
        <v>-76.0</v>
      </c>
      <c r="L1010" s="2" t="s">
        <v>334</v>
      </c>
      <c r="M1010" s="5">
        <f>IFERROR(__xludf.DUMMYFUNCTION("""COMPUTED_VALUE"""),3.0)</f>
        <v>3</v>
      </c>
      <c r="N1010" s="5">
        <f>IFERROR(__xludf.DUMMYFUNCTION("""COMPUTED_VALUE"""),20.0)</f>
        <v>20</v>
      </c>
      <c r="O1010" s="5">
        <f>IFERROR(__xludf.DUMMYFUNCTION("""COMPUTED_VALUE"""),2000.0)</f>
        <v>2000</v>
      </c>
    </row>
    <row r="1011">
      <c r="A1011" s="1" t="s">
        <v>443</v>
      </c>
      <c r="B1011" s="4">
        <v>69.0</v>
      </c>
      <c r="C1011" s="1" t="s">
        <v>83</v>
      </c>
      <c r="D1011" s="4">
        <v>2.0</v>
      </c>
      <c r="E1011" s="4">
        <v>1.0</v>
      </c>
      <c r="F1011" s="4">
        <v>1.0</v>
      </c>
      <c r="G1011" s="4">
        <v>0.0</v>
      </c>
      <c r="H1011" s="4">
        <v>0.0</v>
      </c>
      <c r="I1011" s="4">
        <v>6.0</v>
      </c>
      <c r="J1011" s="4">
        <v>2.0</v>
      </c>
      <c r="K1011" s="4">
        <v>4.0</v>
      </c>
      <c r="L1011" s="2" t="s">
        <v>409</v>
      </c>
      <c r="M1011" s="5">
        <f>IFERROR(__xludf.DUMMYFUNCTION("""COMPUTED_VALUE"""),5.0)</f>
        <v>5</v>
      </c>
      <c r="N1011" s="5">
        <f>IFERROR(__xludf.DUMMYFUNCTION("""COMPUTED_VALUE"""),13.0)</f>
        <v>13</v>
      </c>
      <c r="O1011" s="5">
        <f>IFERROR(__xludf.DUMMYFUNCTION("""COMPUTED_VALUE"""),2001.0)</f>
        <v>2001</v>
      </c>
    </row>
    <row r="1012">
      <c r="A1012" s="1" t="s">
        <v>443</v>
      </c>
      <c r="B1012" s="4">
        <v>70.0</v>
      </c>
      <c r="C1012" s="1" t="s">
        <v>69</v>
      </c>
      <c r="D1012" s="4">
        <v>2.0</v>
      </c>
      <c r="E1012" s="4">
        <v>7.0</v>
      </c>
      <c r="F1012" s="4">
        <v>1.0</v>
      </c>
      <c r="G1012" s="4">
        <v>6.0</v>
      </c>
      <c r="H1012" s="4">
        <v>0.0</v>
      </c>
      <c r="I1012" s="4">
        <v>16.0</v>
      </c>
      <c r="J1012" s="4">
        <v>37.0</v>
      </c>
      <c r="K1012" s="4">
        <v>-21.0</v>
      </c>
      <c r="L1012" s="2" t="s">
        <v>91</v>
      </c>
      <c r="M1012" s="5">
        <f>IFERROR(__xludf.DUMMYFUNCTION("""COMPUTED_VALUE"""),6.0)</f>
        <v>6</v>
      </c>
      <c r="N1012" s="5">
        <f>IFERROR(__xludf.DUMMYFUNCTION("""COMPUTED_VALUE"""),17.0)</f>
        <v>17</v>
      </c>
      <c r="O1012" s="5">
        <f>IFERROR(__xludf.DUMMYFUNCTION("""COMPUTED_VALUE"""),2001.0)</f>
        <v>2001</v>
      </c>
    </row>
    <row r="1013">
      <c r="A1013" s="1" t="s">
        <v>443</v>
      </c>
      <c r="B1013" s="4">
        <v>71.0</v>
      </c>
      <c r="C1013" s="1" t="s">
        <v>140</v>
      </c>
      <c r="D1013" s="4">
        <v>2.0</v>
      </c>
      <c r="E1013" s="4">
        <v>6.0</v>
      </c>
      <c r="F1013" s="4">
        <v>1.0</v>
      </c>
      <c r="G1013" s="4">
        <v>5.0</v>
      </c>
      <c r="H1013" s="4">
        <v>0.0</v>
      </c>
      <c r="I1013" s="4">
        <v>9.0</v>
      </c>
      <c r="J1013" s="4">
        <v>33.0</v>
      </c>
      <c r="K1013" s="4">
        <v>-24.0</v>
      </c>
      <c r="L1013" s="2" t="s">
        <v>338</v>
      </c>
      <c r="M1013" s="5">
        <f>IFERROR(__xludf.DUMMYFUNCTION("""COMPUTED_VALUE"""),5.0)</f>
        <v>5</v>
      </c>
      <c r="N1013" s="5">
        <f>IFERROR(__xludf.DUMMYFUNCTION("""COMPUTED_VALUE"""),9.0)</f>
        <v>9</v>
      </c>
      <c r="O1013" s="5">
        <f>IFERROR(__xludf.DUMMYFUNCTION("""COMPUTED_VALUE"""),2001.0)</f>
        <v>2001</v>
      </c>
    </row>
    <row r="1014">
      <c r="A1014" s="1" t="s">
        <v>443</v>
      </c>
      <c r="B1014" s="4">
        <v>72.0</v>
      </c>
      <c r="C1014" s="1" t="s">
        <v>99</v>
      </c>
      <c r="D1014" s="4">
        <v>2.0</v>
      </c>
      <c r="E1014" s="4">
        <v>10.0</v>
      </c>
      <c r="F1014" s="4">
        <v>1.0</v>
      </c>
      <c r="G1014" s="4">
        <v>9.0</v>
      </c>
      <c r="H1014" s="4">
        <v>0.0</v>
      </c>
      <c r="I1014" s="4">
        <v>10.0</v>
      </c>
      <c r="J1014" s="4">
        <v>52.0</v>
      </c>
      <c r="K1014" s="4">
        <v>-42.0</v>
      </c>
      <c r="L1014" s="2" t="s">
        <v>457</v>
      </c>
      <c r="M1014" s="5">
        <f>IFERROR(__xludf.DUMMYFUNCTION("""COMPUTED_VALUE"""),6.0)</f>
        <v>6</v>
      </c>
      <c r="N1014" s="5">
        <f>IFERROR(__xludf.DUMMYFUNCTION("""COMPUTED_VALUE"""),13.0)</f>
        <v>13</v>
      </c>
      <c r="O1014" s="5">
        <f>IFERROR(__xludf.DUMMYFUNCTION("""COMPUTED_VALUE"""),2003.0)</f>
        <v>2003</v>
      </c>
    </row>
    <row r="1015">
      <c r="A1015" s="1" t="s">
        <v>443</v>
      </c>
      <c r="B1015" s="4">
        <v>73.0</v>
      </c>
      <c r="C1015" s="1" t="s">
        <v>73</v>
      </c>
      <c r="D1015" s="4">
        <v>2.0</v>
      </c>
      <c r="E1015" s="4">
        <v>8.0</v>
      </c>
      <c r="F1015" s="4">
        <v>1.0</v>
      </c>
      <c r="G1015" s="4">
        <v>7.0</v>
      </c>
      <c r="H1015" s="4">
        <v>0.0</v>
      </c>
      <c r="I1015" s="4">
        <v>15.0</v>
      </c>
      <c r="J1015" s="4">
        <v>58.0</v>
      </c>
      <c r="K1015" s="4">
        <v>-43.0</v>
      </c>
      <c r="L1015" s="2" t="s">
        <v>335</v>
      </c>
      <c r="M1015" s="5">
        <f>IFERROR(__xludf.DUMMYFUNCTION("""COMPUTED_VALUE"""),4.0)</f>
        <v>4</v>
      </c>
      <c r="N1015" s="5">
        <f>IFERROR(__xludf.DUMMYFUNCTION("""COMPUTED_VALUE"""),19.0)</f>
        <v>19</v>
      </c>
      <c r="O1015" s="5">
        <f>IFERROR(__xludf.DUMMYFUNCTION("""COMPUTED_VALUE"""),2000.0)</f>
        <v>2000</v>
      </c>
    </row>
    <row r="1016">
      <c r="A1016" s="1" t="s">
        <v>443</v>
      </c>
      <c r="B1016" s="4">
        <v>74.0</v>
      </c>
      <c r="C1016" s="1" t="s">
        <v>39</v>
      </c>
      <c r="D1016" s="4">
        <v>2.0</v>
      </c>
      <c r="E1016" s="4">
        <v>8.0</v>
      </c>
      <c r="F1016" s="4">
        <v>1.0</v>
      </c>
      <c r="G1016" s="4">
        <v>7.0</v>
      </c>
      <c r="H1016" s="4">
        <v>0.0</v>
      </c>
      <c r="I1016" s="4">
        <v>16.0</v>
      </c>
      <c r="J1016" s="4">
        <v>61.0</v>
      </c>
      <c r="K1016" s="4">
        <v>-45.0</v>
      </c>
      <c r="L1016" s="2" t="s">
        <v>458</v>
      </c>
      <c r="M1016" s="5">
        <f>IFERROR(__xludf.DUMMYFUNCTION("""COMPUTED_VALUE"""),3.0)</f>
        <v>3</v>
      </c>
      <c r="N1016" s="5">
        <f>IFERROR(__xludf.DUMMYFUNCTION("""COMPUTED_VALUE"""),17.0)</f>
        <v>17</v>
      </c>
      <c r="O1016" s="5">
        <f>IFERROR(__xludf.DUMMYFUNCTION("""COMPUTED_VALUE"""),2000.0)</f>
        <v>2000</v>
      </c>
    </row>
    <row r="1017">
      <c r="A1017" s="1" t="s">
        <v>443</v>
      </c>
      <c r="B1017" s="4">
        <v>75.0</v>
      </c>
      <c r="C1017" s="1" t="s">
        <v>68</v>
      </c>
      <c r="D1017" s="4">
        <v>2.0</v>
      </c>
      <c r="E1017" s="4">
        <v>8.0</v>
      </c>
      <c r="F1017" s="4">
        <v>1.0</v>
      </c>
      <c r="G1017" s="4">
        <v>7.0</v>
      </c>
      <c r="H1017" s="4">
        <v>0.0</v>
      </c>
      <c r="I1017" s="4">
        <v>22.0</v>
      </c>
      <c r="J1017" s="4">
        <v>72.0</v>
      </c>
      <c r="K1017" s="4">
        <v>-50.0</v>
      </c>
      <c r="L1017" s="2" t="s">
        <v>255</v>
      </c>
      <c r="M1017" s="5">
        <f>IFERROR(__xludf.DUMMYFUNCTION("""COMPUTED_VALUE"""),6.0)</f>
        <v>6</v>
      </c>
      <c r="N1017" s="5">
        <f>IFERROR(__xludf.DUMMYFUNCTION("""COMPUTED_VALUE"""),15.0)</f>
        <v>15</v>
      </c>
      <c r="O1017" s="5">
        <f>IFERROR(__xludf.DUMMYFUNCTION("""COMPUTED_VALUE"""),2000.0)</f>
        <v>2000</v>
      </c>
    </row>
    <row r="1018">
      <c r="A1018" s="1" t="s">
        <v>443</v>
      </c>
      <c r="B1018" s="4">
        <v>76.0</v>
      </c>
      <c r="C1018" s="1" t="s">
        <v>158</v>
      </c>
      <c r="D1018" s="4">
        <v>2.0</v>
      </c>
      <c r="E1018" s="4">
        <v>11.0</v>
      </c>
      <c r="F1018" s="4">
        <v>1.0</v>
      </c>
      <c r="G1018" s="4">
        <v>10.0</v>
      </c>
      <c r="H1018" s="4">
        <v>0.0</v>
      </c>
      <c r="I1018" s="4">
        <v>11.0</v>
      </c>
      <c r="J1018" s="4">
        <v>70.0</v>
      </c>
      <c r="K1018" s="4">
        <v>-59.0</v>
      </c>
      <c r="L1018" s="2" t="s">
        <v>332</v>
      </c>
      <c r="M1018" s="5">
        <f>IFERROR(__xludf.DUMMYFUNCTION("""COMPUTED_VALUE"""),4.0)</f>
        <v>4</v>
      </c>
      <c r="N1018" s="5">
        <f>IFERROR(__xludf.DUMMYFUNCTION("""COMPUTED_VALUE"""),17.0)</f>
        <v>17</v>
      </c>
      <c r="O1018" s="5">
        <f>IFERROR(__xludf.DUMMYFUNCTION("""COMPUTED_VALUE"""),2001.0)</f>
        <v>2001</v>
      </c>
    </row>
    <row r="1019">
      <c r="A1019" s="1" t="s">
        <v>443</v>
      </c>
      <c r="B1019" s="4">
        <v>77.0</v>
      </c>
      <c r="C1019" s="1" t="s">
        <v>119</v>
      </c>
      <c r="D1019" s="4">
        <v>2.0</v>
      </c>
      <c r="E1019" s="4">
        <v>8.0</v>
      </c>
      <c r="F1019" s="4">
        <v>1.0</v>
      </c>
      <c r="G1019" s="4">
        <v>7.0</v>
      </c>
      <c r="H1019" s="4">
        <v>0.0</v>
      </c>
      <c r="I1019" s="4">
        <v>8.0</v>
      </c>
      <c r="J1019" s="4">
        <v>75.0</v>
      </c>
      <c r="K1019" s="4">
        <v>-67.0</v>
      </c>
      <c r="L1019" s="2" t="s">
        <v>458</v>
      </c>
      <c r="M1019" s="5">
        <f>IFERROR(__xludf.DUMMYFUNCTION("""COMPUTED_VALUE"""),3.0)</f>
        <v>3</v>
      </c>
      <c r="N1019" s="5">
        <f>IFERROR(__xludf.DUMMYFUNCTION("""COMPUTED_VALUE"""),17.0)</f>
        <v>17</v>
      </c>
      <c r="O1019" s="5">
        <f>IFERROR(__xludf.DUMMYFUNCTION("""COMPUTED_VALUE"""),2000.0)</f>
        <v>2000</v>
      </c>
    </row>
    <row r="1020">
      <c r="A1020" s="1" t="s">
        <v>443</v>
      </c>
      <c r="B1020" s="4">
        <v>78.0</v>
      </c>
      <c r="C1020" s="1" t="s">
        <v>142</v>
      </c>
      <c r="D1020" s="4">
        <v>0.0</v>
      </c>
      <c r="E1020" s="4">
        <v>0.0</v>
      </c>
      <c r="F1020" s="4">
        <v>0.0</v>
      </c>
      <c r="G1020" s="4">
        <v>0.0</v>
      </c>
      <c r="H1020" s="4">
        <v>0.0</v>
      </c>
      <c r="I1020" s="4">
        <v>0.0</v>
      </c>
      <c r="J1020" s="4">
        <v>0.0</v>
      </c>
      <c r="K1020" s="4">
        <v>0.0</v>
      </c>
      <c r="L1020" s="2" t="s">
        <v>82</v>
      </c>
      <c r="M1020" s="5">
        <f>IFERROR(__xludf.DUMMYFUNCTION("""COMPUTED_VALUE"""),11.0)</f>
        <v>11</v>
      </c>
      <c r="N1020" s="5">
        <f>IFERROR(__xludf.DUMMYFUNCTION("""COMPUTED_VALUE"""),12.0)</f>
        <v>12</v>
      </c>
      <c r="O1020" s="5">
        <f>IFERROR(__xludf.DUMMYFUNCTION("""COMPUTED_VALUE"""),2001.0)</f>
        <v>2001</v>
      </c>
    </row>
    <row r="1021">
      <c r="A1021" s="1" t="s">
        <v>443</v>
      </c>
      <c r="B1021" s="4">
        <v>79.0</v>
      </c>
      <c r="C1021" s="1" t="s">
        <v>77</v>
      </c>
      <c r="D1021" s="4">
        <v>0.0</v>
      </c>
      <c r="E1021" s="4">
        <v>0.0</v>
      </c>
      <c r="F1021" s="4">
        <v>0.0</v>
      </c>
      <c r="G1021" s="4">
        <v>0.0</v>
      </c>
      <c r="H1021" s="4">
        <v>0.0</v>
      </c>
      <c r="I1021" s="4">
        <v>0.0</v>
      </c>
      <c r="J1021" s="4">
        <v>0.0</v>
      </c>
      <c r="K1021" s="4">
        <v>0.0</v>
      </c>
      <c r="L1021" s="2" t="s">
        <v>459</v>
      </c>
      <c r="M1021" s="5">
        <f>IFERROR(__xludf.DUMMYFUNCTION("""COMPUTED_VALUE"""),9.0)</f>
        <v>9</v>
      </c>
      <c r="N1021" s="5">
        <f>IFERROR(__xludf.DUMMYFUNCTION("""COMPUTED_VALUE"""),6.0)</f>
        <v>6</v>
      </c>
      <c r="O1021" s="5">
        <f>IFERROR(__xludf.DUMMYFUNCTION("""COMPUTED_VALUE"""),2001.0)</f>
        <v>2001</v>
      </c>
    </row>
    <row r="1022">
      <c r="A1022" s="1" t="s">
        <v>443</v>
      </c>
      <c r="B1022" s="4">
        <v>80.0</v>
      </c>
      <c r="C1022" s="1" t="s">
        <v>418</v>
      </c>
      <c r="D1022" s="4">
        <v>0.0</v>
      </c>
      <c r="E1022" s="4">
        <v>0.0</v>
      </c>
      <c r="F1022" s="4">
        <v>0.0</v>
      </c>
      <c r="G1022" s="4">
        <v>0.0</v>
      </c>
      <c r="H1022" s="4">
        <v>0.0</v>
      </c>
      <c r="I1022" s="4">
        <v>0.0</v>
      </c>
      <c r="J1022" s="4">
        <v>0.0</v>
      </c>
      <c r="K1022" s="4">
        <v>0.0</v>
      </c>
      <c r="L1022" s="2" t="s">
        <v>285</v>
      </c>
      <c r="M1022" s="5">
        <f>IFERROR(__xludf.DUMMYFUNCTION("""COMPUTED_VALUE"""),0.0)</f>
        <v>0</v>
      </c>
      <c r="N1022" s="5">
        <f>IFERROR(__xludf.DUMMYFUNCTION("""COMPUTED_VALUE"""),0.0)</f>
        <v>0</v>
      </c>
      <c r="O1022" s="5">
        <f>IFERROR(__xludf.DUMMYFUNCTION("""COMPUTED_VALUE"""),0.0)</f>
        <v>0</v>
      </c>
    </row>
    <row r="1023">
      <c r="A1023" s="1" t="s">
        <v>443</v>
      </c>
      <c r="B1023" s="4">
        <v>81.0</v>
      </c>
      <c r="C1023" s="1" t="s">
        <v>112</v>
      </c>
      <c r="D1023" s="4">
        <v>0.0</v>
      </c>
      <c r="E1023" s="4">
        <v>0.0</v>
      </c>
      <c r="F1023" s="4">
        <v>0.0</v>
      </c>
      <c r="G1023" s="4">
        <v>0.0</v>
      </c>
      <c r="H1023" s="4">
        <v>0.0</v>
      </c>
      <c r="I1023" s="4">
        <v>0.0</v>
      </c>
      <c r="J1023" s="4">
        <v>0.0</v>
      </c>
      <c r="K1023" s="4">
        <v>0.0</v>
      </c>
      <c r="L1023" s="2" t="s">
        <v>296</v>
      </c>
      <c r="M1023" s="5">
        <f>IFERROR(__xludf.DUMMYFUNCTION("""COMPUTED_VALUE"""),0.0)</f>
        <v>0</v>
      </c>
      <c r="N1023" s="5">
        <f>IFERROR(__xludf.DUMMYFUNCTION("""COMPUTED_VALUE"""),1.0)</f>
        <v>1</v>
      </c>
      <c r="O1023" s="5">
        <f>IFERROR(__xludf.DUMMYFUNCTION("""COMPUTED_VALUE"""),0.0)</f>
        <v>0</v>
      </c>
    </row>
    <row r="1024">
      <c r="A1024" s="1" t="s">
        <v>443</v>
      </c>
      <c r="B1024" s="4">
        <v>82.0</v>
      </c>
      <c r="C1024" s="1" t="s">
        <v>441</v>
      </c>
      <c r="D1024" s="4">
        <v>0.0</v>
      </c>
      <c r="E1024" s="4">
        <v>0.0</v>
      </c>
      <c r="F1024" s="4">
        <v>0.0</v>
      </c>
      <c r="G1024" s="4">
        <v>0.0</v>
      </c>
      <c r="H1024" s="4">
        <v>0.0</v>
      </c>
      <c r="I1024" s="4">
        <v>0.0</v>
      </c>
      <c r="J1024" s="4">
        <v>0.0</v>
      </c>
      <c r="K1024" s="4">
        <v>0.0</v>
      </c>
      <c r="L1024" s="2" t="s">
        <v>285</v>
      </c>
      <c r="M1024" s="5">
        <f>IFERROR(__xludf.DUMMYFUNCTION("""COMPUTED_VALUE"""),0.0)</f>
        <v>0</v>
      </c>
      <c r="N1024" s="5">
        <f>IFERROR(__xludf.DUMMYFUNCTION("""COMPUTED_VALUE"""),0.0)</f>
        <v>0</v>
      </c>
      <c r="O1024" s="5">
        <f>IFERROR(__xludf.DUMMYFUNCTION("""COMPUTED_VALUE"""),0.0)</f>
        <v>0</v>
      </c>
    </row>
    <row r="1025">
      <c r="A1025" s="1" t="s">
        <v>443</v>
      </c>
      <c r="B1025" s="4">
        <v>83.0</v>
      </c>
      <c r="C1025" s="1" t="s">
        <v>150</v>
      </c>
      <c r="D1025" s="4">
        <v>0.0</v>
      </c>
      <c r="E1025" s="4">
        <v>4.0</v>
      </c>
      <c r="F1025" s="4">
        <v>0.0</v>
      </c>
      <c r="G1025" s="4">
        <v>4.0</v>
      </c>
      <c r="H1025" s="4">
        <v>0.0</v>
      </c>
      <c r="I1025" s="4">
        <v>7.0</v>
      </c>
      <c r="J1025" s="4">
        <v>22.0</v>
      </c>
      <c r="K1025" s="4">
        <v>-15.0</v>
      </c>
      <c r="L1025" s="2" t="s">
        <v>460</v>
      </c>
      <c r="M1025" s="5">
        <f>IFERROR(__xludf.DUMMYFUNCTION("""COMPUTED_VALUE"""),4.0)</f>
        <v>4</v>
      </c>
      <c r="N1025" s="5">
        <f>IFERROR(__xludf.DUMMYFUNCTION("""COMPUTED_VALUE"""),12.0)</f>
        <v>12</v>
      </c>
      <c r="O1025" s="5">
        <f>IFERROR(__xludf.DUMMYFUNCTION("""COMPUTED_VALUE"""),2001.0)</f>
        <v>2001</v>
      </c>
    </row>
    <row r="1026">
      <c r="A1026" s="1" t="s">
        <v>443</v>
      </c>
      <c r="B1026" s="4">
        <v>84.0</v>
      </c>
      <c r="C1026" s="1" t="s">
        <v>416</v>
      </c>
      <c r="D1026" s="4">
        <v>0.0</v>
      </c>
      <c r="E1026" s="4">
        <v>4.0</v>
      </c>
      <c r="F1026" s="4">
        <v>0.0</v>
      </c>
      <c r="G1026" s="4">
        <v>4.0</v>
      </c>
      <c r="H1026" s="4">
        <v>0.0</v>
      </c>
      <c r="I1026" s="4">
        <v>5.0</v>
      </c>
      <c r="J1026" s="4">
        <v>28.0</v>
      </c>
      <c r="K1026" s="4">
        <v>-23.0</v>
      </c>
      <c r="L1026" s="2" t="s">
        <v>461</v>
      </c>
      <c r="M1026" s="5">
        <f>IFERROR(__xludf.DUMMYFUNCTION("""COMPUTED_VALUE"""),0.0)</f>
        <v>0</v>
      </c>
      <c r="N1026" s="5">
        <f>IFERROR(__xludf.DUMMYFUNCTION("""COMPUTED_VALUE"""),16.0)</f>
        <v>16</v>
      </c>
      <c r="O1026" s="5">
        <f>IFERROR(__xludf.DUMMYFUNCTION("""COMPUTED_VALUE"""),0.0)</f>
        <v>0</v>
      </c>
    </row>
    <row r="1027">
      <c r="A1027" s="1" t="s">
        <v>443</v>
      </c>
      <c r="B1027" s="4">
        <v>85.0</v>
      </c>
      <c r="C1027" s="1" t="s">
        <v>108</v>
      </c>
      <c r="D1027" s="4">
        <v>0.0</v>
      </c>
      <c r="E1027" s="4">
        <v>6.0</v>
      </c>
      <c r="F1027" s="4">
        <v>0.0</v>
      </c>
      <c r="G1027" s="4">
        <v>6.0</v>
      </c>
      <c r="H1027" s="4">
        <v>0.0</v>
      </c>
      <c r="I1027" s="4">
        <v>14.0</v>
      </c>
      <c r="J1027" s="4">
        <v>38.0</v>
      </c>
      <c r="K1027" s="4">
        <v>-24.0</v>
      </c>
      <c r="L1027" s="2" t="s">
        <v>394</v>
      </c>
      <c r="M1027" s="5">
        <f>IFERROR(__xludf.DUMMYFUNCTION("""COMPUTED_VALUE"""),7.0)</f>
        <v>7</v>
      </c>
      <c r="N1027" s="5">
        <f>IFERROR(__xludf.DUMMYFUNCTION("""COMPUTED_VALUE"""),12.0)</f>
        <v>12</v>
      </c>
      <c r="O1027" s="5">
        <f>IFERROR(__xludf.DUMMYFUNCTION("""COMPUTED_VALUE"""),2001.0)</f>
        <v>2001</v>
      </c>
    </row>
    <row r="1028">
      <c r="A1028" s="1" t="s">
        <v>443</v>
      </c>
      <c r="B1028" s="4">
        <v>86.0</v>
      </c>
      <c r="C1028" s="1" t="s">
        <v>103</v>
      </c>
      <c r="D1028" s="4">
        <v>0.0</v>
      </c>
      <c r="E1028" s="4">
        <v>7.0</v>
      </c>
      <c r="F1028" s="4">
        <v>0.0</v>
      </c>
      <c r="G1028" s="4">
        <v>7.0</v>
      </c>
      <c r="H1028" s="4">
        <v>0.0</v>
      </c>
      <c r="I1028" s="4">
        <v>8.0</v>
      </c>
      <c r="J1028" s="4">
        <v>35.0</v>
      </c>
      <c r="K1028" s="4">
        <v>-27.0</v>
      </c>
      <c r="L1028" s="2" t="s">
        <v>139</v>
      </c>
      <c r="M1028" s="5">
        <f>IFERROR(__xludf.DUMMYFUNCTION("""COMPUTED_VALUE"""),6.0)</f>
        <v>6</v>
      </c>
      <c r="N1028" s="5">
        <f>IFERROR(__xludf.DUMMYFUNCTION("""COMPUTED_VALUE"""),18.0)</f>
        <v>18</v>
      </c>
      <c r="O1028" s="5">
        <f>IFERROR(__xludf.DUMMYFUNCTION("""COMPUTED_VALUE"""),2000.0)</f>
        <v>2000</v>
      </c>
    </row>
    <row r="1029">
      <c r="A1029" s="1" t="s">
        <v>443</v>
      </c>
      <c r="B1029" s="4">
        <v>87.0</v>
      </c>
      <c r="C1029" s="1" t="s">
        <v>371</v>
      </c>
      <c r="D1029" s="4">
        <v>0.0</v>
      </c>
      <c r="E1029" s="4">
        <v>8.0</v>
      </c>
      <c r="F1029" s="4">
        <v>0.0</v>
      </c>
      <c r="G1029" s="4">
        <v>8.0</v>
      </c>
      <c r="H1029" s="4">
        <v>0.0</v>
      </c>
      <c r="I1029" s="4">
        <v>9.0</v>
      </c>
      <c r="J1029" s="4">
        <v>54.0</v>
      </c>
      <c r="K1029" s="4">
        <v>-45.0</v>
      </c>
      <c r="L1029" s="2" t="s">
        <v>230</v>
      </c>
      <c r="M1029" s="5">
        <f>IFERROR(__xludf.DUMMYFUNCTION("""COMPUTED_VALUE"""),2.0)</f>
        <v>2</v>
      </c>
      <c r="N1029" s="5">
        <f>IFERROR(__xludf.DUMMYFUNCTION("""COMPUTED_VALUE"""),22.0)</f>
        <v>22</v>
      </c>
      <c r="O1029" s="5">
        <f>IFERROR(__xludf.DUMMYFUNCTION("""COMPUTED_VALUE"""),2000.0)</f>
        <v>2000</v>
      </c>
    </row>
    <row r="1030">
      <c r="A1030" s="1" t="s">
        <v>443</v>
      </c>
      <c r="B1030" s="4">
        <v>88.0</v>
      </c>
      <c r="C1030" s="1" t="s">
        <v>421</v>
      </c>
      <c r="D1030" s="4">
        <v>0.0</v>
      </c>
      <c r="E1030" s="4">
        <v>8.0</v>
      </c>
      <c r="F1030" s="4">
        <v>0.0</v>
      </c>
      <c r="G1030" s="4">
        <v>8.0</v>
      </c>
      <c r="H1030" s="4">
        <v>0.0</v>
      </c>
      <c r="I1030" s="4">
        <v>8.0</v>
      </c>
      <c r="J1030" s="4">
        <v>70.0</v>
      </c>
      <c r="K1030" s="4">
        <v>-62.0</v>
      </c>
      <c r="L1030" s="2" t="s">
        <v>136</v>
      </c>
      <c r="M1030" s="5">
        <f>IFERROR(__xludf.DUMMYFUNCTION("""COMPUTED_VALUE"""),4.0)</f>
        <v>4</v>
      </c>
      <c r="N1030" s="5">
        <f>IFERROR(__xludf.DUMMYFUNCTION("""COMPUTED_VALUE"""),20.0)</f>
        <v>20</v>
      </c>
      <c r="O1030" s="5">
        <f>IFERROR(__xludf.DUMMYFUNCTION("""COMPUTED_VALUE"""),2000.0)</f>
        <v>2000</v>
      </c>
    </row>
    <row r="1031">
      <c r="A1031" s="1" t="s">
        <v>443</v>
      </c>
      <c r="B1031" s="4">
        <v>89.0</v>
      </c>
      <c r="C1031" s="1" t="s">
        <v>134</v>
      </c>
      <c r="D1031" s="4">
        <v>0.0</v>
      </c>
      <c r="E1031" s="4">
        <v>12.0</v>
      </c>
      <c r="F1031" s="4">
        <v>0.0</v>
      </c>
      <c r="G1031" s="4">
        <v>12.0</v>
      </c>
      <c r="H1031" s="4">
        <v>0.0</v>
      </c>
      <c r="I1031" s="4">
        <v>11.0</v>
      </c>
      <c r="J1031" s="4">
        <v>83.0</v>
      </c>
      <c r="K1031" s="4">
        <v>-72.0</v>
      </c>
      <c r="L1031" s="2" t="s">
        <v>336</v>
      </c>
      <c r="M1031" s="5">
        <f>IFERROR(__xludf.DUMMYFUNCTION("""COMPUTED_VALUE"""),5.0)</f>
        <v>5</v>
      </c>
      <c r="N1031" s="5">
        <f>IFERROR(__xludf.DUMMYFUNCTION("""COMPUTED_VALUE"""),17.0)</f>
        <v>17</v>
      </c>
      <c r="O1031" s="5">
        <f>IFERROR(__xludf.DUMMYFUNCTION("""COMPUTED_VALUE"""),2001.0)</f>
        <v>2001</v>
      </c>
    </row>
    <row r="1032">
      <c r="A1032" s="1" t="s">
        <v>443</v>
      </c>
      <c r="B1032" s="4">
        <v>90.0</v>
      </c>
      <c r="C1032" s="1" t="s">
        <v>48</v>
      </c>
      <c r="D1032" s="4">
        <v>0.0</v>
      </c>
      <c r="E1032" s="4">
        <v>10.0</v>
      </c>
      <c r="F1032" s="4">
        <v>0.0</v>
      </c>
      <c r="G1032" s="4">
        <v>10.0</v>
      </c>
      <c r="H1032" s="4">
        <v>0.0</v>
      </c>
      <c r="I1032" s="4">
        <v>17.0</v>
      </c>
      <c r="J1032" s="4">
        <v>102.0</v>
      </c>
      <c r="K1032" s="4">
        <v>-85.0</v>
      </c>
      <c r="L1032" s="2" t="s">
        <v>462</v>
      </c>
      <c r="M1032" s="5">
        <f>IFERROR(__xludf.DUMMYFUNCTION("""COMPUTED_VALUE"""),6.0)</f>
        <v>6</v>
      </c>
      <c r="N1032" s="5">
        <f>IFERROR(__xludf.DUMMYFUNCTION("""COMPUTED_VALUE"""),11.0)</f>
        <v>11</v>
      </c>
      <c r="O1032" s="5">
        <f>IFERROR(__xludf.DUMMYFUNCTION("""COMPUTED_VALUE"""),2000.0)</f>
        <v>2000</v>
      </c>
    </row>
    <row r="1033">
      <c r="A1033" s="1" t="s">
        <v>443</v>
      </c>
      <c r="B1033" s="4">
        <v>91.0</v>
      </c>
      <c r="C1033" s="1" t="s">
        <v>135</v>
      </c>
      <c r="D1033" s="4">
        <v>0.0</v>
      </c>
      <c r="E1033" s="4">
        <v>14.0</v>
      </c>
      <c r="F1033" s="4">
        <v>0.0</v>
      </c>
      <c r="G1033" s="4">
        <v>14.0</v>
      </c>
      <c r="H1033" s="4">
        <v>0.0</v>
      </c>
      <c r="I1033" s="4">
        <v>18.0</v>
      </c>
      <c r="J1033" s="4">
        <v>109.0</v>
      </c>
      <c r="K1033" s="4">
        <v>-91.0</v>
      </c>
      <c r="L1033" s="2" t="s">
        <v>463</v>
      </c>
      <c r="M1033" s="5">
        <f>IFERROR(__xludf.DUMMYFUNCTION("""COMPUTED_VALUE"""),2.0)</f>
        <v>2</v>
      </c>
      <c r="N1033" s="5">
        <f>IFERROR(__xludf.DUMMYFUNCTION("""COMPUTED_VALUE"""),17.0)</f>
        <v>17</v>
      </c>
      <c r="O1033" s="5">
        <f>IFERROR(__xludf.DUMMYFUNCTION("""COMPUTED_VALUE"""),2000.0)</f>
        <v>2000</v>
      </c>
    </row>
    <row r="1034">
      <c r="A1034" s="1" t="s">
        <v>443</v>
      </c>
      <c r="B1034" s="4">
        <v>92.0</v>
      </c>
      <c r="C1034" s="1" t="s">
        <v>154</v>
      </c>
      <c r="D1034" s="4">
        <v>0.0</v>
      </c>
      <c r="E1034" s="4">
        <v>12.0</v>
      </c>
      <c r="F1034" s="4">
        <v>0.0</v>
      </c>
      <c r="G1034" s="4">
        <v>12.0</v>
      </c>
      <c r="H1034" s="4">
        <v>0.0</v>
      </c>
      <c r="I1034" s="4">
        <v>5.0</v>
      </c>
      <c r="J1034" s="4">
        <v>175.0</v>
      </c>
      <c r="K1034" s="4">
        <v>-170.0</v>
      </c>
      <c r="L1034" s="2" t="s">
        <v>202</v>
      </c>
      <c r="M1034" s="5">
        <f>IFERROR(__xludf.DUMMYFUNCTION("""COMPUTED_VALUE"""),1.0)</f>
        <v>1</v>
      </c>
      <c r="N1034" s="5">
        <f>IFERROR(__xludf.DUMMYFUNCTION("""COMPUTED_VALUE"""),17.0)</f>
        <v>17</v>
      </c>
      <c r="O1034" s="5">
        <f>IFERROR(__xludf.DUMMYFUNCTION("""COMPUTED_VALUE"""),2000.0)</f>
        <v>2000</v>
      </c>
    </row>
    <row r="1035">
      <c r="A1035" s="1" t="s">
        <v>443</v>
      </c>
      <c r="B1035" s="4">
        <v>93.0</v>
      </c>
      <c r="C1035" s="1" t="s">
        <v>233</v>
      </c>
      <c r="D1035" s="4">
        <v>0.0</v>
      </c>
      <c r="E1035" s="4">
        <v>14.0</v>
      </c>
      <c r="F1035" s="4">
        <v>0.0</v>
      </c>
      <c r="G1035" s="4">
        <v>14.0</v>
      </c>
      <c r="H1035" s="4">
        <v>0.0</v>
      </c>
      <c r="I1035" s="4">
        <v>5.0</v>
      </c>
      <c r="J1035" s="4">
        <v>217.0</v>
      </c>
      <c r="K1035" s="4">
        <v>-212.0</v>
      </c>
      <c r="L1035" s="2" t="s">
        <v>464</v>
      </c>
      <c r="M1035" s="5">
        <f>IFERROR(__xludf.DUMMYFUNCTION("""COMPUTED_VALUE"""),0.0)</f>
        <v>0</v>
      </c>
      <c r="N1035" s="5">
        <f>IFERROR(__xludf.DUMMYFUNCTION("""COMPUTED_VALUE"""),20.0)</f>
        <v>20</v>
      </c>
      <c r="O1035" s="5">
        <f>IFERROR(__xludf.DUMMYFUNCTION("""COMPUTED_VALUE"""),0.0)</f>
        <v>0</v>
      </c>
    </row>
    <row r="1036">
      <c r="A1036" s="1" t="s">
        <v>465</v>
      </c>
      <c r="B1036" s="4">
        <v>1.0</v>
      </c>
      <c r="C1036" s="1" t="s">
        <v>24</v>
      </c>
      <c r="D1036" s="4">
        <v>28.0</v>
      </c>
      <c r="E1036" s="4">
        <v>14.0</v>
      </c>
      <c r="F1036" s="4">
        <v>14.0</v>
      </c>
      <c r="G1036" s="4">
        <v>0.0</v>
      </c>
      <c r="H1036" s="4">
        <v>0.0</v>
      </c>
      <c r="I1036" s="4">
        <v>94.0</v>
      </c>
      <c r="J1036" s="4">
        <v>11.0</v>
      </c>
      <c r="K1036" s="4">
        <v>83.0</v>
      </c>
      <c r="L1036" s="2" t="s">
        <v>165</v>
      </c>
      <c r="M1036" s="5">
        <f>IFERROR(__xludf.DUMMYFUNCTION("""COMPUTED_VALUE"""),22.0)</f>
        <v>22</v>
      </c>
      <c r="N1036" s="5">
        <f>IFERROR(__xludf.DUMMYFUNCTION("""COMPUTED_VALUE"""),2.0)</f>
        <v>2</v>
      </c>
      <c r="O1036" s="5">
        <f>IFERROR(__xludf.DUMMYFUNCTION("""COMPUTED_VALUE"""),0.0)</f>
        <v>0</v>
      </c>
    </row>
    <row r="1037">
      <c r="A1037" s="1" t="s">
        <v>465</v>
      </c>
      <c r="B1037" s="4">
        <v>2.0</v>
      </c>
      <c r="C1037" s="1" t="s">
        <v>79</v>
      </c>
      <c r="D1037" s="4">
        <v>28.0</v>
      </c>
      <c r="E1037" s="4">
        <v>14.0</v>
      </c>
      <c r="F1037" s="4">
        <v>14.0</v>
      </c>
      <c r="G1037" s="4">
        <v>0.0</v>
      </c>
      <c r="H1037" s="4">
        <v>0.0</v>
      </c>
      <c r="I1037" s="4">
        <v>91.0</v>
      </c>
      <c r="J1037" s="4">
        <v>12.0</v>
      </c>
      <c r="K1037" s="4">
        <v>79.0</v>
      </c>
      <c r="L1037" s="2" t="s">
        <v>205</v>
      </c>
      <c r="M1037" s="5">
        <f>IFERROR(__xludf.DUMMYFUNCTION("""COMPUTED_VALUE"""),19.0)</f>
        <v>19</v>
      </c>
      <c r="N1037" s="5">
        <f>IFERROR(__xludf.DUMMYFUNCTION("""COMPUTED_VALUE"""),4.0)</f>
        <v>4</v>
      </c>
      <c r="O1037" s="5">
        <f>IFERROR(__xludf.DUMMYFUNCTION("""COMPUTED_VALUE"""),0.0)</f>
        <v>0</v>
      </c>
    </row>
    <row r="1038">
      <c r="A1038" s="1" t="s">
        <v>465</v>
      </c>
      <c r="B1038" s="4">
        <v>3.0</v>
      </c>
      <c r="C1038" s="1" t="s">
        <v>22</v>
      </c>
      <c r="D1038" s="4">
        <v>22.0</v>
      </c>
      <c r="E1038" s="4">
        <v>14.0</v>
      </c>
      <c r="F1038" s="4">
        <v>11.0</v>
      </c>
      <c r="G1038" s="4">
        <v>3.0</v>
      </c>
      <c r="H1038" s="4">
        <v>0.0</v>
      </c>
      <c r="I1038" s="4">
        <v>74.0</v>
      </c>
      <c r="J1038" s="4">
        <v>26.0</v>
      </c>
      <c r="K1038" s="4">
        <v>48.0</v>
      </c>
      <c r="L1038" s="2" t="s">
        <v>212</v>
      </c>
      <c r="M1038" s="5">
        <f>IFERROR(__xludf.DUMMYFUNCTION("""COMPUTED_VALUE"""),17.0)</f>
        <v>17</v>
      </c>
      <c r="N1038" s="5">
        <f>IFERROR(__xludf.DUMMYFUNCTION("""COMPUTED_VALUE"""),5.0)</f>
        <v>5</v>
      </c>
      <c r="O1038" s="5">
        <f>IFERROR(__xludf.DUMMYFUNCTION("""COMPUTED_VALUE"""),0.0)</f>
        <v>0</v>
      </c>
    </row>
    <row r="1039">
      <c r="A1039" s="1" t="s">
        <v>465</v>
      </c>
      <c r="B1039" s="4">
        <v>4.0</v>
      </c>
      <c r="C1039" s="1" t="s">
        <v>20</v>
      </c>
      <c r="D1039" s="4">
        <v>22.0</v>
      </c>
      <c r="E1039" s="4">
        <v>12.0</v>
      </c>
      <c r="F1039" s="4">
        <v>11.0</v>
      </c>
      <c r="G1039" s="4">
        <v>1.0</v>
      </c>
      <c r="H1039" s="4">
        <v>0.0</v>
      </c>
      <c r="I1039" s="4">
        <v>61.0</v>
      </c>
      <c r="J1039" s="4">
        <v>21.0</v>
      </c>
      <c r="K1039" s="4">
        <v>40.0</v>
      </c>
      <c r="L1039" s="2" t="s">
        <v>212</v>
      </c>
      <c r="M1039" s="5">
        <f>IFERROR(__xludf.DUMMYFUNCTION("""COMPUTED_VALUE"""),17.0)</f>
        <v>17</v>
      </c>
      <c r="N1039" s="5">
        <f>IFERROR(__xludf.DUMMYFUNCTION("""COMPUTED_VALUE"""),5.0)</f>
        <v>5</v>
      </c>
      <c r="O1039" s="5">
        <f>IFERROR(__xludf.DUMMYFUNCTION("""COMPUTED_VALUE"""),0.0)</f>
        <v>0</v>
      </c>
    </row>
    <row r="1040">
      <c r="A1040" s="1" t="s">
        <v>465</v>
      </c>
      <c r="B1040" s="4">
        <v>5.0</v>
      </c>
      <c r="C1040" s="1" t="s">
        <v>117</v>
      </c>
      <c r="D1040" s="4">
        <v>20.0</v>
      </c>
      <c r="E1040" s="4">
        <v>14.0</v>
      </c>
      <c r="F1040" s="4">
        <v>10.0</v>
      </c>
      <c r="G1040" s="4">
        <v>4.0</v>
      </c>
      <c r="H1040" s="4">
        <v>0.0</v>
      </c>
      <c r="I1040" s="4">
        <v>69.0</v>
      </c>
      <c r="J1040" s="4">
        <v>26.0</v>
      </c>
      <c r="K1040" s="4">
        <v>43.0</v>
      </c>
      <c r="L1040" s="2" t="s">
        <v>466</v>
      </c>
      <c r="M1040" s="5">
        <f>IFERROR(__xludf.DUMMYFUNCTION("""COMPUTED_VALUE"""),15.0)</f>
        <v>15</v>
      </c>
      <c r="N1040" s="5">
        <f>IFERROR(__xludf.DUMMYFUNCTION("""COMPUTED_VALUE"""),6.0)</f>
        <v>6</v>
      </c>
      <c r="O1040" s="5">
        <f>IFERROR(__xludf.DUMMYFUNCTION("""COMPUTED_VALUE"""),2.0)</f>
        <v>2</v>
      </c>
    </row>
    <row r="1041">
      <c r="A1041" s="1" t="s">
        <v>465</v>
      </c>
      <c r="B1041" s="4">
        <v>6.0</v>
      </c>
      <c r="C1041" s="1" t="s">
        <v>27</v>
      </c>
      <c r="D1041" s="4">
        <v>20.0</v>
      </c>
      <c r="E1041" s="4">
        <v>11.0</v>
      </c>
      <c r="F1041" s="4">
        <v>10.0</v>
      </c>
      <c r="G1041" s="4">
        <v>1.0</v>
      </c>
      <c r="H1041" s="4">
        <v>0.0</v>
      </c>
      <c r="I1041" s="4">
        <v>51.0</v>
      </c>
      <c r="J1041" s="4">
        <v>8.0</v>
      </c>
      <c r="K1041" s="4">
        <v>43.0</v>
      </c>
      <c r="L1041" s="2" t="s">
        <v>168</v>
      </c>
      <c r="M1041" s="5">
        <f>IFERROR(__xludf.DUMMYFUNCTION("""COMPUTED_VALUE"""),19.0)</f>
        <v>19</v>
      </c>
      <c r="N1041" s="5">
        <f>IFERROR(__xludf.DUMMYFUNCTION("""COMPUTED_VALUE"""),3.0)</f>
        <v>3</v>
      </c>
      <c r="O1041" s="5">
        <f>IFERROR(__xludf.DUMMYFUNCTION("""COMPUTED_VALUE"""),1.0)</f>
        <v>1</v>
      </c>
    </row>
    <row r="1042">
      <c r="A1042" s="1" t="s">
        <v>465</v>
      </c>
      <c r="B1042" s="4">
        <v>7.0</v>
      </c>
      <c r="C1042" s="1" t="s">
        <v>46</v>
      </c>
      <c r="D1042" s="4">
        <v>20.0</v>
      </c>
      <c r="E1042" s="4">
        <v>14.0</v>
      </c>
      <c r="F1042" s="4">
        <v>10.0</v>
      </c>
      <c r="G1042" s="4">
        <v>4.0</v>
      </c>
      <c r="H1042" s="4">
        <v>0.0</v>
      </c>
      <c r="I1042" s="4">
        <v>62.0</v>
      </c>
      <c r="J1042" s="4">
        <v>24.0</v>
      </c>
      <c r="K1042" s="4">
        <v>38.0</v>
      </c>
      <c r="L1042" s="2" t="s">
        <v>23</v>
      </c>
      <c r="M1042" s="5">
        <f>IFERROR(__xludf.DUMMYFUNCTION("""COMPUTED_VALUE"""),14.0)</f>
        <v>14</v>
      </c>
      <c r="N1042" s="5">
        <f>IFERROR(__xludf.DUMMYFUNCTION("""COMPUTED_VALUE"""),10.0)</f>
        <v>10</v>
      </c>
      <c r="O1042" s="5">
        <f>IFERROR(__xludf.DUMMYFUNCTION("""COMPUTED_VALUE"""),0.0)</f>
        <v>0</v>
      </c>
    </row>
    <row r="1043">
      <c r="A1043" s="1" t="s">
        <v>465</v>
      </c>
      <c r="B1043" s="4">
        <v>8.0</v>
      </c>
      <c r="C1043" s="1" t="s">
        <v>64</v>
      </c>
      <c r="D1043" s="4">
        <v>20.0</v>
      </c>
      <c r="E1043" s="4">
        <v>14.0</v>
      </c>
      <c r="F1043" s="4">
        <v>10.0</v>
      </c>
      <c r="G1043" s="4">
        <v>4.0</v>
      </c>
      <c r="H1043" s="4">
        <v>0.0</v>
      </c>
      <c r="I1043" s="4">
        <v>57.0</v>
      </c>
      <c r="J1043" s="4">
        <v>30.0</v>
      </c>
      <c r="K1043" s="4">
        <v>27.0</v>
      </c>
      <c r="L1043" s="2" t="s">
        <v>72</v>
      </c>
      <c r="M1043" s="5">
        <f>IFERROR(__xludf.DUMMYFUNCTION("""COMPUTED_VALUE"""),15.0)</f>
        <v>15</v>
      </c>
      <c r="N1043" s="5">
        <f>IFERROR(__xludf.DUMMYFUNCTION("""COMPUTED_VALUE"""),8.0)</f>
        <v>8</v>
      </c>
      <c r="O1043" s="5">
        <f>IFERROR(__xludf.DUMMYFUNCTION("""COMPUTED_VALUE"""),1.0)</f>
        <v>1</v>
      </c>
    </row>
    <row r="1044">
      <c r="A1044" s="1" t="s">
        <v>465</v>
      </c>
      <c r="B1044" s="4">
        <v>9.0</v>
      </c>
      <c r="C1044" s="1" t="s">
        <v>43</v>
      </c>
      <c r="D1044" s="4">
        <v>19.0</v>
      </c>
      <c r="E1044" s="4">
        <v>10.0</v>
      </c>
      <c r="F1044" s="4">
        <v>9.0</v>
      </c>
      <c r="G1044" s="4">
        <v>0.0</v>
      </c>
      <c r="H1044" s="4">
        <v>1.0</v>
      </c>
      <c r="I1044" s="4">
        <v>60.0</v>
      </c>
      <c r="J1044" s="4">
        <v>10.0</v>
      </c>
      <c r="K1044" s="4">
        <v>50.0</v>
      </c>
      <c r="L1044" s="2" t="s">
        <v>467</v>
      </c>
      <c r="M1044" s="5">
        <f>IFERROR(__xludf.DUMMYFUNCTION("""COMPUTED_VALUE"""),19.0)</f>
        <v>19</v>
      </c>
      <c r="N1044" s="5">
        <f>IFERROR(__xludf.DUMMYFUNCTION("""COMPUTED_VALUE"""),1.0)</f>
        <v>1</v>
      </c>
      <c r="O1044" s="5">
        <f>IFERROR(__xludf.DUMMYFUNCTION("""COMPUTED_VALUE"""),2.0)</f>
        <v>2</v>
      </c>
    </row>
    <row r="1045">
      <c r="A1045" s="1" t="s">
        <v>465</v>
      </c>
      <c r="B1045" s="4">
        <v>10.0</v>
      </c>
      <c r="C1045" s="1" t="s">
        <v>18</v>
      </c>
      <c r="D1045" s="4">
        <v>18.0</v>
      </c>
      <c r="E1045" s="4">
        <v>10.0</v>
      </c>
      <c r="F1045" s="4">
        <v>9.0</v>
      </c>
      <c r="G1045" s="4">
        <v>1.0</v>
      </c>
      <c r="H1045" s="4">
        <v>0.0</v>
      </c>
      <c r="I1045" s="4">
        <v>54.0</v>
      </c>
      <c r="J1045" s="4">
        <v>12.0</v>
      </c>
      <c r="K1045" s="4">
        <v>42.0</v>
      </c>
      <c r="L1045" s="2" t="s">
        <v>23</v>
      </c>
      <c r="M1045" s="5">
        <f>IFERROR(__xludf.DUMMYFUNCTION("""COMPUTED_VALUE"""),14.0)</f>
        <v>14</v>
      </c>
      <c r="N1045" s="5">
        <f>IFERROR(__xludf.DUMMYFUNCTION("""COMPUTED_VALUE"""),10.0)</f>
        <v>10</v>
      </c>
      <c r="O1045" s="5">
        <f>IFERROR(__xludf.DUMMYFUNCTION("""COMPUTED_VALUE"""),0.0)</f>
        <v>0</v>
      </c>
    </row>
    <row r="1046">
      <c r="A1046" s="1" t="s">
        <v>465</v>
      </c>
      <c r="B1046" s="4">
        <v>11.0</v>
      </c>
      <c r="C1046" s="1" t="s">
        <v>45</v>
      </c>
      <c r="D1046" s="4">
        <v>18.0</v>
      </c>
      <c r="E1046" s="4">
        <v>11.0</v>
      </c>
      <c r="F1046" s="4">
        <v>9.0</v>
      </c>
      <c r="G1046" s="4">
        <v>2.0</v>
      </c>
      <c r="H1046" s="4">
        <v>0.0</v>
      </c>
      <c r="I1046" s="4">
        <v>51.0</v>
      </c>
      <c r="J1046" s="4">
        <v>13.0</v>
      </c>
      <c r="K1046" s="4">
        <v>38.0</v>
      </c>
      <c r="L1046" s="2" t="s">
        <v>47</v>
      </c>
      <c r="M1046" s="5">
        <f>IFERROR(__xludf.DUMMYFUNCTION("""COMPUTED_VALUE"""),14.0)</f>
        <v>14</v>
      </c>
      <c r="N1046" s="5">
        <f>IFERROR(__xludf.DUMMYFUNCTION("""COMPUTED_VALUE"""),9.0)</f>
        <v>9</v>
      </c>
      <c r="O1046" s="5">
        <f>IFERROR(__xludf.DUMMYFUNCTION("""COMPUTED_VALUE"""),1.0)</f>
        <v>1</v>
      </c>
    </row>
    <row r="1047">
      <c r="A1047" s="1" t="s">
        <v>465</v>
      </c>
      <c r="B1047" s="4">
        <v>12.0</v>
      </c>
      <c r="C1047" s="1" t="s">
        <v>25</v>
      </c>
      <c r="D1047" s="4">
        <v>18.0</v>
      </c>
      <c r="E1047" s="4">
        <v>12.0</v>
      </c>
      <c r="F1047" s="4">
        <v>9.0</v>
      </c>
      <c r="G1047" s="4">
        <v>3.0</v>
      </c>
      <c r="H1047" s="4">
        <v>0.0</v>
      </c>
      <c r="I1047" s="4">
        <v>67.0</v>
      </c>
      <c r="J1047" s="4">
        <v>30.0</v>
      </c>
      <c r="K1047" s="4">
        <v>37.0</v>
      </c>
      <c r="L1047" s="2" t="s">
        <v>40</v>
      </c>
      <c r="M1047" s="5">
        <f>IFERROR(__xludf.DUMMYFUNCTION("""COMPUTED_VALUE"""),17.0)</f>
        <v>17</v>
      </c>
      <c r="N1047" s="5">
        <f>IFERROR(__xludf.DUMMYFUNCTION("""COMPUTED_VALUE"""),6.0)</f>
        <v>6</v>
      </c>
      <c r="O1047" s="5">
        <f>IFERROR(__xludf.DUMMYFUNCTION("""COMPUTED_VALUE"""),1.0)</f>
        <v>1</v>
      </c>
    </row>
    <row r="1048">
      <c r="A1048" s="1" t="s">
        <v>465</v>
      </c>
      <c r="B1048" s="4">
        <v>13.0</v>
      </c>
      <c r="C1048" s="1" t="s">
        <v>86</v>
      </c>
      <c r="D1048" s="4">
        <v>18.0</v>
      </c>
      <c r="E1048" s="4">
        <v>14.0</v>
      </c>
      <c r="F1048" s="4">
        <v>9.0</v>
      </c>
      <c r="G1048" s="4">
        <v>5.0</v>
      </c>
      <c r="H1048" s="4">
        <v>0.0</v>
      </c>
      <c r="I1048" s="4">
        <v>48.0</v>
      </c>
      <c r="J1048" s="4">
        <v>35.0</v>
      </c>
      <c r="K1048" s="4">
        <v>13.0</v>
      </c>
      <c r="L1048" s="2" t="s">
        <v>358</v>
      </c>
      <c r="M1048" s="5">
        <f>IFERROR(__xludf.DUMMYFUNCTION("""COMPUTED_VALUE"""),16.0)</f>
        <v>16</v>
      </c>
      <c r="N1048" s="5">
        <f>IFERROR(__xludf.DUMMYFUNCTION("""COMPUTED_VALUE"""),6.0)</f>
        <v>6</v>
      </c>
      <c r="O1048" s="5">
        <f>IFERROR(__xludf.DUMMYFUNCTION("""COMPUTED_VALUE"""),0.0)</f>
        <v>0</v>
      </c>
    </row>
    <row r="1049">
      <c r="A1049" s="1" t="s">
        <v>465</v>
      </c>
      <c r="B1049" s="4">
        <v>14.0</v>
      </c>
      <c r="C1049" s="1" t="s">
        <v>147</v>
      </c>
      <c r="D1049" s="4">
        <v>16.0</v>
      </c>
      <c r="E1049" s="4">
        <v>8.0</v>
      </c>
      <c r="F1049" s="4">
        <v>8.0</v>
      </c>
      <c r="G1049" s="4">
        <v>0.0</v>
      </c>
      <c r="H1049" s="4">
        <v>0.0</v>
      </c>
      <c r="I1049" s="4">
        <v>54.0</v>
      </c>
      <c r="J1049" s="4">
        <v>8.0</v>
      </c>
      <c r="K1049" s="4">
        <v>46.0</v>
      </c>
      <c r="L1049" s="2" t="s">
        <v>42</v>
      </c>
      <c r="M1049" s="5">
        <f>IFERROR(__xludf.DUMMYFUNCTION("""COMPUTED_VALUE"""),19.0)</f>
        <v>19</v>
      </c>
      <c r="N1049" s="5">
        <f>IFERROR(__xludf.DUMMYFUNCTION("""COMPUTED_VALUE"""),4.0)</f>
        <v>4</v>
      </c>
      <c r="O1049" s="5">
        <f>IFERROR(__xludf.DUMMYFUNCTION("""COMPUTED_VALUE"""),1.0)</f>
        <v>1</v>
      </c>
    </row>
    <row r="1050">
      <c r="A1050" s="1" t="s">
        <v>465</v>
      </c>
      <c r="B1050" s="4">
        <v>15.0</v>
      </c>
      <c r="C1050" s="1" t="s">
        <v>37</v>
      </c>
      <c r="D1050" s="4">
        <v>16.0</v>
      </c>
      <c r="E1050" s="4">
        <v>10.0</v>
      </c>
      <c r="F1050" s="4">
        <v>8.0</v>
      </c>
      <c r="G1050" s="4">
        <v>2.0</v>
      </c>
      <c r="H1050" s="4">
        <v>0.0</v>
      </c>
      <c r="I1050" s="4">
        <v>57.0</v>
      </c>
      <c r="J1050" s="4">
        <v>29.0</v>
      </c>
      <c r="K1050" s="4">
        <v>28.0</v>
      </c>
      <c r="L1050" s="2" t="s">
        <v>410</v>
      </c>
      <c r="M1050" s="5">
        <f>IFERROR(__xludf.DUMMYFUNCTION("""COMPUTED_VALUE"""),13.0)</f>
        <v>13</v>
      </c>
      <c r="N1050" s="5">
        <f>IFERROR(__xludf.DUMMYFUNCTION("""COMPUTED_VALUE"""),9.0)</f>
        <v>9</v>
      </c>
      <c r="O1050" s="5">
        <f>IFERROR(__xludf.DUMMYFUNCTION("""COMPUTED_VALUE"""),0.0)</f>
        <v>0</v>
      </c>
    </row>
    <row r="1051">
      <c r="A1051" s="1" t="s">
        <v>465</v>
      </c>
      <c r="B1051" s="4">
        <v>16.0</v>
      </c>
      <c r="C1051" s="1" t="s">
        <v>71</v>
      </c>
      <c r="D1051" s="4">
        <v>16.0</v>
      </c>
      <c r="E1051" s="4">
        <v>11.0</v>
      </c>
      <c r="F1051" s="4">
        <v>8.0</v>
      </c>
      <c r="G1051" s="4">
        <v>3.0</v>
      </c>
      <c r="H1051" s="4">
        <v>0.0</v>
      </c>
      <c r="I1051" s="4">
        <v>37.0</v>
      </c>
      <c r="J1051" s="4">
        <v>17.0</v>
      </c>
      <c r="K1051" s="4">
        <v>20.0</v>
      </c>
      <c r="L1051" s="2" t="s">
        <v>468</v>
      </c>
      <c r="M1051" s="5">
        <f>IFERROR(__xludf.DUMMYFUNCTION("""COMPUTED_VALUE"""),15.0)</f>
        <v>15</v>
      </c>
      <c r="N1051" s="5">
        <f>IFERROR(__xludf.DUMMYFUNCTION("""COMPUTED_VALUE"""),6.0)</f>
        <v>6</v>
      </c>
      <c r="O1051" s="5">
        <f>IFERROR(__xludf.DUMMYFUNCTION("""COMPUTED_VALUE"""),1.0)</f>
        <v>1</v>
      </c>
    </row>
    <row r="1052">
      <c r="A1052" s="1" t="s">
        <v>465</v>
      </c>
      <c r="B1052" s="4">
        <v>17.0</v>
      </c>
      <c r="C1052" s="1" t="s">
        <v>123</v>
      </c>
      <c r="D1052" s="4">
        <v>16.0</v>
      </c>
      <c r="E1052" s="4">
        <v>12.0</v>
      </c>
      <c r="F1052" s="4">
        <v>8.0</v>
      </c>
      <c r="G1052" s="4">
        <v>4.0</v>
      </c>
      <c r="H1052" s="4">
        <v>0.0</v>
      </c>
      <c r="I1052" s="4">
        <v>40.0</v>
      </c>
      <c r="J1052" s="4">
        <v>31.0</v>
      </c>
      <c r="K1052" s="4">
        <v>9.0</v>
      </c>
      <c r="L1052" s="2" t="s">
        <v>369</v>
      </c>
      <c r="M1052" s="5">
        <f>IFERROR(__xludf.DUMMYFUNCTION("""COMPUTED_VALUE"""),11.0)</f>
        <v>11</v>
      </c>
      <c r="N1052" s="5">
        <f>IFERROR(__xludf.DUMMYFUNCTION("""COMPUTED_VALUE"""),9.0)</f>
        <v>9</v>
      </c>
      <c r="O1052" s="5">
        <f>IFERROR(__xludf.DUMMYFUNCTION("""COMPUTED_VALUE"""),2001.0)</f>
        <v>2001</v>
      </c>
    </row>
    <row r="1053">
      <c r="A1053" s="1" t="s">
        <v>465</v>
      </c>
      <c r="B1053" s="4">
        <v>18.0</v>
      </c>
      <c r="C1053" s="1" t="s">
        <v>81</v>
      </c>
      <c r="D1053" s="4">
        <v>15.0</v>
      </c>
      <c r="E1053" s="4">
        <v>8.0</v>
      </c>
      <c r="F1053" s="4">
        <v>7.0</v>
      </c>
      <c r="G1053" s="4">
        <v>0.0</v>
      </c>
      <c r="H1053" s="4">
        <v>1.0</v>
      </c>
      <c r="I1053" s="4">
        <v>54.0</v>
      </c>
      <c r="J1053" s="4">
        <v>18.0</v>
      </c>
      <c r="K1053" s="4">
        <v>36.0</v>
      </c>
      <c r="L1053" s="2" t="s">
        <v>403</v>
      </c>
      <c r="M1053" s="5">
        <f>IFERROR(__xludf.DUMMYFUNCTION("""COMPUTED_VALUE"""),19.0)</f>
        <v>19</v>
      </c>
      <c r="N1053" s="5">
        <f>IFERROR(__xludf.DUMMYFUNCTION("""COMPUTED_VALUE"""),3.0)</f>
        <v>3</v>
      </c>
      <c r="O1053" s="5">
        <f>IFERROR(__xludf.DUMMYFUNCTION("""COMPUTED_VALUE"""),2.0)</f>
        <v>2</v>
      </c>
    </row>
    <row r="1054">
      <c r="A1054" s="1" t="s">
        <v>465</v>
      </c>
      <c r="B1054" s="4">
        <v>19.0</v>
      </c>
      <c r="C1054" s="1" t="s">
        <v>85</v>
      </c>
      <c r="D1054" s="4">
        <v>15.0</v>
      </c>
      <c r="E1054" s="4">
        <v>8.0</v>
      </c>
      <c r="F1054" s="4">
        <v>7.0</v>
      </c>
      <c r="G1054" s="4">
        <v>0.0</v>
      </c>
      <c r="H1054" s="4">
        <v>1.0</v>
      </c>
      <c r="I1054" s="4">
        <v>28.0</v>
      </c>
      <c r="J1054" s="4">
        <v>5.0</v>
      </c>
      <c r="K1054" s="4">
        <v>23.0</v>
      </c>
      <c r="L1054" s="2" t="s">
        <v>469</v>
      </c>
      <c r="M1054" s="5">
        <f>IFERROR(__xludf.DUMMYFUNCTION("""COMPUTED_VALUE"""),20.0)</f>
        <v>20</v>
      </c>
      <c r="N1054" s="5">
        <f>IFERROR(__xludf.DUMMYFUNCTION("""COMPUTED_VALUE"""),2.0)</f>
        <v>2</v>
      </c>
      <c r="O1054" s="5">
        <f>IFERROR(__xludf.DUMMYFUNCTION("""COMPUTED_VALUE"""),1.0)</f>
        <v>1</v>
      </c>
    </row>
    <row r="1055">
      <c r="A1055" s="1" t="s">
        <v>465</v>
      </c>
      <c r="B1055" s="4">
        <v>20.0</v>
      </c>
      <c r="C1055" s="1" t="s">
        <v>88</v>
      </c>
      <c r="D1055" s="4">
        <v>15.0</v>
      </c>
      <c r="E1055" s="4">
        <v>10.0</v>
      </c>
      <c r="F1055" s="4">
        <v>7.0</v>
      </c>
      <c r="G1055" s="4">
        <v>2.0</v>
      </c>
      <c r="H1055" s="4">
        <v>1.0</v>
      </c>
      <c r="I1055" s="4">
        <v>31.0</v>
      </c>
      <c r="J1055" s="4">
        <v>21.0</v>
      </c>
      <c r="K1055" s="4">
        <v>10.0</v>
      </c>
      <c r="L1055" s="2" t="s">
        <v>166</v>
      </c>
      <c r="M1055" s="5">
        <f>IFERROR(__xludf.DUMMYFUNCTION("""COMPUTED_VALUE"""),18.0)</f>
        <v>18</v>
      </c>
      <c r="N1055" s="5">
        <f>IFERROR(__xludf.DUMMYFUNCTION("""COMPUTED_VALUE"""),5.0)</f>
        <v>5</v>
      </c>
      <c r="O1055" s="5">
        <f>IFERROR(__xludf.DUMMYFUNCTION("""COMPUTED_VALUE"""),1.0)</f>
        <v>1</v>
      </c>
    </row>
    <row r="1056">
      <c r="A1056" s="1" t="s">
        <v>465</v>
      </c>
      <c r="B1056" s="4">
        <v>21.0</v>
      </c>
      <c r="C1056" s="1" t="s">
        <v>159</v>
      </c>
      <c r="D1056" s="4">
        <v>14.0</v>
      </c>
      <c r="E1056" s="4">
        <v>11.0</v>
      </c>
      <c r="F1056" s="4">
        <v>7.0</v>
      </c>
      <c r="G1056" s="4">
        <v>4.0</v>
      </c>
      <c r="H1056" s="4">
        <v>0.0</v>
      </c>
      <c r="I1056" s="4">
        <v>63.0</v>
      </c>
      <c r="J1056" s="4">
        <v>46.0</v>
      </c>
      <c r="K1056" s="4">
        <v>17.0</v>
      </c>
      <c r="L1056" s="2" t="s">
        <v>82</v>
      </c>
      <c r="M1056" s="5">
        <f>IFERROR(__xludf.DUMMYFUNCTION("""COMPUTED_VALUE"""),11.0)</f>
        <v>11</v>
      </c>
      <c r="N1056" s="5">
        <f>IFERROR(__xludf.DUMMYFUNCTION("""COMPUTED_VALUE"""),12.0)</f>
        <v>12</v>
      </c>
      <c r="O1056" s="5">
        <f>IFERROR(__xludf.DUMMYFUNCTION("""COMPUTED_VALUE"""),2001.0)</f>
        <v>2001</v>
      </c>
    </row>
    <row r="1057">
      <c r="A1057" s="1" t="s">
        <v>465</v>
      </c>
      <c r="B1057" s="4">
        <v>22.0</v>
      </c>
      <c r="C1057" s="1" t="s">
        <v>94</v>
      </c>
      <c r="D1057" s="4">
        <v>14.0</v>
      </c>
      <c r="E1057" s="4">
        <v>14.0</v>
      </c>
      <c r="F1057" s="4">
        <v>7.0</v>
      </c>
      <c r="G1057" s="4">
        <v>7.0</v>
      </c>
      <c r="H1057" s="4">
        <v>0.0</v>
      </c>
      <c r="I1057" s="4">
        <v>56.0</v>
      </c>
      <c r="J1057" s="4">
        <v>44.0</v>
      </c>
      <c r="K1057" s="4">
        <v>12.0</v>
      </c>
      <c r="L1057" s="2" t="s">
        <v>80</v>
      </c>
      <c r="M1057" s="5">
        <f>IFERROR(__xludf.DUMMYFUNCTION("""COMPUTED_VALUE"""),12.0)</f>
        <v>12</v>
      </c>
      <c r="N1057" s="5">
        <f>IFERROR(__xludf.DUMMYFUNCTION("""COMPUTED_VALUE"""),12.0)</f>
        <v>12</v>
      </c>
      <c r="O1057" s="5">
        <f>IFERROR(__xludf.DUMMYFUNCTION("""COMPUTED_VALUE"""),2000.0)</f>
        <v>2000</v>
      </c>
    </row>
    <row r="1058">
      <c r="A1058" s="1" t="s">
        <v>465</v>
      </c>
      <c r="B1058" s="4">
        <v>23.0</v>
      </c>
      <c r="C1058" s="1" t="s">
        <v>58</v>
      </c>
      <c r="D1058" s="4">
        <v>14.0</v>
      </c>
      <c r="E1058" s="4">
        <v>14.0</v>
      </c>
      <c r="F1058" s="4">
        <v>7.0</v>
      </c>
      <c r="G1058" s="4">
        <v>7.0</v>
      </c>
      <c r="H1058" s="4">
        <v>0.0</v>
      </c>
      <c r="I1058" s="4">
        <v>50.0</v>
      </c>
      <c r="J1058" s="4">
        <v>39.0</v>
      </c>
      <c r="K1058" s="4">
        <v>11.0</v>
      </c>
      <c r="L1058" s="2" t="s">
        <v>176</v>
      </c>
      <c r="M1058" s="5">
        <f>IFERROR(__xludf.DUMMYFUNCTION("""COMPUTED_VALUE"""),11.0)</f>
        <v>11</v>
      </c>
      <c r="N1058" s="5">
        <f>IFERROR(__xludf.DUMMYFUNCTION("""COMPUTED_VALUE"""),11.0)</f>
        <v>11</v>
      </c>
      <c r="O1058" s="5">
        <f>IFERROR(__xludf.DUMMYFUNCTION("""COMPUTED_VALUE"""),2001.0)</f>
        <v>2001</v>
      </c>
    </row>
    <row r="1059">
      <c r="A1059" s="1" t="s">
        <v>465</v>
      </c>
      <c r="B1059" s="4">
        <v>24.0</v>
      </c>
      <c r="C1059" s="1" t="s">
        <v>121</v>
      </c>
      <c r="D1059" s="4">
        <v>13.0</v>
      </c>
      <c r="E1059" s="4">
        <v>8.0</v>
      </c>
      <c r="F1059" s="4">
        <v>6.0</v>
      </c>
      <c r="G1059" s="4">
        <v>1.0</v>
      </c>
      <c r="H1059" s="4">
        <v>1.0</v>
      </c>
      <c r="I1059" s="4">
        <v>42.0</v>
      </c>
      <c r="J1059" s="4">
        <v>19.0</v>
      </c>
      <c r="K1059" s="4">
        <v>23.0</v>
      </c>
      <c r="L1059" s="2" t="s">
        <v>470</v>
      </c>
      <c r="M1059" s="5">
        <f>IFERROR(__xludf.DUMMYFUNCTION("""COMPUTED_VALUE"""),10.0)</f>
        <v>10</v>
      </c>
      <c r="N1059" s="5">
        <f>IFERROR(__xludf.DUMMYFUNCTION("""COMPUTED_VALUE"""),9.0)</f>
        <v>9</v>
      </c>
      <c r="O1059" s="5">
        <f>IFERROR(__xludf.DUMMYFUNCTION("""COMPUTED_VALUE"""),2002.0)</f>
        <v>2002</v>
      </c>
    </row>
    <row r="1060">
      <c r="A1060" s="1" t="s">
        <v>465</v>
      </c>
      <c r="B1060" s="4">
        <v>25.0</v>
      </c>
      <c r="C1060" s="1" t="s">
        <v>141</v>
      </c>
      <c r="D1060" s="4">
        <v>12.0</v>
      </c>
      <c r="E1060" s="4">
        <v>8.0</v>
      </c>
      <c r="F1060" s="4">
        <v>6.0</v>
      </c>
      <c r="G1060" s="4">
        <v>2.0</v>
      </c>
      <c r="H1060" s="4">
        <v>0.0</v>
      </c>
      <c r="I1060" s="4">
        <v>46.0</v>
      </c>
      <c r="J1060" s="4">
        <v>12.0</v>
      </c>
      <c r="K1060" s="4">
        <v>34.0</v>
      </c>
      <c r="L1060" s="2" t="s">
        <v>26</v>
      </c>
      <c r="M1060" s="5">
        <f>IFERROR(__xludf.DUMMYFUNCTION("""COMPUTED_VALUE"""),13.0)</f>
        <v>13</v>
      </c>
      <c r="N1060" s="5">
        <f>IFERROR(__xludf.DUMMYFUNCTION("""COMPUTED_VALUE"""),9.0)</f>
        <v>9</v>
      </c>
      <c r="O1060" s="5">
        <f>IFERROR(__xludf.DUMMYFUNCTION("""COMPUTED_VALUE"""),2.0)</f>
        <v>2</v>
      </c>
    </row>
    <row r="1061">
      <c r="A1061" s="1" t="s">
        <v>465</v>
      </c>
      <c r="B1061" s="4">
        <v>26.0</v>
      </c>
      <c r="C1061" s="1" t="s">
        <v>131</v>
      </c>
      <c r="D1061" s="4">
        <v>12.0</v>
      </c>
      <c r="E1061" s="4">
        <v>8.0</v>
      </c>
      <c r="F1061" s="4">
        <v>6.0</v>
      </c>
      <c r="G1061" s="4">
        <v>2.0</v>
      </c>
      <c r="H1061" s="4">
        <v>0.0</v>
      </c>
      <c r="I1061" s="4">
        <v>43.0</v>
      </c>
      <c r="J1061" s="4">
        <v>15.0</v>
      </c>
      <c r="K1061" s="4">
        <v>28.0</v>
      </c>
      <c r="L1061" s="2" t="s">
        <v>471</v>
      </c>
      <c r="M1061" s="5">
        <f>IFERROR(__xludf.DUMMYFUNCTION("""COMPUTED_VALUE"""),12.0)</f>
        <v>12</v>
      </c>
      <c r="N1061" s="5">
        <f>IFERROR(__xludf.DUMMYFUNCTION("""COMPUTED_VALUE"""),7.0)</f>
        <v>7</v>
      </c>
      <c r="O1061" s="5">
        <f>IFERROR(__xludf.DUMMYFUNCTION("""COMPUTED_VALUE"""),2003.0)</f>
        <v>2003</v>
      </c>
    </row>
    <row r="1062">
      <c r="A1062" s="1" t="s">
        <v>465</v>
      </c>
      <c r="B1062" s="4">
        <v>27.0</v>
      </c>
      <c r="C1062" s="1" t="s">
        <v>130</v>
      </c>
      <c r="D1062" s="4">
        <v>12.0</v>
      </c>
      <c r="E1062" s="4">
        <v>8.0</v>
      </c>
      <c r="F1062" s="4">
        <v>6.0</v>
      </c>
      <c r="G1062" s="4">
        <v>2.0</v>
      </c>
      <c r="H1062" s="4">
        <v>0.0</v>
      </c>
      <c r="I1062" s="4">
        <v>32.0</v>
      </c>
      <c r="J1062" s="4">
        <v>10.0</v>
      </c>
      <c r="K1062" s="4">
        <v>22.0</v>
      </c>
      <c r="L1062" s="2" t="s">
        <v>454</v>
      </c>
      <c r="M1062" s="5">
        <f>IFERROR(__xludf.DUMMYFUNCTION("""COMPUTED_VALUE"""),14.0)</f>
        <v>14</v>
      </c>
      <c r="N1062" s="5">
        <f>IFERROR(__xludf.DUMMYFUNCTION("""COMPUTED_VALUE"""),6.0)</f>
        <v>6</v>
      </c>
      <c r="O1062" s="5">
        <f>IFERROR(__xludf.DUMMYFUNCTION("""COMPUTED_VALUE"""),0.0)</f>
        <v>0</v>
      </c>
    </row>
    <row r="1063">
      <c r="A1063" s="1" t="s">
        <v>465</v>
      </c>
      <c r="B1063" s="4">
        <v>28.0</v>
      </c>
      <c r="C1063" s="1" t="s">
        <v>61</v>
      </c>
      <c r="D1063" s="4">
        <v>12.0</v>
      </c>
      <c r="E1063" s="4">
        <v>8.0</v>
      </c>
      <c r="F1063" s="4">
        <v>6.0</v>
      </c>
      <c r="G1063" s="4">
        <v>2.0</v>
      </c>
      <c r="H1063" s="4">
        <v>0.0</v>
      </c>
      <c r="I1063" s="4">
        <v>40.0</v>
      </c>
      <c r="J1063" s="4">
        <v>19.0</v>
      </c>
      <c r="K1063" s="4">
        <v>21.0</v>
      </c>
      <c r="L1063" s="2" t="s">
        <v>472</v>
      </c>
      <c r="M1063" s="5">
        <f>IFERROR(__xludf.DUMMYFUNCTION("""COMPUTED_VALUE"""),13.0)</f>
        <v>13</v>
      </c>
      <c r="N1063" s="5">
        <f>IFERROR(__xludf.DUMMYFUNCTION("""COMPUTED_VALUE"""),7.0)</f>
        <v>7</v>
      </c>
      <c r="O1063" s="5">
        <f>IFERROR(__xludf.DUMMYFUNCTION("""COMPUTED_VALUE"""),2.0)</f>
        <v>2</v>
      </c>
    </row>
    <row r="1064">
      <c r="A1064" s="1" t="s">
        <v>465</v>
      </c>
      <c r="B1064" s="4">
        <v>29.0</v>
      </c>
      <c r="C1064" s="1" t="s">
        <v>66</v>
      </c>
      <c r="D1064" s="4">
        <v>12.0</v>
      </c>
      <c r="E1064" s="4">
        <v>12.0</v>
      </c>
      <c r="F1064" s="4">
        <v>6.0</v>
      </c>
      <c r="G1064" s="4">
        <v>6.0</v>
      </c>
      <c r="H1064" s="4">
        <v>0.0</v>
      </c>
      <c r="I1064" s="4">
        <v>54.0</v>
      </c>
      <c r="J1064" s="4">
        <v>41.0</v>
      </c>
      <c r="K1064" s="4">
        <v>13.0</v>
      </c>
      <c r="L1064" s="2" t="s">
        <v>451</v>
      </c>
      <c r="M1064" s="5">
        <f>IFERROR(__xludf.DUMMYFUNCTION("""COMPUTED_VALUE"""),9.0)</f>
        <v>9</v>
      </c>
      <c r="N1064" s="5">
        <f>IFERROR(__xludf.DUMMYFUNCTION("""COMPUTED_VALUE"""),12.0)</f>
        <v>12</v>
      </c>
      <c r="O1064" s="5">
        <f>IFERROR(__xludf.DUMMYFUNCTION("""COMPUTED_VALUE"""),2001.0)</f>
        <v>2001</v>
      </c>
    </row>
    <row r="1065">
      <c r="A1065" s="1" t="s">
        <v>465</v>
      </c>
      <c r="B1065" s="4">
        <v>30.0</v>
      </c>
      <c r="C1065" s="1" t="s">
        <v>138</v>
      </c>
      <c r="D1065" s="4">
        <v>12.0</v>
      </c>
      <c r="E1065" s="4">
        <v>12.0</v>
      </c>
      <c r="F1065" s="4">
        <v>6.0</v>
      </c>
      <c r="G1065" s="4">
        <v>6.0</v>
      </c>
      <c r="H1065" s="4">
        <v>0.0</v>
      </c>
      <c r="I1065" s="4">
        <v>48.0</v>
      </c>
      <c r="J1065" s="4">
        <v>59.0</v>
      </c>
      <c r="K1065" s="4">
        <v>-11.0</v>
      </c>
      <c r="L1065" s="2" t="s">
        <v>102</v>
      </c>
      <c r="M1065" s="5">
        <f>IFERROR(__xludf.DUMMYFUNCTION("""COMPUTED_VALUE"""),13.0)</f>
        <v>13</v>
      </c>
      <c r="N1065" s="5">
        <f>IFERROR(__xludf.DUMMYFUNCTION("""COMPUTED_VALUE"""),11.0)</f>
        <v>11</v>
      </c>
      <c r="O1065" s="5">
        <f>IFERROR(__xludf.DUMMYFUNCTION("""COMPUTED_VALUE"""),0.0)</f>
        <v>0</v>
      </c>
    </row>
    <row r="1066">
      <c r="A1066" s="1" t="s">
        <v>465</v>
      </c>
      <c r="B1066" s="4">
        <v>31.0</v>
      </c>
      <c r="C1066" s="1" t="s">
        <v>75</v>
      </c>
      <c r="D1066" s="4">
        <v>12.0</v>
      </c>
      <c r="E1066" s="4">
        <v>14.0</v>
      </c>
      <c r="F1066" s="4">
        <v>6.0</v>
      </c>
      <c r="G1066" s="4">
        <v>8.0</v>
      </c>
      <c r="H1066" s="4">
        <v>0.0</v>
      </c>
      <c r="I1066" s="4">
        <v>40.0</v>
      </c>
      <c r="J1066" s="4">
        <v>58.0</v>
      </c>
      <c r="K1066" s="4">
        <v>-18.0</v>
      </c>
      <c r="L1066" s="2" t="s">
        <v>186</v>
      </c>
      <c r="M1066" s="5">
        <f>IFERROR(__xludf.DUMMYFUNCTION("""COMPUTED_VALUE"""),10.0)</f>
        <v>10</v>
      </c>
      <c r="N1066" s="5">
        <f>IFERROR(__xludf.DUMMYFUNCTION("""COMPUTED_VALUE"""),14.0)</f>
        <v>14</v>
      </c>
      <c r="O1066" s="5">
        <f>IFERROR(__xludf.DUMMYFUNCTION("""COMPUTED_VALUE"""),2000.0)</f>
        <v>2000</v>
      </c>
    </row>
    <row r="1067">
      <c r="A1067" s="1" t="s">
        <v>465</v>
      </c>
      <c r="B1067" s="4">
        <v>32.0</v>
      </c>
      <c r="C1067" s="1" t="s">
        <v>105</v>
      </c>
      <c r="D1067" s="4">
        <v>10.0</v>
      </c>
      <c r="E1067" s="4">
        <v>11.0</v>
      </c>
      <c r="F1067" s="4">
        <v>5.0</v>
      </c>
      <c r="G1067" s="4">
        <v>6.0</v>
      </c>
      <c r="H1067" s="4">
        <v>0.0</v>
      </c>
      <c r="I1067" s="4">
        <v>47.0</v>
      </c>
      <c r="J1067" s="4">
        <v>29.0</v>
      </c>
      <c r="K1067" s="4">
        <v>18.0</v>
      </c>
      <c r="L1067" s="2" t="s">
        <v>21</v>
      </c>
      <c r="M1067" s="5">
        <f>IFERROR(__xludf.DUMMYFUNCTION("""COMPUTED_VALUE"""),15.0)</f>
        <v>15</v>
      </c>
      <c r="N1067" s="5">
        <f>IFERROR(__xludf.DUMMYFUNCTION("""COMPUTED_VALUE"""),8.0)</f>
        <v>8</v>
      </c>
      <c r="O1067" s="5">
        <f>IFERROR(__xludf.DUMMYFUNCTION("""COMPUTED_VALUE"""),0.0)</f>
        <v>0</v>
      </c>
    </row>
    <row r="1068">
      <c r="A1068" s="1" t="s">
        <v>465</v>
      </c>
      <c r="B1068" s="4">
        <v>33.0</v>
      </c>
      <c r="C1068" s="1" t="s">
        <v>16</v>
      </c>
      <c r="D1068" s="4">
        <v>10.0</v>
      </c>
      <c r="E1068" s="4">
        <v>8.0</v>
      </c>
      <c r="F1068" s="4">
        <v>4.0</v>
      </c>
      <c r="G1068" s="4">
        <v>2.0</v>
      </c>
      <c r="H1068" s="4">
        <v>2.0</v>
      </c>
      <c r="I1068" s="4">
        <v>29.0</v>
      </c>
      <c r="J1068" s="4">
        <v>12.0</v>
      </c>
      <c r="K1068" s="4">
        <v>17.0</v>
      </c>
      <c r="L1068" s="2" t="s">
        <v>325</v>
      </c>
      <c r="M1068" s="5">
        <f>IFERROR(__xludf.DUMMYFUNCTION("""COMPUTED_VALUE"""),10.0)</f>
        <v>10</v>
      </c>
      <c r="N1068" s="5">
        <f>IFERROR(__xludf.DUMMYFUNCTION("""COMPUTED_VALUE"""),11.0)</f>
        <v>11</v>
      </c>
      <c r="O1068" s="5">
        <f>IFERROR(__xludf.DUMMYFUNCTION("""COMPUTED_VALUE"""),2002.0)</f>
        <v>2002</v>
      </c>
    </row>
    <row r="1069">
      <c r="A1069" s="1" t="s">
        <v>465</v>
      </c>
      <c r="B1069" s="4">
        <v>34.0</v>
      </c>
      <c r="C1069" s="1" t="s">
        <v>106</v>
      </c>
      <c r="D1069" s="4">
        <v>10.0</v>
      </c>
      <c r="E1069" s="4">
        <v>14.0</v>
      </c>
      <c r="F1069" s="4">
        <v>5.0</v>
      </c>
      <c r="G1069" s="4">
        <v>9.0</v>
      </c>
      <c r="H1069" s="4">
        <v>0.0</v>
      </c>
      <c r="I1069" s="4">
        <v>48.0</v>
      </c>
      <c r="J1069" s="4">
        <v>42.0</v>
      </c>
      <c r="K1069" s="4">
        <v>6.0</v>
      </c>
      <c r="L1069" s="2" t="s">
        <v>100</v>
      </c>
      <c r="M1069" s="5">
        <f>IFERROR(__xludf.DUMMYFUNCTION("""COMPUTED_VALUE"""),7.0)</f>
        <v>7</v>
      </c>
      <c r="N1069" s="5">
        <f>IFERROR(__xludf.DUMMYFUNCTION("""COMPUTED_VALUE"""),15.0)</f>
        <v>15</v>
      </c>
      <c r="O1069" s="5">
        <f>IFERROR(__xludf.DUMMYFUNCTION("""COMPUTED_VALUE"""),2000.0)</f>
        <v>2000</v>
      </c>
    </row>
    <row r="1070">
      <c r="A1070" s="1" t="s">
        <v>465</v>
      </c>
      <c r="B1070" s="4">
        <v>35.0</v>
      </c>
      <c r="C1070" s="1" t="s">
        <v>29</v>
      </c>
      <c r="D1070" s="4">
        <v>10.0</v>
      </c>
      <c r="E1070" s="4">
        <v>15.0</v>
      </c>
      <c r="F1070" s="4">
        <v>5.0</v>
      </c>
      <c r="G1070" s="4">
        <v>10.0</v>
      </c>
      <c r="H1070" s="4">
        <v>0.0</v>
      </c>
      <c r="I1070" s="4">
        <v>63.0</v>
      </c>
      <c r="J1070" s="4">
        <v>68.0</v>
      </c>
      <c r="K1070" s="4">
        <v>-5.0</v>
      </c>
      <c r="L1070" s="2" t="s">
        <v>95</v>
      </c>
      <c r="M1070" s="5">
        <f>IFERROR(__xludf.DUMMYFUNCTION("""COMPUTED_VALUE"""),9.0)</f>
        <v>9</v>
      </c>
      <c r="N1070" s="5">
        <f>IFERROR(__xludf.DUMMYFUNCTION("""COMPUTED_VALUE"""),14.0)</f>
        <v>14</v>
      </c>
      <c r="O1070" s="5">
        <f>IFERROR(__xludf.DUMMYFUNCTION("""COMPUTED_VALUE"""),2000.0)</f>
        <v>2000</v>
      </c>
    </row>
    <row r="1071">
      <c r="A1071" s="1" t="s">
        <v>465</v>
      </c>
      <c r="B1071" s="4">
        <v>36.0</v>
      </c>
      <c r="C1071" s="1" t="s">
        <v>62</v>
      </c>
      <c r="D1071" s="4">
        <v>9.0</v>
      </c>
      <c r="E1071" s="4">
        <v>8.0</v>
      </c>
      <c r="F1071" s="4">
        <v>4.0</v>
      </c>
      <c r="G1071" s="4">
        <v>3.0</v>
      </c>
      <c r="H1071" s="4">
        <v>1.0</v>
      </c>
      <c r="I1071" s="4">
        <v>23.0</v>
      </c>
      <c r="J1071" s="4">
        <v>14.0</v>
      </c>
      <c r="K1071" s="4">
        <v>9.0</v>
      </c>
      <c r="L1071" s="2" t="s">
        <v>340</v>
      </c>
      <c r="M1071" s="5">
        <f>IFERROR(__xludf.DUMMYFUNCTION("""COMPUTED_VALUE"""),17.0)</f>
        <v>17</v>
      </c>
      <c r="N1071" s="5">
        <f>IFERROR(__xludf.DUMMYFUNCTION("""COMPUTED_VALUE"""),5.0)</f>
        <v>5</v>
      </c>
      <c r="O1071" s="5">
        <f>IFERROR(__xludf.DUMMYFUNCTION("""COMPUTED_VALUE"""),2.0)</f>
        <v>2</v>
      </c>
    </row>
    <row r="1072">
      <c r="A1072" s="1" t="s">
        <v>465</v>
      </c>
      <c r="B1072" s="4">
        <v>37.0</v>
      </c>
      <c r="C1072" s="1" t="s">
        <v>50</v>
      </c>
      <c r="D1072" s="4">
        <v>8.0</v>
      </c>
      <c r="E1072" s="4">
        <v>9.0</v>
      </c>
      <c r="F1072" s="4">
        <v>4.0</v>
      </c>
      <c r="G1072" s="4">
        <v>5.0</v>
      </c>
      <c r="H1072" s="4">
        <v>0.0</v>
      </c>
      <c r="I1072" s="4">
        <v>43.0</v>
      </c>
      <c r="J1072" s="4">
        <v>24.0</v>
      </c>
      <c r="K1072" s="4">
        <v>19.0</v>
      </c>
      <c r="L1072" s="2" t="s">
        <v>391</v>
      </c>
      <c r="M1072" s="5">
        <f>IFERROR(__xludf.DUMMYFUNCTION("""COMPUTED_VALUE"""),6.0)</f>
        <v>6</v>
      </c>
      <c r="N1072" s="5">
        <f>IFERROR(__xludf.DUMMYFUNCTION("""COMPUTED_VALUE"""),13.0)</f>
        <v>13</v>
      </c>
      <c r="O1072" s="5">
        <f>IFERROR(__xludf.DUMMYFUNCTION("""COMPUTED_VALUE"""),2002.0)</f>
        <v>2002</v>
      </c>
    </row>
    <row r="1073">
      <c r="A1073" s="1" t="s">
        <v>465</v>
      </c>
      <c r="B1073" s="4">
        <v>38.0</v>
      </c>
      <c r="C1073" s="1" t="s">
        <v>377</v>
      </c>
      <c r="D1073" s="4">
        <v>8.0</v>
      </c>
      <c r="E1073" s="4">
        <v>8.0</v>
      </c>
      <c r="F1073" s="4">
        <v>4.0</v>
      </c>
      <c r="G1073" s="4">
        <v>4.0</v>
      </c>
      <c r="H1073" s="4">
        <v>0.0</v>
      </c>
      <c r="I1073" s="4">
        <v>39.0</v>
      </c>
      <c r="J1073" s="4">
        <v>24.0</v>
      </c>
      <c r="K1073" s="4">
        <v>15.0</v>
      </c>
      <c r="L1073" s="2" t="s">
        <v>258</v>
      </c>
      <c r="M1073" s="5">
        <f>IFERROR(__xludf.DUMMYFUNCTION("""COMPUTED_VALUE"""),7.0)</f>
        <v>7</v>
      </c>
      <c r="N1073" s="5">
        <f>IFERROR(__xludf.DUMMYFUNCTION("""COMPUTED_VALUE"""),11.0)</f>
        <v>11</v>
      </c>
      <c r="O1073" s="5">
        <f>IFERROR(__xludf.DUMMYFUNCTION("""COMPUTED_VALUE"""),2000.0)</f>
        <v>2000</v>
      </c>
    </row>
    <row r="1074">
      <c r="A1074" s="1" t="s">
        <v>465</v>
      </c>
      <c r="B1074" s="4">
        <v>39.0</v>
      </c>
      <c r="C1074" s="1" t="s">
        <v>161</v>
      </c>
      <c r="D1074" s="4">
        <v>8.0</v>
      </c>
      <c r="E1074" s="4">
        <v>9.0</v>
      </c>
      <c r="F1074" s="4">
        <v>4.0</v>
      </c>
      <c r="G1074" s="4">
        <v>5.0</v>
      </c>
      <c r="H1074" s="4">
        <v>0.0</v>
      </c>
      <c r="I1074" s="4">
        <v>43.0</v>
      </c>
      <c r="J1074" s="4">
        <v>30.0</v>
      </c>
      <c r="K1074" s="4">
        <v>13.0</v>
      </c>
      <c r="L1074" s="2" t="s">
        <v>220</v>
      </c>
      <c r="M1074" s="5">
        <f>IFERROR(__xludf.DUMMYFUNCTION("""COMPUTED_VALUE"""),10.0)</f>
        <v>10</v>
      </c>
      <c r="N1074" s="5">
        <f>IFERROR(__xludf.DUMMYFUNCTION("""COMPUTED_VALUE"""),12.0)</f>
        <v>12</v>
      </c>
      <c r="O1074" s="5">
        <f>IFERROR(__xludf.DUMMYFUNCTION("""COMPUTED_VALUE"""),2002.0)</f>
        <v>2002</v>
      </c>
    </row>
    <row r="1075">
      <c r="A1075" s="1" t="s">
        <v>465</v>
      </c>
      <c r="B1075" s="4">
        <v>40.0</v>
      </c>
      <c r="C1075" s="1" t="s">
        <v>36</v>
      </c>
      <c r="D1075" s="4">
        <v>8.0</v>
      </c>
      <c r="E1075" s="4">
        <v>5.0</v>
      </c>
      <c r="F1075" s="4">
        <v>4.0</v>
      </c>
      <c r="G1075" s="4">
        <v>1.0</v>
      </c>
      <c r="H1075" s="4">
        <v>0.0</v>
      </c>
      <c r="I1075" s="4">
        <v>21.0</v>
      </c>
      <c r="J1075" s="4">
        <v>11.0</v>
      </c>
      <c r="K1075" s="4">
        <v>10.0</v>
      </c>
      <c r="L1075" s="2" t="s">
        <v>317</v>
      </c>
      <c r="M1075" s="5">
        <f>IFERROR(__xludf.DUMMYFUNCTION("""COMPUTED_VALUE"""),14.0)</f>
        <v>14</v>
      </c>
      <c r="N1075" s="5">
        <f>IFERROR(__xludf.DUMMYFUNCTION("""COMPUTED_VALUE"""),7.0)</f>
        <v>7</v>
      </c>
      <c r="O1075" s="5">
        <f>IFERROR(__xludf.DUMMYFUNCTION("""COMPUTED_VALUE"""),2.0)</f>
        <v>2</v>
      </c>
    </row>
    <row r="1076">
      <c r="A1076" s="1" t="s">
        <v>465</v>
      </c>
      <c r="B1076" s="4">
        <v>41.0</v>
      </c>
      <c r="C1076" s="1" t="s">
        <v>54</v>
      </c>
      <c r="D1076" s="4">
        <v>8.0</v>
      </c>
      <c r="E1076" s="4">
        <v>5.0</v>
      </c>
      <c r="F1076" s="4">
        <v>4.0</v>
      </c>
      <c r="G1076" s="4">
        <v>1.0</v>
      </c>
      <c r="H1076" s="4">
        <v>0.0</v>
      </c>
      <c r="I1076" s="4">
        <v>15.0</v>
      </c>
      <c r="J1076" s="4">
        <v>7.0</v>
      </c>
      <c r="K1076" s="4">
        <v>8.0</v>
      </c>
      <c r="L1076" s="2" t="s">
        <v>473</v>
      </c>
      <c r="M1076" s="5">
        <f>IFERROR(__xludf.DUMMYFUNCTION("""COMPUTED_VALUE"""),13.0)</f>
        <v>13</v>
      </c>
      <c r="N1076" s="5">
        <f>IFERROR(__xludf.DUMMYFUNCTION("""COMPUTED_VALUE"""),7.0)</f>
        <v>7</v>
      </c>
      <c r="O1076" s="5">
        <f>IFERROR(__xludf.DUMMYFUNCTION("""COMPUTED_VALUE"""),4.0)</f>
        <v>4</v>
      </c>
    </row>
    <row r="1077">
      <c r="A1077" s="1" t="s">
        <v>465</v>
      </c>
      <c r="B1077" s="4">
        <v>42.0</v>
      </c>
      <c r="C1077" s="1" t="s">
        <v>73</v>
      </c>
      <c r="D1077" s="4">
        <v>8.0</v>
      </c>
      <c r="E1077" s="4">
        <v>6.0</v>
      </c>
      <c r="F1077" s="4">
        <v>4.0</v>
      </c>
      <c r="G1077" s="4">
        <v>2.0</v>
      </c>
      <c r="H1077" s="4">
        <v>0.0</v>
      </c>
      <c r="I1077" s="4">
        <v>23.0</v>
      </c>
      <c r="J1077" s="4">
        <v>22.0</v>
      </c>
      <c r="K1077" s="4">
        <v>1.0</v>
      </c>
      <c r="L1077" s="2" t="s">
        <v>89</v>
      </c>
      <c r="M1077" s="5">
        <f>IFERROR(__xludf.DUMMYFUNCTION("""COMPUTED_VALUE"""),12.0)</f>
        <v>12</v>
      </c>
      <c r="N1077" s="5">
        <f>IFERROR(__xludf.DUMMYFUNCTION("""COMPUTED_VALUE"""),10.0)</f>
        <v>10</v>
      </c>
      <c r="O1077" s="5">
        <f>IFERROR(__xludf.DUMMYFUNCTION("""COMPUTED_VALUE"""),2001.0)</f>
        <v>2001</v>
      </c>
    </row>
    <row r="1078">
      <c r="A1078" s="1" t="s">
        <v>465</v>
      </c>
      <c r="B1078" s="4">
        <v>43.0</v>
      </c>
      <c r="C1078" s="1" t="s">
        <v>368</v>
      </c>
      <c r="D1078" s="4">
        <v>8.0</v>
      </c>
      <c r="E1078" s="4">
        <v>8.0</v>
      </c>
      <c r="F1078" s="4">
        <v>4.0</v>
      </c>
      <c r="G1078" s="4">
        <v>4.0</v>
      </c>
      <c r="H1078" s="4">
        <v>0.0</v>
      </c>
      <c r="I1078" s="4">
        <v>22.0</v>
      </c>
      <c r="J1078" s="4">
        <v>22.0</v>
      </c>
      <c r="K1078" s="4">
        <v>0.0</v>
      </c>
      <c r="L1078" s="2" t="s">
        <v>213</v>
      </c>
      <c r="M1078" s="5">
        <f>IFERROR(__xludf.DUMMYFUNCTION("""COMPUTED_VALUE"""),12.0)</f>
        <v>12</v>
      </c>
      <c r="N1078" s="5">
        <f>IFERROR(__xludf.DUMMYFUNCTION("""COMPUTED_VALUE"""),9.0)</f>
        <v>9</v>
      </c>
      <c r="O1078" s="5">
        <f>IFERROR(__xludf.DUMMYFUNCTION("""COMPUTED_VALUE"""),2000.0)</f>
        <v>2000</v>
      </c>
    </row>
    <row r="1079">
      <c r="A1079" s="1" t="s">
        <v>465</v>
      </c>
      <c r="B1079" s="4">
        <v>44.0</v>
      </c>
      <c r="C1079" s="1" t="s">
        <v>34</v>
      </c>
      <c r="D1079" s="4">
        <v>8.0</v>
      </c>
      <c r="E1079" s="4">
        <v>10.0</v>
      </c>
      <c r="F1079" s="4">
        <v>4.0</v>
      </c>
      <c r="G1079" s="4">
        <v>6.0</v>
      </c>
      <c r="H1079" s="4">
        <v>0.0</v>
      </c>
      <c r="I1079" s="4">
        <v>31.0</v>
      </c>
      <c r="J1079" s="4">
        <v>39.0</v>
      </c>
      <c r="K1079" s="4">
        <v>-8.0</v>
      </c>
      <c r="L1079" s="2" t="s">
        <v>474</v>
      </c>
      <c r="M1079" s="5">
        <f>IFERROR(__xludf.DUMMYFUNCTION("""COMPUTED_VALUE"""),9.0)</f>
        <v>9</v>
      </c>
      <c r="N1079" s="5">
        <f>IFERROR(__xludf.DUMMYFUNCTION("""COMPUTED_VALUE"""),9.0)</f>
        <v>9</v>
      </c>
      <c r="O1079" s="5">
        <f>IFERROR(__xludf.DUMMYFUNCTION("""COMPUTED_VALUE"""),2001.0)</f>
        <v>2001</v>
      </c>
    </row>
    <row r="1080">
      <c r="A1080" s="1" t="s">
        <v>465</v>
      </c>
      <c r="B1080" s="4">
        <v>45.0</v>
      </c>
      <c r="C1080" s="1" t="s">
        <v>128</v>
      </c>
      <c r="D1080" s="4">
        <v>8.0</v>
      </c>
      <c r="E1080" s="4">
        <v>10.0</v>
      </c>
      <c r="F1080" s="4">
        <v>3.0</v>
      </c>
      <c r="G1080" s="4">
        <v>5.0</v>
      </c>
      <c r="H1080" s="4">
        <v>2.0</v>
      </c>
      <c r="I1080" s="4">
        <v>22.0</v>
      </c>
      <c r="J1080" s="4">
        <v>43.0</v>
      </c>
      <c r="K1080" s="4">
        <v>-21.0</v>
      </c>
      <c r="L1080" s="2" t="s">
        <v>383</v>
      </c>
      <c r="M1080" s="5">
        <f>IFERROR(__xludf.DUMMYFUNCTION("""COMPUTED_VALUE"""),13.0)</f>
        <v>13</v>
      </c>
      <c r="N1080" s="5">
        <f>IFERROR(__xludf.DUMMYFUNCTION("""COMPUTED_VALUE"""),8.0)</f>
        <v>8</v>
      </c>
      <c r="O1080" s="5">
        <f>IFERROR(__xludf.DUMMYFUNCTION("""COMPUTED_VALUE"""),2.0)</f>
        <v>2</v>
      </c>
    </row>
    <row r="1081">
      <c r="A1081" s="1" t="s">
        <v>465</v>
      </c>
      <c r="B1081" s="4">
        <v>46.0</v>
      </c>
      <c r="C1081" s="1" t="s">
        <v>398</v>
      </c>
      <c r="D1081" s="4">
        <v>7.0</v>
      </c>
      <c r="E1081" s="4">
        <v>10.0</v>
      </c>
      <c r="F1081" s="4">
        <v>3.0</v>
      </c>
      <c r="G1081" s="4">
        <v>6.0</v>
      </c>
      <c r="H1081" s="4">
        <v>1.0</v>
      </c>
      <c r="I1081" s="4">
        <v>22.0</v>
      </c>
      <c r="J1081" s="4">
        <v>40.0</v>
      </c>
      <c r="K1081" s="4">
        <v>-18.0</v>
      </c>
      <c r="L1081" s="2" t="s">
        <v>223</v>
      </c>
      <c r="M1081" s="5">
        <f>IFERROR(__xludf.DUMMYFUNCTION("""COMPUTED_VALUE"""),7.0)</f>
        <v>7</v>
      </c>
      <c r="N1081" s="5">
        <f>IFERROR(__xludf.DUMMYFUNCTION("""COMPUTED_VALUE"""),15.0)</f>
        <v>15</v>
      </c>
      <c r="O1081" s="5">
        <f>IFERROR(__xludf.DUMMYFUNCTION("""COMPUTED_VALUE"""),2001.0)</f>
        <v>2001</v>
      </c>
    </row>
    <row r="1082">
      <c r="A1082" s="1" t="s">
        <v>465</v>
      </c>
      <c r="B1082" s="4">
        <v>47.0</v>
      </c>
      <c r="C1082" s="1" t="s">
        <v>96</v>
      </c>
      <c r="D1082" s="4">
        <v>6.0</v>
      </c>
      <c r="E1082" s="4">
        <v>5.0</v>
      </c>
      <c r="F1082" s="4">
        <v>3.0</v>
      </c>
      <c r="G1082" s="4">
        <v>2.0</v>
      </c>
      <c r="H1082" s="4">
        <v>0.0</v>
      </c>
      <c r="I1082" s="4">
        <v>19.0</v>
      </c>
      <c r="J1082" s="4">
        <v>12.0</v>
      </c>
      <c r="K1082" s="4">
        <v>7.0</v>
      </c>
      <c r="L1082" s="2" t="s">
        <v>40</v>
      </c>
      <c r="M1082" s="5">
        <f>IFERROR(__xludf.DUMMYFUNCTION("""COMPUTED_VALUE"""),17.0)</f>
        <v>17</v>
      </c>
      <c r="N1082" s="5">
        <f>IFERROR(__xludf.DUMMYFUNCTION("""COMPUTED_VALUE"""),6.0)</f>
        <v>6</v>
      </c>
      <c r="O1082" s="5">
        <f>IFERROR(__xludf.DUMMYFUNCTION("""COMPUTED_VALUE"""),1.0)</f>
        <v>1</v>
      </c>
    </row>
    <row r="1083">
      <c r="A1083" s="1" t="s">
        <v>465</v>
      </c>
      <c r="B1083" s="4">
        <v>48.0</v>
      </c>
      <c r="C1083" s="1" t="s">
        <v>101</v>
      </c>
      <c r="D1083" s="4">
        <v>6.0</v>
      </c>
      <c r="E1083" s="4">
        <v>8.0</v>
      </c>
      <c r="F1083" s="4">
        <v>3.0</v>
      </c>
      <c r="G1083" s="4">
        <v>5.0</v>
      </c>
      <c r="H1083" s="4">
        <v>0.0</v>
      </c>
      <c r="I1083" s="4">
        <v>36.0</v>
      </c>
      <c r="J1083" s="4">
        <v>30.0</v>
      </c>
      <c r="K1083" s="4">
        <v>6.0</v>
      </c>
      <c r="L1083" s="2" t="s">
        <v>321</v>
      </c>
      <c r="M1083" s="5">
        <f>IFERROR(__xludf.DUMMYFUNCTION("""COMPUTED_VALUE"""),9.0)</f>
        <v>9</v>
      </c>
      <c r="N1083" s="5">
        <f>IFERROR(__xludf.DUMMYFUNCTION("""COMPUTED_VALUE"""),14.0)</f>
        <v>14</v>
      </c>
      <c r="O1083" s="5">
        <f>IFERROR(__xludf.DUMMYFUNCTION("""COMPUTED_VALUE"""),2001.0)</f>
        <v>2001</v>
      </c>
    </row>
    <row r="1084">
      <c r="A1084" s="1" t="s">
        <v>465</v>
      </c>
      <c r="B1084" s="4">
        <v>49.0</v>
      </c>
      <c r="C1084" s="1" t="s">
        <v>122</v>
      </c>
      <c r="D1084" s="4">
        <v>6.0</v>
      </c>
      <c r="E1084" s="4">
        <v>6.0</v>
      </c>
      <c r="F1084" s="4">
        <v>3.0</v>
      </c>
      <c r="G1084" s="4">
        <v>3.0</v>
      </c>
      <c r="H1084" s="4">
        <v>0.0</v>
      </c>
      <c r="I1084" s="4">
        <v>20.0</v>
      </c>
      <c r="J1084" s="4">
        <v>18.0</v>
      </c>
      <c r="K1084" s="4">
        <v>2.0</v>
      </c>
      <c r="L1084" s="2" t="s">
        <v>475</v>
      </c>
      <c r="M1084" s="5">
        <f>IFERROR(__xludf.DUMMYFUNCTION("""COMPUTED_VALUE"""),12.0)</f>
        <v>12</v>
      </c>
      <c r="N1084" s="5">
        <f>IFERROR(__xludf.DUMMYFUNCTION("""COMPUTED_VALUE"""),6.0)</f>
        <v>6</v>
      </c>
      <c r="O1084" s="5">
        <f>IFERROR(__xludf.DUMMYFUNCTION("""COMPUTED_VALUE"""),2001.0)</f>
        <v>2001</v>
      </c>
    </row>
    <row r="1085">
      <c r="A1085" s="1" t="s">
        <v>465</v>
      </c>
      <c r="B1085" s="4">
        <v>50.0</v>
      </c>
      <c r="C1085" s="1" t="s">
        <v>33</v>
      </c>
      <c r="D1085" s="4">
        <v>6.0</v>
      </c>
      <c r="E1085" s="4">
        <v>6.0</v>
      </c>
      <c r="F1085" s="4">
        <v>3.0</v>
      </c>
      <c r="G1085" s="4">
        <v>3.0</v>
      </c>
      <c r="H1085" s="4">
        <v>0.0</v>
      </c>
      <c r="I1085" s="4">
        <v>26.0</v>
      </c>
      <c r="J1085" s="4">
        <v>24.0</v>
      </c>
      <c r="K1085" s="4">
        <v>2.0</v>
      </c>
      <c r="L1085" s="2" t="s">
        <v>328</v>
      </c>
      <c r="M1085" s="5">
        <f>IFERROR(__xludf.DUMMYFUNCTION("""COMPUTED_VALUE"""),8.0)</f>
        <v>8</v>
      </c>
      <c r="N1085" s="5">
        <f>IFERROR(__xludf.DUMMYFUNCTION("""COMPUTED_VALUE"""),14.0)</f>
        <v>14</v>
      </c>
      <c r="O1085" s="5">
        <f>IFERROR(__xludf.DUMMYFUNCTION("""COMPUTED_VALUE"""),2001.0)</f>
        <v>2001</v>
      </c>
    </row>
    <row r="1086">
      <c r="A1086" s="1" t="s">
        <v>465</v>
      </c>
      <c r="B1086" s="4">
        <v>51.0</v>
      </c>
      <c r="C1086" s="1" t="s">
        <v>56</v>
      </c>
      <c r="D1086" s="4">
        <v>6.0</v>
      </c>
      <c r="E1086" s="4">
        <v>8.0</v>
      </c>
      <c r="F1086" s="4">
        <v>3.0</v>
      </c>
      <c r="G1086" s="4">
        <v>5.0</v>
      </c>
      <c r="H1086" s="4">
        <v>0.0</v>
      </c>
      <c r="I1086" s="4">
        <v>28.0</v>
      </c>
      <c r="J1086" s="4">
        <v>30.0</v>
      </c>
      <c r="K1086" s="4">
        <v>-2.0</v>
      </c>
      <c r="L1086" s="2" t="s">
        <v>456</v>
      </c>
      <c r="M1086" s="5">
        <f>IFERROR(__xludf.DUMMYFUNCTION("""COMPUTED_VALUE"""),6.0)</f>
        <v>6</v>
      </c>
      <c r="N1086" s="5">
        <f>IFERROR(__xludf.DUMMYFUNCTION("""COMPUTED_VALUE"""),15.0)</f>
        <v>15</v>
      </c>
      <c r="O1086" s="5">
        <f>IFERROR(__xludf.DUMMYFUNCTION("""COMPUTED_VALUE"""),2001.0)</f>
        <v>2001</v>
      </c>
    </row>
    <row r="1087">
      <c r="A1087" s="1" t="s">
        <v>465</v>
      </c>
      <c r="B1087" s="4">
        <v>52.0</v>
      </c>
      <c r="C1087" s="1" t="s">
        <v>39</v>
      </c>
      <c r="D1087" s="4">
        <v>6.0</v>
      </c>
      <c r="E1087" s="4">
        <v>8.0</v>
      </c>
      <c r="F1087" s="4">
        <v>3.0</v>
      </c>
      <c r="G1087" s="4">
        <v>5.0</v>
      </c>
      <c r="H1087" s="4">
        <v>0.0</v>
      </c>
      <c r="I1087" s="4">
        <v>14.0</v>
      </c>
      <c r="J1087" s="4">
        <v>18.0</v>
      </c>
      <c r="K1087" s="4">
        <v>-4.0</v>
      </c>
      <c r="L1087" s="2" t="s">
        <v>350</v>
      </c>
      <c r="M1087" s="5">
        <f>IFERROR(__xludf.DUMMYFUNCTION("""COMPUTED_VALUE"""),10.0)</f>
        <v>10</v>
      </c>
      <c r="N1087" s="5">
        <f>IFERROR(__xludf.DUMMYFUNCTION("""COMPUTED_VALUE"""),10.0)</f>
        <v>10</v>
      </c>
      <c r="O1087" s="5">
        <f>IFERROR(__xludf.DUMMYFUNCTION("""COMPUTED_VALUE"""),2001.0)</f>
        <v>2001</v>
      </c>
    </row>
    <row r="1088">
      <c r="A1088" s="1" t="s">
        <v>465</v>
      </c>
      <c r="B1088" s="4">
        <v>53.0</v>
      </c>
      <c r="C1088" s="1" t="s">
        <v>41</v>
      </c>
      <c r="D1088" s="4">
        <v>6.0</v>
      </c>
      <c r="E1088" s="4">
        <v>9.0</v>
      </c>
      <c r="F1088" s="4">
        <v>3.0</v>
      </c>
      <c r="G1088" s="4">
        <v>6.0</v>
      </c>
      <c r="H1088" s="4">
        <v>0.0</v>
      </c>
      <c r="I1088" s="4">
        <v>28.0</v>
      </c>
      <c r="J1088" s="4">
        <v>38.0</v>
      </c>
      <c r="K1088" s="4">
        <v>-10.0</v>
      </c>
      <c r="L1088" s="2" t="s">
        <v>451</v>
      </c>
      <c r="M1088" s="5">
        <f>IFERROR(__xludf.DUMMYFUNCTION("""COMPUTED_VALUE"""),9.0)</f>
        <v>9</v>
      </c>
      <c r="N1088" s="5">
        <f>IFERROR(__xludf.DUMMYFUNCTION("""COMPUTED_VALUE"""),12.0)</f>
        <v>12</v>
      </c>
      <c r="O1088" s="5">
        <f>IFERROR(__xludf.DUMMYFUNCTION("""COMPUTED_VALUE"""),2001.0)</f>
        <v>2001</v>
      </c>
    </row>
    <row r="1089">
      <c r="A1089" s="1" t="s">
        <v>465</v>
      </c>
      <c r="B1089" s="4">
        <v>54.0</v>
      </c>
      <c r="C1089" s="1" t="s">
        <v>113</v>
      </c>
      <c r="D1089" s="4">
        <v>6.0</v>
      </c>
      <c r="E1089" s="4">
        <v>10.0</v>
      </c>
      <c r="F1089" s="4">
        <v>2.0</v>
      </c>
      <c r="G1089" s="4">
        <v>6.0</v>
      </c>
      <c r="H1089" s="4">
        <v>2.0</v>
      </c>
      <c r="I1089" s="4">
        <v>21.0</v>
      </c>
      <c r="J1089" s="4">
        <v>35.0</v>
      </c>
      <c r="K1089" s="4">
        <v>-14.0</v>
      </c>
      <c r="L1089" s="2" t="s">
        <v>476</v>
      </c>
      <c r="M1089" s="5">
        <f>IFERROR(__xludf.DUMMYFUNCTION("""COMPUTED_VALUE"""),7.0)</f>
        <v>7</v>
      </c>
      <c r="N1089" s="5">
        <f>IFERROR(__xludf.DUMMYFUNCTION("""COMPUTED_VALUE"""),11.0)</f>
        <v>11</v>
      </c>
      <c r="O1089" s="5">
        <f>IFERROR(__xludf.DUMMYFUNCTION("""COMPUTED_VALUE"""),2004.0)</f>
        <v>2004</v>
      </c>
    </row>
    <row r="1090">
      <c r="A1090" s="1" t="s">
        <v>465</v>
      </c>
      <c r="B1090" s="4">
        <v>55.0</v>
      </c>
      <c r="C1090" s="1" t="s">
        <v>413</v>
      </c>
      <c r="D1090" s="4">
        <v>6.0</v>
      </c>
      <c r="E1090" s="4">
        <v>11.0</v>
      </c>
      <c r="F1090" s="4">
        <v>3.0</v>
      </c>
      <c r="G1090" s="4">
        <v>8.0</v>
      </c>
      <c r="H1090" s="4">
        <v>0.0</v>
      </c>
      <c r="I1090" s="4">
        <v>26.0</v>
      </c>
      <c r="J1090" s="4">
        <v>42.0</v>
      </c>
      <c r="K1090" s="4">
        <v>-16.0</v>
      </c>
      <c r="L1090" s="2" t="s">
        <v>228</v>
      </c>
      <c r="M1090" s="5">
        <f>IFERROR(__xludf.DUMMYFUNCTION("""COMPUTED_VALUE"""),5.0)</f>
        <v>5</v>
      </c>
      <c r="N1090" s="5">
        <f>IFERROR(__xludf.DUMMYFUNCTION("""COMPUTED_VALUE"""),17.0)</f>
        <v>17</v>
      </c>
      <c r="O1090" s="5">
        <f>IFERROR(__xludf.DUMMYFUNCTION("""COMPUTED_VALUE"""),2000.0)</f>
        <v>2000</v>
      </c>
    </row>
    <row r="1091">
      <c r="A1091" s="1" t="s">
        <v>465</v>
      </c>
      <c r="B1091" s="4">
        <v>56.0</v>
      </c>
      <c r="C1091" s="1" t="s">
        <v>146</v>
      </c>
      <c r="D1091" s="4">
        <v>6.0</v>
      </c>
      <c r="E1091" s="4">
        <v>14.0</v>
      </c>
      <c r="F1091" s="4">
        <v>3.0</v>
      </c>
      <c r="G1091" s="4">
        <v>11.0</v>
      </c>
      <c r="H1091" s="4">
        <v>0.0</v>
      </c>
      <c r="I1091" s="4">
        <v>36.0</v>
      </c>
      <c r="J1091" s="4">
        <v>70.0</v>
      </c>
      <c r="K1091" s="4">
        <v>-34.0</v>
      </c>
      <c r="L1091" s="2" t="s">
        <v>107</v>
      </c>
      <c r="M1091" s="5">
        <f>IFERROR(__xludf.DUMMYFUNCTION("""COMPUTED_VALUE"""),5.0)</f>
        <v>5</v>
      </c>
      <c r="N1091" s="5">
        <f>IFERROR(__xludf.DUMMYFUNCTION("""COMPUTED_VALUE"""),19.0)</f>
        <v>19</v>
      </c>
      <c r="O1091" s="5">
        <f>IFERROR(__xludf.DUMMYFUNCTION("""COMPUTED_VALUE"""),2000.0)</f>
        <v>2000</v>
      </c>
    </row>
    <row r="1092">
      <c r="A1092" s="1" t="s">
        <v>465</v>
      </c>
      <c r="B1092" s="4">
        <v>57.0</v>
      </c>
      <c r="C1092" s="1" t="s">
        <v>90</v>
      </c>
      <c r="D1092" s="4">
        <v>5.0</v>
      </c>
      <c r="E1092" s="4">
        <v>10.0</v>
      </c>
      <c r="F1092" s="4">
        <v>2.0</v>
      </c>
      <c r="G1092" s="4">
        <v>7.0</v>
      </c>
      <c r="H1092" s="4">
        <v>1.0</v>
      </c>
      <c r="I1092" s="4">
        <v>23.0</v>
      </c>
      <c r="J1092" s="4">
        <v>30.0</v>
      </c>
      <c r="K1092" s="4">
        <v>-7.0</v>
      </c>
      <c r="L1092" s="2" t="s">
        <v>477</v>
      </c>
      <c r="M1092" s="5">
        <f>IFERROR(__xludf.DUMMYFUNCTION("""COMPUTED_VALUE"""),7.0)</f>
        <v>7</v>
      </c>
      <c r="N1092" s="5">
        <f>IFERROR(__xludf.DUMMYFUNCTION("""COMPUTED_VALUE"""),9.0)</f>
        <v>9</v>
      </c>
      <c r="O1092" s="5">
        <f>IFERROR(__xludf.DUMMYFUNCTION("""COMPUTED_VALUE"""),2002.0)</f>
        <v>2002</v>
      </c>
    </row>
    <row r="1093">
      <c r="A1093" s="1" t="s">
        <v>465</v>
      </c>
      <c r="B1093" s="4">
        <v>58.0</v>
      </c>
      <c r="C1093" s="1" t="s">
        <v>126</v>
      </c>
      <c r="D1093" s="4">
        <v>4.0</v>
      </c>
      <c r="E1093" s="4">
        <v>2.0</v>
      </c>
      <c r="F1093" s="4">
        <v>2.0</v>
      </c>
      <c r="G1093" s="4">
        <v>0.0</v>
      </c>
      <c r="H1093" s="4">
        <v>0.0</v>
      </c>
      <c r="I1093" s="4">
        <v>20.0</v>
      </c>
      <c r="J1093" s="4">
        <v>10.0</v>
      </c>
      <c r="K1093" s="4">
        <v>10.0</v>
      </c>
      <c r="L1093" s="2" t="s">
        <v>478</v>
      </c>
      <c r="M1093" s="5">
        <f>IFERROR(__xludf.DUMMYFUNCTION("""COMPUTED_VALUE"""),6.0)</f>
        <v>6</v>
      </c>
      <c r="N1093" s="5">
        <f>IFERROR(__xludf.DUMMYFUNCTION("""COMPUTED_VALUE"""),12.0)</f>
        <v>12</v>
      </c>
      <c r="O1093" s="5">
        <f>IFERROR(__xludf.DUMMYFUNCTION("""COMPUTED_VALUE"""),2001.0)</f>
        <v>2001</v>
      </c>
    </row>
    <row r="1094">
      <c r="A1094" s="1" t="s">
        <v>465</v>
      </c>
      <c r="B1094" s="4">
        <v>59.0</v>
      </c>
      <c r="C1094" s="1" t="s">
        <v>31</v>
      </c>
      <c r="D1094" s="4">
        <v>4.0</v>
      </c>
      <c r="E1094" s="4">
        <v>5.0</v>
      </c>
      <c r="F1094" s="4">
        <v>2.0</v>
      </c>
      <c r="G1094" s="4">
        <v>3.0</v>
      </c>
      <c r="H1094" s="4">
        <v>0.0</v>
      </c>
      <c r="I1094" s="4">
        <v>10.0</v>
      </c>
      <c r="J1094" s="4">
        <v>14.0</v>
      </c>
      <c r="K1094" s="4">
        <v>-4.0</v>
      </c>
      <c r="L1094" s="2" t="s">
        <v>120</v>
      </c>
      <c r="M1094" s="5">
        <f>IFERROR(__xludf.DUMMYFUNCTION("""COMPUTED_VALUE"""),7.0)</f>
        <v>7</v>
      </c>
      <c r="N1094" s="5">
        <f>IFERROR(__xludf.DUMMYFUNCTION("""COMPUTED_VALUE"""),16.0)</f>
        <v>16</v>
      </c>
      <c r="O1094" s="5">
        <f>IFERROR(__xludf.DUMMYFUNCTION("""COMPUTED_VALUE"""),2000.0)</f>
        <v>2000</v>
      </c>
    </row>
    <row r="1095">
      <c r="A1095" s="1" t="s">
        <v>465</v>
      </c>
      <c r="B1095" s="4">
        <v>60.0</v>
      </c>
      <c r="C1095" s="1" t="s">
        <v>60</v>
      </c>
      <c r="D1095" s="4">
        <v>4.0</v>
      </c>
      <c r="E1095" s="4">
        <v>6.0</v>
      </c>
      <c r="F1095" s="4">
        <v>2.0</v>
      </c>
      <c r="G1095" s="4">
        <v>4.0</v>
      </c>
      <c r="H1095" s="4">
        <v>0.0</v>
      </c>
      <c r="I1095" s="4">
        <v>15.0</v>
      </c>
      <c r="J1095" s="4">
        <v>20.0</v>
      </c>
      <c r="K1095" s="4">
        <v>-5.0</v>
      </c>
      <c r="L1095" s="2" t="s">
        <v>218</v>
      </c>
      <c r="M1095" s="5">
        <f>IFERROR(__xludf.DUMMYFUNCTION("""COMPUTED_VALUE"""),12.0)</f>
        <v>12</v>
      </c>
      <c r="N1095" s="5">
        <f>IFERROR(__xludf.DUMMYFUNCTION("""COMPUTED_VALUE"""),11.0)</f>
        <v>11</v>
      </c>
      <c r="O1095" s="5">
        <f>IFERROR(__xludf.DUMMYFUNCTION("""COMPUTED_VALUE"""),2000.0)</f>
        <v>2000</v>
      </c>
    </row>
    <row r="1096">
      <c r="A1096" s="1" t="s">
        <v>465</v>
      </c>
      <c r="B1096" s="4">
        <v>61.0</v>
      </c>
      <c r="C1096" s="1" t="s">
        <v>69</v>
      </c>
      <c r="D1096" s="4">
        <v>4.0</v>
      </c>
      <c r="E1096" s="4">
        <v>6.0</v>
      </c>
      <c r="F1096" s="4">
        <v>2.0</v>
      </c>
      <c r="G1096" s="4">
        <v>4.0</v>
      </c>
      <c r="H1096" s="4">
        <v>0.0</v>
      </c>
      <c r="I1096" s="4">
        <v>16.0</v>
      </c>
      <c r="J1096" s="4">
        <v>28.0</v>
      </c>
      <c r="K1096" s="4">
        <v>-12.0</v>
      </c>
      <c r="L1096" s="2" t="s">
        <v>432</v>
      </c>
      <c r="M1096" s="5">
        <f>IFERROR(__xludf.DUMMYFUNCTION("""COMPUTED_VALUE"""),10.0)</f>
        <v>10</v>
      </c>
      <c r="N1096" s="5">
        <f>IFERROR(__xludf.DUMMYFUNCTION("""COMPUTED_VALUE"""),11.0)</f>
        <v>11</v>
      </c>
      <c r="O1096" s="5">
        <f>IFERROR(__xludf.DUMMYFUNCTION("""COMPUTED_VALUE"""),2001.0)</f>
        <v>2001</v>
      </c>
    </row>
    <row r="1097">
      <c r="A1097" s="1" t="s">
        <v>465</v>
      </c>
      <c r="B1097" s="4">
        <v>62.0</v>
      </c>
      <c r="C1097" s="1" t="s">
        <v>52</v>
      </c>
      <c r="D1097" s="4">
        <v>4.0</v>
      </c>
      <c r="E1097" s="4">
        <v>12.0</v>
      </c>
      <c r="F1097" s="4">
        <v>2.0</v>
      </c>
      <c r="G1097" s="4">
        <v>10.0</v>
      </c>
      <c r="H1097" s="4">
        <v>0.0</v>
      </c>
      <c r="I1097" s="4">
        <v>45.0</v>
      </c>
      <c r="J1097" s="4">
        <v>62.0</v>
      </c>
      <c r="K1097" s="4">
        <v>-17.0</v>
      </c>
      <c r="L1097" s="2" t="s">
        <v>87</v>
      </c>
      <c r="M1097" s="5">
        <f>IFERROR(__xludf.DUMMYFUNCTION("""COMPUTED_VALUE"""),8.0)</f>
        <v>8</v>
      </c>
      <c r="N1097" s="5">
        <f>IFERROR(__xludf.DUMMYFUNCTION("""COMPUTED_VALUE"""),16.0)</f>
        <v>16</v>
      </c>
      <c r="O1097" s="5">
        <f>IFERROR(__xludf.DUMMYFUNCTION("""COMPUTED_VALUE"""),2000.0)</f>
        <v>2000</v>
      </c>
    </row>
    <row r="1098">
      <c r="A1098" s="1" t="s">
        <v>465</v>
      </c>
      <c r="B1098" s="4">
        <v>63.0</v>
      </c>
      <c r="C1098" s="1" t="s">
        <v>116</v>
      </c>
      <c r="D1098" s="4">
        <v>4.0</v>
      </c>
      <c r="E1098" s="4">
        <v>9.0</v>
      </c>
      <c r="F1098" s="4">
        <v>2.0</v>
      </c>
      <c r="G1098" s="4">
        <v>7.0</v>
      </c>
      <c r="H1098" s="4">
        <v>0.0</v>
      </c>
      <c r="I1098" s="4">
        <v>21.0</v>
      </c>
      <c r="J1098" s="4">
        <v>49.0</v>
      </c>
      <c r="K1098" s="4">
        <v>-28.0</v>
      </c>
      <c r="L1098" s="2" t="s">
        <v>187</v>
      </c>
      <c r="M1098" s="5">
        <f>IFERROR(__xludf.DUMMYFUNCTION("""COMPUTED_VALUE"""),6.0)</f>
        <v>6</v>
      </c>
      <c r="N1098" s="5">
        <f>IFERROR(__xludf.DUMMYFUNCTION("""COMPUTED_VALUE"""),16.0)</f>
        <v>16</v>
      </c>
      <c r="O1098" s="5">
        <f>IFERROR(__xludf.DUMMYFUNCTION("""COMPUTED_VALUE"""),2000.0)</f>
        <v>2000</v>
      </c>
    </row>
    <row r="1099">
      <c r="A1099" s="1" t="s">
        <v>465</v>
      </c>
      <c r="B1099" s="4">
        <v>64.0</v>
      </c>
      <c r="C1099" s="1" t="s">
        <v>98</v>
      </c>
      <c r="D1099" s="4">
        <v>2.0</v>
      </c>
      <c r="E1099" s="4">
        <v>1.0</v>
      </c>
      <c r="F1099" s="4">
        <v>1.0</v>
      </c>
      <c r="G1099" s="4">
        <v>0.0</v>
      </c>
      <c r="H1099" s="4">
        <v>0.0</v>
      </c>
      <c r="I1099" s="4">
        <v>5.0</v>
      </c>
      <c r="J1099" s="4">
        <v>3.0</v>
      </c>
      <c r="K1099" s="4">
        <v>2.0</v>
      </c>
      <c r="L1099" s="2" t="s">
        <v>40</v>
      </c>
      <c r="M1099" s="5">
        <f>IFERROR(__xludf.DUMMYFUNCTION("""COMPUTED_VALUE"""),17.0)</f>
        <v>17</v>
      </c>
      <c r="N1099" s="5">
        <f>IFERROR(__xludf.DUMMYFUNCTION("""COMPUTED_VALUE"""),6.0)</f>
        <v>6</v>
      </c>
      <c r="O1099" s="5">
        <f>IFERROR(__xludf.DUMMYFUNCTION("""COMPUTED_VALUE"""),1.0)</f>
        <v>1</v>
      </c>
    </row>
    <row r="1100">
      <c r="A1100" s="1" t="s">
        <v>465</v>
      </c>
      <c r="B1100" s="4">
        <v>65.0</v>
      </c>
      <c r="C1100" s="1" t="s">
        <v>149</v>
      </c>
      <c r="D1100" s="4">
        <v>2.0</v>
      </c>
      <c r="E1100" s="4">
        <v>2.0</v>
      </c>
      <c r="F1100" s="4">
        <v>1.0</v>
      </c>
      <c r="G1100" s="4">
        <v>1.0</v>
      </c>
      <c r="H1100" s="4">
        <v>0.0</v>
      </c>
      <c r="I1100" s="4">
        <v>5.0</v>
      </c>
      <c r="J1100" s="4">
        <v>5.0</v>
      </c>
      <c r="K1100" s="4">
        <v>0.0</v>
      </c>
      <c r="L1100" s="2" t="s">
        <v>317</v>
      </c>
      <c r="M1100" s="5">
        <f>IFERROR(__xludf.DUMMYFUNCTION("""COMPUTED_VALUE"""),14.0)</f>
        <v>14</v>
      </c>
      <c r="N1100" s="5">
        <f>IFERROR(__xludf.DUMMYFUNCTION("""COMPUTED_VALUE"""),7.0)</f>
        <v>7</v>
      </c>
      <c r="O1100" s="5">
        <f>IFERROR(__xludf.DUMMYFUNCTION("""COMPUTED_VALUE"""),2.0)</f>
        <v>2</v>
      </c>
    </row>
    <row r="1101">
      <c r="A1101" s="1" t="s">
        <v>465</v>
      </c>
      <c r="B1101" s="4">
        <v>66.0</v>
      </c>
      <c r="C1101" s="1" t="s">
        <v>103</v>
      </c>
      <c r="D1101" s="4">
        <v>2.0</v>
      </c>
      <c r="E1101" s="4">
        <v>6.0</v>
      </c>
      <c r="F1101" s="4">
        <v>1.0</v>
      </c>
      <c r="G1101" s="4">
        <v>5.0</v>
      </c>
      <c r="H1101" s="4">
        <v>0.0</v>
      </c>
      <c r="I1101" s="4">
        <v>20.0</v>
      </c>
      <c r="J1101" s="4">
        <v>29.0</v>
      </c>
      <c r="K1101" s="4">
        <v>-9.0</v>
      </c>
      <c r="L1101" s="2" t="s">
        <v>479</v>
      </c>
      <c r="M1101" s="5">
        <f>IFERROR(__xludf.DUMMYFUNCTION("""COMPUTED_VALUE"""),9.0)</f>
        <v>9</v>
      </c>
      <c r="N1101" s="5">
        <f>IFERROR(__xludf.DUMMYFUNCTION("""COMPUTED_VALUE"""),10.0)</f>
        <v>10</v>
      </c>
      <c r="O1101" s="5">
        <f>IFERROR(__xludf.DUMMYFUNCTION("""COMPUTED_VALUE"""),2001.0)</f>
        <v>2001</v>
      </c>
    </row>
    <row r="1102">
      <c r="A1102" s="1" t="s">
        <v>465</v>
      </c>
      <c r="B1102" s="4">
        <v>67.0</v>
      </c>
      <c r="C1102" s="1" t="s">
        <v>92</v>
      </c>
      <c r="D1102" s="4">
        <v>2.0</v>
      </c>
      <c r="E1102" s="4">
        <v>8.0</v>
      </c>
      <c r="F1102" s="4">
        <v>1.0</v>
      </c>
      <c r="G1102" s="4">
        <v>7.0</v>
      </c>
      <c r="H1102" s="4">
        <v>0.0</v>
      </c>
      <c r="I1102" s="4">
        <v>14.0</v>
      </c>
      <c r="J1102" s="4">
        <v>43.0</v>
      </c>
      <c r="K1102" s="4">
        <v>-29.0</v>
      </c>
      <c r="L1102" s="2" t="s">
        <v>334</v>
      </c>
      <c r="M1102" s="5">
        <f>IFERROR(__xludf.DUMMYFUNCTION("""COMPUTED_VALUE"""),3.0)</f>
        <v>3</v>
      </c>
      <c r="N1102" s="5">
        <f>IFERROR(__xludf.DUMMYFUNCTION("""COMPUTED_VALUE"""),20.0)</f>
        <v>20</v>
      </c>
      <c r="O1102" s="5">
        <f>IFERROR(__xludf.DUMMYFUNCTION("""COMPUTED_VALUE"""),2000.0)</f>
        <v>2000</v>
      </c>
    </row>
    <row r="1103">
      <c r="A1103" s="1" t="s">
        <v>465</v>
      </c>
      <c r="B1103" s="4">
        <v>68.0</v>
      </c>
      <c r="C1103" s="1" t="s">
        <v>99</v>
      </c>
      <c r="D1103" s="4">
        <v>2.0</v>
      </c>
      <c r="E1103" s="4">
        <v>7.0</v>
      </c>
      <c r="F1103" s="4">
        <v>1.0</v>
      </c>
      <c r="G1103" s="4">
        <v>6.0</v>
      </c>
      <c r="H1103" s="4">
        <v>0.0</v>
      </c>
      <c r="I1103" s="4">
        <v>8.0</v>
      </c>
      <c r="J1103" s="4">
        <v>38.0</v>
      </c>
      <c r="K1103" s="4">
        <v>-30.0</v>
      </c>
      <c r="L1103" s="2" t="s">
        <v>187</v>
      </c>
      <c r="M1103" s="5">
        <f>IFERROR(__xludf.DUMMYFUNCTION("""COMPUTED_VALUE"""),6.0)</f>
        <v>6</v>
      </c>
      <c r="N1103" s="5">
        <f>IFERROR(__xludf.DUMMYFUNCTION("""COMPUTED_VALUE"""),16.0)</f>
        <v>16</v>
      </c>
      <c r="O1103" s="5">
        <f>IFERROR(__xludf.DUMMYFUNCTION("""COMPUTED_VALUE"""),2000.0)</f>
        <v>2000</v>
      </c>
    </row>
    <row r="1104">
      <c r="A1104" s="1" t="s">
        <v>465</v>
      </c>
      <c r="B1104" s="4">
        <v>69.0</v>
      </c>
      <c r="C1104" s="1" t="s">
        <v>158</v>
      </c>
      <c r="D1104" s="4">
        <v>2.0</v>
      </c>
      <c r="E1104" s="4">
        <v>11.0</v>
      </c>
      <c r="F1104" s="4">
        <v>1.0</v>
      </c>
      <c r="G1104" s="4">
        <v>10.0</v>
      </c>
      <c r="H1104" s="4">
        <v>0.0</v>
      </c>
      <c r="I1104" s="4">
        <v>20.0</v>
      </c>
      <c r="J1104" s="4">
        <v>72.0</v>
      </c>
      <c r="K1104" s="4">
        <v>-52.0</v>
      </c>
      <c r="L1104" s="2" t="s">
        <v>480</v>
      </c>
      <c r="M1104" s="5">
        <f>IFERROR(__xludf.DUMMYFUNCTION("""COMPUTED_VALUE"""),5.0)</f>
        <v>5</v>
      </c>
      <c r="N1104" s="5">
        <f>IFERROR(__xludf.DUMMYFUNCTION("""COMPUTED_VALUE"""),16.0)</f>
        <v>16</v>
      </c>
      <c r="O1104" s="5">
        <f>IFERROR(__xludf.DUMMYFUNCTION("""COMPUTED_VALUE"""),2001.0)</f>
        <v>2001</v>
      </c>
    </row>
    <row r="1105">
      <c r="A1105" s="1" t="s">
        <v>465</v>
      </c>
      <c r="B1105" s="4">
        <v>70.0</v>
      </c>
      <c r="C1105" s="1" t="s">
        <v>156</v>
      </c>
      <c r="D1105" s="4">
        <v>2.0</v>
      </c>
      <c r="E1105" s="4">
        <v>15.0</v>
      </c>
      <c r="F1105" s="4">
        <v>1.0</v>
      </c>
      <c r="G1105" s="4">
        <v>14.0</v>
      </c>
      <c r="H1105" s="4">
        <v>0.0</v>
      </c>
      <c r="I1105" s="4">
        <v>21.0</v>
      </c>
      <c r="J1105" s="4">
        <v>101.0</v>
      </c>
      <c r="K1105" s="4">
        <v>-80.0</v>
      </c>
      <c r="L1105" s="2" t="s">
        <v>227</v>
      </c>
      <c r="M1105" s="5">
        <f>IFERROR(__xludf.DUMMYFUNCTION("""COMPUTED_VALUE"""),3.0)</f>
        <v>3</v>
      </c>
      <c r="N1105" s="5">
        <f>IFERROR(__xludf.DUMMYFUNCTION("""COMPUTED_VALUE"""),18.0)</f>
        <v>18</v>
      </c>
      <c r="O1105" s="5">
        <f>IFERROR(__xludf.DUMMYFUNCTION("""COMPUTED_VALUE"""),2000.0)</f>
        <v>2000</v>
      </c>
    </row>
    <row r="1106">
      <c r="A1106" s="1" t="s">
        <v>465</v>
      </c>
      <c r="B1106" s="4">
        <v>71.0</v>
      </c>
      <c r="C1106" s="1" t="s">
        <v>135</v>
      </c>
      <c r="D1106" s="4">
        <v>2.0</v>
      </c>
      <c r="E1106" s="4">
        <v>14.0</v>
      </c>
      <c r="F1106" s="4">
        <v>1.0</v>
      </c>
      <c r="G1106" s="4">
        <v>13.0</v>
      </c>
      <c r="H1106" s="4">
        <v>0.0</v>
      </c>
      <c r="I1106" s="4">
        <v>19.0</v>
      </c>
      <c r="J1106" s="4">
        <v>103.0</v>
      </c>
      <c r="K1106" s="4">
        <v>-84.0</v>
      </c>
      <c r="L1106" s="2" t="s">
        <v>196</v>
      </c>
      <c r="M1106" s="5">
        <f>IFERROR(__xludf.DUMMYFUNCTION("""COMPUTED_VALUE"""),3.0)</f>
        <v>3</v>
      </c>
      <c r="N1106" s="5">
        <f>IFERROR(__xludf.DUMMYFUNCTION("""COMPUTED_VALUE"""),19.0)</f>
        <v>19</v>
      </c>
      <c r="O1106" s="5">
        <f>IFERROR(__xludf.DUMMYFUNCTION("""COMPUTED_VALUE"""),2000.0)</f>
        <v>2000</v>
      </c>
    </row>
    <row r="1107">
      <c r="A1107" s="1" t="s">
        <v>465</v>
      </c>
      <c r="B1107" s="4">
        <v>72.0</v>
      </c>
      <c r="C1107" s="1" t="s">
        <v>154</v>
      </c>
      <c r="D1107" s="4">
        <v>0.0</v>
      </c>
      <c r="E1107" s="4">
        <v>0.0</v>
      </c>
      <c r="F1107" s="4">
        <v>0.0</v>
      </c>
      <c r="G1107" s="4">
        <v>0.0</v>
      </c>
      <c r="H1107" s="4">
        <v>0.0</v>
      </c>
      <c r="I1107" s="4">
        <v>0.0</v>
      </c>
      <c r="J1107" s="4">
        <v>0.0</v>
      </c>
      <c r="K1107" s="4">
        <v>0.0</v>
      </c>
      <c r="L1107" s="2" t="s">
        <v>285</v>
      </c>
      <c r="M1107" s="5">
        <f>IFERROR(__xludf.DUMMYFUNCTION("""COMPUTED_VALUE"""),0.0)</f>
        <v>0</v>
      </c>
      <c r="N1107" s="5">
        <f>IFERROR(__xludf.DUMMYFUNCTION("""COMPUTED_VALUE"""),0.0)</f>
        <v>0</v>
      </c>
      <c r="O1107" s="5">
        <f>IFERROR(__xludf.DUMMYFUNCTION("""COMPUTED_VALUE"""),0.0)</f>
        <v>0</v>
      </c>
    </row>
    <row r="1108">
      <c r="A1108" s="1" t="s">
        <v>465</v>
      </c>
      <c r="B1108" s="4">
        <v>73.0</v>
      </c>
      <c r="C1108" s="1" t="s">
        <v>112</v>
      </c>
      <c r="D1108" s="4">
        <v>0.0</v>
      </c>
      <c r="E1108" s="4">
        <v>0.0</v>
      </c>
      <c r="F1108" s="4">
        <v>0.0</v>
      </c>
      <c r="G1108" s="4">
        <v>0.0</v>
      </c>
      <c r="H1108" s="4">
        <v>0.0</v>
      </c>
      <c r="I1108" s="4">
        <v>0.0</v>
      </c>
      <c r="J1108" s="4">
        <v>0.0</v>
      </c>
      <c r="K1108" s="4">
        <v>0.0</v>
      </c>
      <c r="L1108" s="2" t="s">
        <v>285</v>
      </c>
      <c r="M1108" s="5">
        <f>IFERROR(__xludf.DUMMYFUNCTION("""COMPUTED_VALUE"""),0.0)</f>
        <v>0</v>
      </c>
      <c r="N1108" s="5">
        <f>IFERROR(__xludf.DUMMYFUNCTION("""COMPUTED_VALUE"""),0.0)</f>
        <v>0</v>
      </c>
      <c r="O1108" s="5">
        <f>IFERROR(__xludf.DUMMYFUNCTION("""COMPUTED_VALUE"""),0.0)</f>
        <v>0</v>
      </c>
    </row>
    <row r="1109">
      <c r="A1109" s="1" t="s">
        <v>465</v>
      </c>
      <c r="B1109" s="4">
        <v>74.0</v>
      </c>
      <c r="C1109" s="1" t="s">
        <v>114</v>
      </c>
      <c r="D1109" s="4">
        <v>0.0</v>
      </c>
      <c r="E1109" s="4">
        <v>0.0</v>
      </c>
      <c r="F1109" s="4">
        <v>0.0</v>
      </c>
      <c r="G1109" s="4">
        <v>0.0</v>
      </c>
      <c r="H1109" s="4">
        <v>0.0</v>
      </c>
      <c r="I1109" s="4">
        <v>0.0</v>
      </c>
      <c r="J1109" s="4">
        <v>0.0</v>
      </c>
      <c r="K1109" s="4">
        <v>0.0</v>
      </c>
      <c r="L1109" s="2" t="s">
        <v>436</v>
      </c>
      <c r="M1109" s="5">
        <f>IFERROR(__xludf.DUMMYFUNCTION("""COMPUTED_VALUE"""),5.0)</f>
        <v>5</v>
      </c>
      <c r="N1109" s="5">
        <f>IFERROR(__xludf.DUMMYFUNCTION("""COMPUTED_VALUE"""),14.0)</f>
        <v>14</v>
      </c>
      <c r="O1109" s="5">
        <f>IFERROR(__xludf.DUMMYFUNCTION("""COMPUTED_VALUE"""),2000.0)</f>
        <v>2000</v>
      </c>
    </row>
    <row r="1110">
      <c r="A1110" s="1" t="s">
        <v>465</v>
      </c>
      <c r="B1110" s="4">
        <v>75.0</v>
      </c>
      <c r="C1110" s="1" t="s">
        <v>481</v>
      </c>
      <c r="D1110" s="4">
        <v>0.0</v>
      </c>
      <c r="E1110" s="4">
        <v>0.0</v>
      </c>
      <c r="F1110" s="4">
        <v>0.0</v>
      </c>
      <c r="G1110" s="4">
        <v>0.0</v>
      </c>
      <c r="H1110" s="4">
        <v>0.0</v>
      </c>
      <c r="I1110" s="4">
        <v>0.0</v>
      </c>
      <c r="J1110" s="4">
        <v>0.0</v>
      </c>
      <c r="K1110" s="4">
        <v>0.0</v>
      </c>
      <c r="L1110" s="2" t="s">
        <v>482</v>
      </c>
      <c r="M1110" s="5">
        <f>IFERROR(__xludf.DUMMYFUNCTION("""COMPUTED_VALUE"""),10.0)</f>
        <v>10</v>
      </c>
      <c r="N1110" s="5">
        <f>IFERROR(__xludf.DUMMYFUNCTION("""COMPUTED_VALUE"""),7.0)</f>
        <v>7</v>
      </c>
      <c r="O1110" s="5">
        <f>IFERROR(__xludf.DUMMYFUNCTION("""COMPUTED_VALUE"""),2000.0)</f>
        <v>2000</v>
      </c>
    </row>
    <row r="1111">
      <c r="A1111" s="1" t="s">
        <v>465</v>
      </c>
      <c r="B1111" s="4">
        <v>76.0</v>
      </c>
      <c r="C1111" s="1" t="s">
        <v>150</v>
      </c>
      <c r="D1111" s="4">
        <v>0.0</v>
      </c>
      <c r="E1111" s="4">
        <v>0.0</v>
      </c>
      <c r="F1111" s="4">
        <v>0.0</v>
      </c>
      <c r="G1111" s="4">
        <v>0.0</v>
      </c>
      <c r="H1111" s="4">
        <v>0.0</v>
      </c>
      <c r="I1111" s="4">
        <v>0.0</v>
      </c>
      <c r="J1111" s="4">
        <v>0.0</v>
      </c>
      <c r="K1111" s="4">
        <v>0.0</v>
      </c>
      <c r="L1111" s="2" t="s">
        <v>205</v>
      </c>
      <c r="M1111" s="5">
        <f>IFERROR(__xludf.DUMMYFUNCTION("""COMPUTED_VALUE"""),19.0)</f>
        <v>19</v>
      </c>
      <c r="N1111" s="5">
        <f>IFERROR(__xludf.DUMMYFUNCTION("""COMPUTED_VALUE"""),4.0)</f>
        <v>4</v>
      </c>
      <c r="O1111" s="5">
        <f>IFERROR(__xludf.DUMMYFUNCTION("""COMPUTED_VALUE"""),0.0)</f>
        <v>0</v>
      </c>
    </row>
    <row r="1112">
      <c r="A1112" s="1" t="s">
        <v>465</v>
      </c>
      <c r="B1112" s="4">
        <v>77.0</v>
      </c>
      <c r="C1112" s="1" t="s">
        <v>152</v>
      </c>
      <c r="D1112" s="4">
        <v>0.0</v>
      </c>
      <c r="E1112" s="4">
        <v>0.0</v>
      </c>
      <c r="F1112" s="4">
        <v>0.0</v>
      </c>
      <c r="G1112" s="4">
        <v>0.0</v>
      </c>
      <c r="H1112" s="4">
        <v>0.0</v>
      </c>
      <c r="I1112" s="4">
        <v>0.0</v>
      </c>
      <c r="J1112" s="4">
        <v>0.0</v>
      </c>
      <c r="K1112" s="4">
        <v>0.0</v>
      </c>
      <c r="L1112" s="2" t="s">
        <v>483</v>
      </c>
      <c r="M1112" s="5">
        <f>IFERROR(__xludf.DUMMYFUNCTION("""COMPUTED_VALUE"""),5.0)</f>
        <v>5</v>
      </c>
      <c r="N1112" s="5">
        <f>IFERROR(__xludf.DUMMYFUNCTION("""COMPUTED_VALUE"""),14.0)</f>
        <v>14</v>
      </c>
      <c r="O1112" s="5">
        <f>IFERROR(__xludf.DUMMYFUNCTION("""COMPUTED_VALUE"""),2001.0)</f>
        <v>2001</v>
      </c>
    </row>
    <row r="1113">
      <c r="A1113" s="1" t="s">
        <v>465</v>
      </c>
      <c r="B1113" s="4">
        <v>78.0</v>
      </c>
      <c r="C1113" s="1" t="s">
        <v>110</v>
      </c>
      <c r="D1113" s="4">
        <v>0.0</v>
      </c>
      <c r="E1113" s="4">
        <v>0.0</v>
      </c>
      <c r="F1113" s="4">
        <v>0.0</v>
      </c>
      <c r="G1113" s="4">
        <v>0.0</v>
      </c>
      <c r="H1113" s="4">
        <v>0.0</v>
      </c>
      <c r="I1113" s="4">
        <v>0.0</v>
      </c>
      <c r="J1113" s="4">
        <v>0.0</v>
      </c>
      <c r="K1113" s="4">
        <v>0.0</v>
      </c>
      <c r="L1113" s="2" t="s">
        <v>484</v>
      </c>
      <c r="M1113" s="5">
        <f>IFERROR(__xludf.DUMMYFUNCTION("""COMPUTED_VALUE"""),8.0)</f>
        <v>8</v>
      </c>
      <c r="N1113" s="5">
        <f>IFERROR(__xludf.DUMMYFUNCTION("""COMPUTED_VALUE"""),10.0)</f>
        <v>10</v>
      </c>
      <c r="O1113" s="5">
        <f>IFERROR(__xludf.DUMMYFUNCTION("""COMPUTED_VALUE"""),2000.0)</f>
        <v>2000</v>
      </c>
    </row>
    <row r="1114">
      <c r="A1114" s="1" t="s">
        <v>465</v>
      </c>
      <c r="B1114" s="4">
        <v>79.0</v>
      </c>
      <c r="C1114" s="1" t="s">
        <v>142</v>
      </c>
      <c r="D1114" s="4">
        <v>0.0</v>
      </c>
      <c r="E1114" s="4">
        <v>0.0</v>
      </c>
      <c r="F1114" s="4">
        <v>0.0</v>
      </c>
      <c r="G1114" s="4">
        <v>0.0</v>
      </c>
      <c r="H1114" s="4">
        <v>0.0</v>
      </c>
      <c r="I1114" s="4">
        <v>0.0</v>
      </c>
      <c r="J1114" s="4">
        <v>0.0</v>
      </c>
      <c r="K1114" s="4">
        <v>0.0</v>
      </c>
      <c r="L1114" s="2" t="s">
        <v>183</v>
      </c>
      <c r="M1114" s="5">
        <f>IFERROR(__xludf.DUMMYFUNCTION("""COMPUTED_VALUE"""),14.0)</f>
        <v>14</v>
      </c>
      <c r="N1114" s="5">
        <f>IFERROR(__xludf.DUMMYFUNCTION("""COMPUTED_VALUE"""),8.0)</f>
        <v>8</v>
      </c>
      <c r="O1114" s="5">
        <f>IFERROR(__xludf.DUMMYFUNCTION("""COMPUTED_VALUE"""),1.0)</f>
        <v>1</v>
      </c>
    </row>
    <row r="1115">
      <c r="A1115" s="1" t="s">
        <v>465</v>
      </c>
      <c r="B1115" s="4">
        <v>80.0</v>
      </c>
      <c r="C1115" s="1" t="s">
        <v>77</v>
      </c>
      <c r="D1115" s="4">
        <v>0.0</v>
      </c>
      <c r="E1115" s="4">
        <v>0.0</v>
      </c>
      <c r="F1115" s="4">
        <v>0.0</v>
      </c>
      <c r="G1115" s="4">
        <v>0.0</v>
      </c>
      <c r="H1115" s="4">
        <v>0.0</v>
      </c>
      <c r="I1115" s="4">
        <v>0.0</v>
      </c>
      <c r="J1115" s="4">
        <v>0.0</v>
      </c>
      <c r="K1115" s="4">
        <v>0.0</v>
      </c>
      <c r="L1115" s="2" t="s">
        <v>221</v>
      </c>
      <c r="M1115" s="5">
        <f>IFERROR(__xludf.DUMMYFUNCTION("""COMPUTED_VALUE"""),14.0)</f>
        <v>14</v>
      </c>
      <c r="N1115" s="5">
        <f>IFERROR(__xludf.DUMMYFUNCTION("""COMPUTED_VALUE"""),8.0)</f>
        <v>8</v>
      </c>
      <c r="O1115" s="5">
        <f>IFERROR(__xludf.DUMMYFUNCTION("""COMPUTED_VALUE"""),0.0)</f>
        <v>0</v>
      </c>
    </row>
    <row r="1116">
      <c r="A1116" s="1" t="s">
        <v>465</v>
      </c>
      <c r="B1116" s="4">
        <v>81.0</v>
      </c>
      <c r="C1116" s="1" t="s">
        <v>418</v>
      </c>
      <c r="D1116" s="4">
        <v>0.0</v>
      </c>
      <c r="E1116" s="4">
        <v>0.0</v>
      </c>
      <c r="F1116" s="4">
        <v>0.0</v>
      </c>
      <c r="G1116" s="4">
        <v>0.0</v>
      </c>
      <c r="H1116" s="4">
        <v>0.0</v>
      </c>
      <c r="I1116" s="4">
        <v>0.0</v>
      </c>
      <c r="J1116" s="4">
        <v>0.0</v>
      </c>
      <c r="K1116" s="4">
        <v>0.0</v>
      </c>
      <c r="L1116" s="2" t="s">
        <v>285</v>
      </c>
      <c r="M1116" s="5">
        <f>IFERROR(__xludf.DUMMYFUNCTION("""COMPUTED_VALUE"""),0.0)</f>
        <v>0</v>
      </c>
      <c r="N1116" s="5">
        <f>IFERROR(__xludf.DUMMYFUNCTION("""COMPUTED_VALUE"""),0.0)</f>
        <v>0</v>
      </c>
      <c r="O1116" s="5">
        <f>IFERROR(__xludf.DUMMYFUNCTION("""COMPUTED_VALUE"""),0.0)</f>
        <v>0</v>
      </c>
    </row>
    <row r="1117">
      <c r="A1117" s="1" t="s">
        <v>465</v>
      </c>
      <c r="B1117" s="4">
        <v>82.0</v>
      </c>
      <c r="C1117" s="1" t="s">
        <v>144</v>
      </c>
      <c r="D1117" s="4">
        <v>0.0</v>
      </c>
      <c r="E1117" s="4">
        <v>0.0</v>
      </c>
      <c r="F1117" s="4">
        <v>0.0</v>
      </c>
      <c r="G1117" s="4">
        <v>0.0</v>
      </c>
      <c r="H1117" s="4">
        <v>0.0</v>
      </c>
      <c r="I1117" s="4">
        <v>0.0</v>
      </c>
      <c r="J1117" s="4">
        <v>0.0</v>
      </c>
      <c r="K1117" s="4">
        <v>0.0</v>
      </c>
      <c r="L1117" s="2" t="s">
        <v>485</v>
      </c>
      <c r="M1117" s="5">
        <f>IFERROR(__xludf.DUMMYFUNCTION("""COMPUTED_VALUE"""),13.0)</f>
        <v>13</v>
      </c>
      <c r="N1117" s="5">
        <f>IFERROR(__xludf.DUMMYFUNCTION("""COMPUTED_VALUE"""),3.0)</f>
        <v>3</v>
      </c>
      <c r="O1117" s="5">
        <f>IFERROR(__xludf.DUMMYFUNCTION("""COMPUTED_VALUE"""),2.0)</f>
        <v>2</v>
      </c>
    </row>
    <row r="1118">
      <c r="A1118" s="1" t="s">
        <v>465</v>
      </c>
      <c r="B1118" s="4">
        <v>83.0</v>
      </c>
      <c r="C1118" s="1" t="s">
        <v>441</v>
      </c>
      <c r="D1118" s="4">
        <v>0.0</v>
      </c>
      <c r="E1118" s="4">
        <v>0.0</v>
      </c>
      <c r="F1118" s="4">
        <v>0.0</v>
      </c>
      <c r="G1118" s="4">
        <v>0.0</v>
      </c>
      <c r="H1118" s="4">
        <v>0.0</v>
      </c>
      <c r="I1118" s="4">
        <v>0.0</v>
      </c>
      <c r="J1118" s="4">
        <v>0.0</v>
      </c>
      <c r="K1118" s="4">
        <v>0.0</v>
      </c>
      <c r="L1118" s="2" t="s">
        <v>309</v>
      </c>
      <c r="M1118" s="5">
        <f>IFERROR(__xludf.DUMMYFUNCTION("""COMPUTED_VALUE"""),0.0)</f>
        <v>0</v>
      </c>
      <c r="N1118" s="5">
        <f>IFERROR(__xludf.DUMMYFUNCTION("""COMPUTED_VALUE"""),2.0)</f>
        <v>2</v>
      </c>
      <c r="O1118" s="5">
        <f>IFERROR(__xludf.DUMMYFUNCTION("""COMPUTED_VALUE"""),0.0)</f>
        <v>0</v>
      </c>
    </row>
    <row r="1119">
      <c r="A1119" s="1" t="s">
        <v>465</v>
      </c>
      <c r="B1119" s="4">
        <v>84.0</v>
      </c>
      <c r="C1119" s="1" t="s">
        <v>83</v>
      </c>
      <c r="D1119" s="4">
        <v>0.0</v>
      </c>
      <c r="E1119" s="4">
        <v>1.0</v>
      </c>
      <c r="F1119" s="4">
        <v>0.0</v>
      </c>
      <c r="G1119" s="4">
        <v>1.0</v>
      </c>
      <c r="H1119" s="4">
        <v>0.0</v>
      </c>
      <c r="I1119" s="4">
        <v>0.0</v>
      </c>
      <c r="J1119" s="4">
        <v>2.0</v>
      </c>
      <c r="K1119" s="4">
        <v>-2.0</v>
      </c>
      <c r="L1119" s="2" t="s">
        <v>486</v>
      </c>
      <c r="M1119" s="5">
        <f>IFERROR(__xludf.DUMMYFUNCTION("""COMPUTED_VALUE"""),11.0)</f>
        <v>11</v>
      </c>
      <c r="N1119" s="5">
        <f>IFERROR(__xludf.DUMMYFUNCTION("""COMPUTED_VALUE"""),6.0)</f>
        <v>6</v>
      </c>
      <c r="O1119" s="5">
        <f>IFERROR(__xludf.DUMMYFUNCTION("""COMPUTED_VALUE"""),2001.0)</f>
        <v>2001</v>
      </c>
    </row>
    <row r="1120">
      <c r="A1120" s="1" t="s">
        <v>465</v>
      </c>
      <c r="B1120" s="4">
        <v>85.0</v>
      </c>
      <c r="C1120" s="1" t="s">
        <v>108</v>
      </c>
      <c r="D1120" s="4">
        <v>0.0</v>
      </c>
      <c r="E1120" s="4">
        <v>2.0</v>
      </c>
      <c r="F1120" s="4">
        <v>0.0</v>
      </c>
      <c r="G1120" s="4">
        <v>2.0</v>
      </c>
      <c r="H1120" s="4">
        <v>0.0</v>
      </c>
      <c r="I1120" s="4">
        <v>10.0</v>
      </c>
      <c r="J1120" s="4">
        <v>20.0</v>
      </c>
      <c r="K1120" s="4">
        <v>-10.0</v>
      </c>
      <c r="L1120" s="2" t="s">
        <v>487</v>
      </c>
      <c r="M1120" s="5">
        <f>IFERROR(__xludf.DUMMYFUNCTION("""COMPUTED_VALUE"""),4.0)</f>
        <v>4</v>
      </c>
      <c r="N1120" s="5">
        <f>IFERROR(__xludf.DUMMYFUNCTION("""COMPUTED_VALUE"""),13.0)</f>
        <v>13</v>
      </c>
      <c r="O1120" s="5">
        <f>IFERROR(__xludf.DUMMYFUNCTION("""COMPUTED_VALUE"""),2000.0)</f>
        <v>2000</v>
      </c>
    </row>
    <row r="1121">
      <c r="A1121" s="1" t="s">
        <v>465</v>
      </c>
      <c r="B1121" s="4">
        <v>86.0</v>
      </c>
      <c r="C1121" s="1" t="s">
        <v>68</v>
      </c>
      <c r="D1121" s="4">
        <v>0.0</v>
      </c>
      <c r="E1121" s="4">
        <v>8.0</v>
      </c>
      <c r="F1121" s="4">
        <v>0.0</v>
      </c>
      <c r="G1121" s="4">
        <v>8.0</v>
      </c>
      <c r="H1121" s="4">
        <v>0.0</v>
      </c>
      <c r="I1121" s="4">
        <v>4.0</v>
      </c>
      <c r="J1121" s="4">
        <v>49.0</v>
      </c>
      <c r="K1121" s="4">
        <v>-45.0</v>
      </c>
      <c r="L1121" s="2" t="s">
        <v>196</v>
      </c>
      <c r="M1121" s="5">
        <f>IFERROR(__xludf.DUMMYFUNCTION("""COMPUTED_VALUE"""),3.0)</f>
        <v>3</v>
      </c>
      <c r="N1121" s="5">
        <f>IFERROR(__xludf.DUMMYFUNCTION("""COMPUTED_VALUE"""),19.0)</f>
        <v>19</v>
      </c>
      <c r="O1121" s="5">
        <f>IFERROR(__xludf.DUMMYFUNCTION("""COMPUTED_VALUE"""),2000.0)</f>
        <v>2000</v>
      </c>
    </row>
    <row r="1122">
      <c r="A1122" s="1" t="s">
        <v>465</v>
      </c>
      <c r="B1122" s="4">
        <v>87.0</v>
      </c>
      <c r="C1122" s="1" t="s">
        <v>140</v>
      </c>
      <c r="D1122" s="4">
        <v>0.0</v>
      </c>
      <c r="E1122" s="4">
        <v>6.0</v>
      </c>
      <c r="F1122" s="4">
        <v>0.0</v>
      </c>
      <c r="G1122" s="4">
        <v>6.0</v>
      </c>
      <c r="H1122" s="4">
        <v>0.0</v>
      </c>
      <c r="I1122" s="4">
        <v>4.0</v>
      </c>
      <c r="J1122" s="4">
        <v>55.0</v>
      </c>
      <c r="K1122" s="4">
        <v>-51.0</v>
      </c>
      <c r="L1122" s="2" t="s">
        <v>488</v>
      </c>
      <c r="M1122" s="5">
        <f>IFERROR(__xludf.DUMMYFUNCTION("""COMPUTED_VALUE"""),1.0)</f>
        <v>1</v>
      </c>
      <c r="N1122" s="5">
        <f>IFERROR(__xludf.DUMMYFUNCTION("""COMPUTED_VALUE"""),15.0)</f>
        <v>15</v>
      </c>
      <c r="O1122" s="5">
        <f>IFERROR(__xludf.DUMMYFUNCTION("""COMPUTED_VALUE"""),2000.0)</f>
        <v>2000</v>
      </c>
    </row>
    <row r="1123">
      <c r="A1123" s="1" t="s">
        <v>465</v>
      </c>
      <c r="B1123" s="4">
        <v>88.0</v>
      </c>
      <c r="C1123" s="1" t="s">
        <v>371</v>
      </c>
      <c r="D1123" s="4">
        <v>0.0</v>
      </c>
      <c r="E1123" s="4">
        <v>8.0</v>
      </c>
      <c r="F1123" s="4">
        <v>0.0</v>
      </c>
      <c r="G1123" s="4">
        <v>8.0</v>
      </c>
      <c r="H1123" s="4">
        <v>0.0</v>
      </c>
      <c r="I1123" s="4">
        <v>5.0</v>
      </c>
      <c r="J1123" s="4">
        <v>70.0</v>
      </c>
      <c r="K1123" s="4">
        <v>-65.0</v>
      </c>
      <c r="L1123" s="2" t="s">
        <v>489</v>
      </c>
      <c r="M1123" s="5">
        <f>IFERROR(__xludf.DUMMYFUNCTION("""COMPUTED_VALUE"""),1.0)</f>
        <v>1</v>
      </c>
      <c r="N1123" s="5">
        <f>IFERROR(__xludf.DUMMYFUNCTION("""COMPUTED_VALUE"""),22.0)</f>
        <v>22</v>
      </c>
      <c r="O1123" s="5">
        <f>IFERROR(__xludf.DUMMYFUNCTION("""COMPUTED_VALUE"""),2001.0)</f>
        <v>2001</v>
      </c>
    </row>
    <row r="1124">
      <c r="A1124" s="1" t="s">
        <v>465</v>
      </c>
      <c r="B1124" s="4">
        <v>89.0</v>
      </c>
      <c r="C1124" s="1" t="s">
        <v>134</v>
      </c>
      <c r="D1124" s="4">
        <v>0.0</v>
      </c>
      <c r="E1124" s="4">
        <v>12.0</v>
      </c>
      <c r="F1124" s="4">
        <v>0.0</v>
      </c>
      <c r="G1124" s="4">
        <v>12.0</v>
      </c>
      <c r="H1124" s="4">
        <v>0.0</v>
      </c>
      <c r="I1124" s="4">
        <v>6.0</v>
      </c>
      <c r="J1124" s="4">
        <v>77.0</v>
      </c>
      <c r="K1124" s="4">
        <v>-71.0</v>
      </c>
      <c r="L1124" s="2" t="s">
        <v>196</v>
      </c>
      <c r="M1124" s="5">
        <f>IFERROR(__xludf.DUMMYFUNCTION("""COMPUTED_VALUE"""),3.0)</f>
        <v>3</v>
      </c>
      <c r="N1124" s="5">
        <f>IFERROR(__xludf.DUMMYFUNCTION("""COMPUTED_VALUE"""),19.0)</f>
        <v>19</v>
      </c>
      <c r="O1124" s="5">
        <f>IFERROR(__xludf.DUMMYFUNCTION("""COMPUTED_VALUE"""),2000.0)</f>
        <v>2000</v>
      </c>
    </row>
    <row r="1125">
      <c r="A1125" s="1" t="s">
        <v>465</v>
      </c>
      <c r="B1125" s="4">
        <v>90.0</v>
      </c>
      <c r="C1125" s="1" t="s">
        <v>421</v>
      </c>
      <c r="D1125" s="4">
        <v>0.0</v>
      </c>
      <c r="E1125" s="4">
        <v>8.0</v>
      </c>
      <c r="F1125" s="4">
        <v>0.0</v>
      </c>
      <c r="G1125" s="4">
        <v>8.0</v>
      </c>
      <c r="H1125" s="4">
        <v>0.0</v>
      </c>
      <c r="I1125" s="4">
        <v>9.0</v>
      </c>
      <c r="J1125" s="4">
        <v>93.0</v>
      </c>
      <c r="K1125" s="4">
        <v>-84.0</v>
      </c>
      <c r="L1125" s="2" t="s">
        <v>490</v>
      </c>
      <c r="M1125" s="5">
        <f>IFERROR(__xludf.DUMMYFUNCTION("""COMPUTED_VALUE"""),0.0)</f>
        <v>0</v>
      </c>
      <c r="N1125" s="5">
        <f>IFERROR(__xludf.DUMMYFUNCTION("""COMPUTED_VALUE"""),21.0)</f>
        <v>21</v>
      </c>
      <c r="O1125" s="5">
        <f>IFERROR(__xludf.DUMMYFUNCTION("""COMPUTED_VALUE"""),0.0)</f>
        <v>0</v>
      </c>
    </row>
    <row r="1126">
      <c r="A1126" s="1" t="s">
        <v>465</v>
      </c>
      <c r="B1126" s="4">
        <v>91.0</v>
      </c>
      <c r="C1126" s="1" t="s">
        <v>48</v>
      </c>
      <c r="D1126" s="4">
        <v>0.0</v>
      </c>
      <c r="E1126" s="4">
        <v>10.0</v>
      </c>
      <c r="F1126" s="4">
        <v>0.0</v>
      </c>
      <c r="G1126" s="4">
        <v>10.0</v>
      </c>
      <c r="H1126" s="4">
        <v>0.0</v>
      </c>
      <c r="I1126" s="4">
        <v>19.0</v>
      </c>
      <c r="J1126" s="4">
        <v>113.0</v>
      </c>
      <c r="K1126" s="4">
        <v>-94.0</v>
      </c>
      <c r="L1126" s="2" t="s">
        <v>491</v>
      </c>
      <c r="M1126" s="5">
        <f>IFERROR(__xludf.DUMMYFUNCTION("""COMPUTED_VALUE"""),2.0)</f>
        <v>2</v>
      </c>
      <c r="N1126" s="5">
        <f>IFERROR(__xludf.DUMMYFUNCTION("""COMPUTED_VALUE"""),16.0)</f>
        <v>16</v>
      </c>
      <c r="O1126" s="5">
        <f>IFERROR(__xludf.DUMMYFUNCTION("""COMPUTED_VALUE"""),2000.0)</f>
        <v>2000</v>
      </c>
    </row>
    <row r="1127">
      <c r="A1127" s="1" t="s">
        <v>465</v>
      </c>
      <c r="B1127" s="4">
        <v>92.0</v>
      </c>
      <c r="C1127" s="1" t="s">
        <v>233</v>
      </c>
      <c r="D1127" s="4">
        <v>0.0</v>
      </c>
      <c r="E1127" s="4">
        <v>14.0</v>
      </c>
      <c r="F1127" s="4">
        <v>0.0</v>
      </c>
      <c r="G1127" s="4">
        <v>14.0</v>
      </c>
      <c r="H1127" s="4">
        <v>0.0</v>
      </c>
      <c r="I1127" s="4">
        <v>0.0</v>
      </c>
      <c r="J1127" s="4">
        <v>139.0</v>
      </c>
      <c r="K1127" s="4">
        <v>-139.0</v>
      </c>
      <c r="L1127" s="2" t="s">
        <v>201</v>
      </c>
      <c r="M1127" s="5">
        <f>IFERROR(__xludf.DUMMYFUNCTION("""COMPUTED_VALUE"""),2.0)</f>
        <v>2</v>
      </c>
      <c r="N1127" s="5">
        <f>IFERROR(__xludf.DUMMYFUNCTION("""COMPUTED_VALUE"""),18.0)</f>
        <v>18</v>
      </c>
      <c r="O1127" s="5">
        <f>IFERROR(__xludf.DUMMYFUNCTION("""COMPUTED_VALUE"""),2000.0)</f>
        <v>2000</v>
      </c>
    </row>
    <row r="1128">
      <c r="A1128" s="1" t="s">
        <v>492</v>
      </c>
      <c r="B1128" s="4">
        <v>1.0</v>
      </c>
      <c r="C1128" s="1" t="s">
        <v>79</v>
      </c>
      <c r="D1128" s="4">
        <v>26.0</v>
      </c>
      <c r="E1128" s="4">
        <v>14.0</v>
      </c>
      <c r="F1128" s="4">
        <v>13.0</v>
      </c>
      <c r="G1128" s="4">
        <v>1.0</v>
      </c>
      <c r="H1128" s="4">
        <v>0.0</v>
      </c>
      <c r="I1128" s="4">
        <v>88.0</v>
      </c>
      <c r="J1128" s="4">
        <v>25.0</v>
      </c>
      <c r="K1128" s="4">
        <v>63.0</v>
      </c>
      <c r="L1128" s="2" t="s">
        <v>387</v>
      </c>
      <c r="M1128" s="5">
        <f>IFERROR(__xludf.DUMMYFUNCTION("""COMPUTED_VALUE"""),17.0)</f>
        <v>17</v>
      </c>
      <c r="N1128" s="5">
        <f>IFERROR(__xludf.DUMMYFUNCTION("""COMPUTED_VALUE"""),3.0)</f>
        <v>3</v>
      </c>
      <c r="O1128" s="5">
        <f>IFERROR(__xludf.DUMMYFUNCTION("""COMPUTED_VALUE"""),1.0)</f>
        <v>1</v>
      </c>
    </row>
    <row r="1129">
      <c r="A1129" s="1" t="s">
        <v>492</v>
      </c>
      <c r="B1129" s="4">
        <v>2.0</v>
      </c>
      <c r="C1129" s="1" t="s">
        <v>24</v>
      </c>
      <c r="D1129" s="4">
        <v>25.0</v>
      </c>
      <c r="E1129" s="4">
        <v>14.0</v>
      </c>
      <c r="F1129" s="4">
        <v>12.0</v>
      </c>
      <c r="G1129" s="4">
        <v>1.0</v>
      </c>
      <c r="H1129" s="4">
        <v>1.0</v>
      </c>
      <c r="I1129" s="4">
        <v>117.0</v>
      </c>
      <c r="J1129" s="4">
        <v>22.0</v>
      </c>
      <c r="K1129" s="4">
        <v>95.0</v>
      </c>
      <c r="L1129" s="2" t="s">
        <v>364</v>
      </c>
      <c r="M1129" s="5">
        <f>IFERROR(__xludf.DUMMYFUNCTION("""COMPUTED_VALUE"""),22.0)</f>
        <v>22</v>
      </c>
      <c r="N1129" s="5">
        <f>IFERROR(__xludf.DUMMYFUNCTION("""COMPUTED_VALUE"""),1.0)</f>
        <v>1</v>
      </c>
      <c r="O1129" s="5">
        <f>IFERROR(__xludf.DUMMYFUNCTION("""COMPUTED_VALUE"""),1.0)</f>
        <v>1</v>
      </c>
    </row>
    <row r="1130">
      <c r="A1130" s="1" t="s">
        <v>492</v>
      </c>
      <c r="B1130" s="4">
        <v>3.0</v>
      </c>
      <c r="C1130" s="1" t="s">
        <v>22</v>
      </c>
      <c r="D1130" s="4">
        <v>24.0</v>
      </c>
      <c r="E1130" s="4">
        <v>14.0</v>
      </c>
      <c r="F1130" s="4">
        <v>11.0</v>
      </c>
      <c r="G1130" s="4">
        <v>1.0</v>
      </c>
      <c r="H1130" s="4">
        <v>2.0</v>
      </c>
      <c r="I1130" s="4">
        <v>70.0</v>
      </c>
      <c r="J1130" s="4">
        <v>19.0</v>
      </c>
      <c r="K1130" s="4">
        <v>51.0</v>
      </c>
      <c r="L1130" s="2" t="s">
        <v>493</v>
      </c>
      <c r="M1130" s="5">
        <f>IFERROR(__xludf.DUMMYFUNCTION("""COMPUTED_VALUE"""),15.0)</f>
        <v>15</v>
      </c>
      <c r="N1130" s="5">
        <f>IFERROR(__xludf.DUMMYFUNCTION("""COMPUTED_VALUE"""),5.0)</f>
        <v>5</v>
      </c>
      <c r="O1130" s="5">
        <f>IFERROR(__xludf.DUMMYFUNCTION("""COMPUTED_VALUE"""),2.0)</f>
        <v>2</v>
      </c>
    </row>
    <row r="1131">
      <c r="A1131" s="1" t="s">
        <v>492</v>
      </c>
      <c r="B1131" s="4">
        <v>4.0</v>
      </c>
      <c r="C1131" s="1" t="s">
        <v>58</v>
      </c>
      <c r="D1131" s="4">
        <v>23.0</v>
      </c>
      <c r="E1131" s="4">
        <v>14.0</v>
      </c>
      <c r="F1131" s="4">
        <v>11.0</v>
      </c>
      <c r="G1131" s="4">
        <v>2.0</v>
      </c>
      <c r="H1131" s="4">
        <v>1.0</v>
      </c>
      <c r="I1131" s="4">
        <v>86.0</v>
      </c>
      <c r="J1131" s="4">
        <v>33.0</v>
      </c>
      <c r="K1131" s="4">
        <v>53.0</v>
      </c>
      <c r="L1131" s="2" t="s">
        <v>466</v>
      </c>
      <c r="M1131" s="5">
        <f>IFERROR(__xludf.DUMMYFUNCTION("""COMPUTED_VALUE"""),15.0)</f>
        <v>15</v>
      </c>
      <c r="N1131" s="5">
        <f>IFERROR(__xludf.DUMMYFUNCTION("""COMPUTED_VALUE"""),6.0)</f>
        <v>6</v>
      </c>
      <c r="O1131" s="5">
        <f>IFERROR(__xludf.DUMMYFUNCTION("""COMPUTED_VALUE"""),2.0)</f>
        <v>2</v>
      </c>
    </row>
    <row r="1132">
      <c r="A1132" s="1" t="s">
        <v>492</v>
      </c>
      <c r="B1132" s="4">
        <v>5.0</v>
      </c>
      <c r="C1132" s="1" t="s">
        <v>46</v>
      </c>
      <c r="D1132" s="4">
        <v>22.0</v>
      </c>
      <c r="E1132" s="4">
        <v>14.0</v>
      </c>
      <c r="F1132" s="4">
        <v>11.0</v>
      </c>
      <c r="G1132" s="4">
        <v>3.0</v>
      </c>
      <c r="H1132" s="4">
        <v>0.0</v>
      </c>
      <c r="I1132" s="4">
        <v>106.0</v>
      </c>
      <c r="J1132" s="4">
        <v>28.0</v>
      </c>
      <c r="K1132" s="4">
        <v>78.0</v>
      </c>
      <c r="L1132" s="2" t="s">
        <v>72</v>
      </c>
      <c r="M1132" s="5">
        <f>IFERROR(__xludf.DUMMYFUNCTION("""COMPUTED_VALUE"""),15.0)</f>
        <v>15</v>
      </c>
      <c r="N1132" s="5">
        <f>IFERROR(__xludf.DUMMYFUNCTION("""COMPUTED_VALUE"""),8.0)</f>
        <v>8</v>
      </c>
      <c r="O1132" s="5">
        <f>IFERROR(__xludf.DUMMYFUNCTION("""COMPUTED_VALUE"""),1.0)</f>
        <v>1</v>
      </c>
    </row>
    <row r="1133">
      <c r="A1133" s="1" t="s">
        <v>492</v>
      </c>
      <c r="B1133" s="4">
        <v>6.0</v>
      </c>
      <c r="C1133" s="1" t="s">
        <v>45</v>
      </c>
      <c r="D1133" s="4">
        <v>22.0</v>
      </c>
      <c r="E1133" s="4">
        <v>12.0</v>
      </c>
      <c r="F1133" s="4">
        <v>10.0</v>
      </c>
      <c r="G1133" s="4">
        <v>0.0</v>
      </c>
      <c r="H1133" s="4">
        <v>2.0</v>
      </c>
      <c r="I1133" s="4">
        <v>76.0</v>
      </c>
      <c r="J1133" s="4">
        <v>12.0</v>
      </c>
      <c r="K1133" s="4">
        <v>64.0</v>
      </c>
      <c r="L1133" s="2" t="s">
        <v>317</v>
      </c>
      <c r="M1133" s="5">
        <f>IFERROR(__xludf.DUMMYFUNCTION("""COMPUTED_VALUE"""),14.0)</f>
        <v>14</v>
      </c>
      <c r="N1133" s="5">
        <f>IFERROR(__xludf.DUMMYFUNCTION("""COMPUTED_VALUE"""),7.0)</f>
        <v>7</v>
      </c>
      <c r="O1133" s="5">
        <f>IFERROR(__xludf.DUMMYFUNCTION("""COMPUTED_VALUE"""),2.0)</f>
        <v>2</v>
      </c>
    </row>
    <row r="1134">
      <c r="A1134" s="1" t="s">
        <v>492</v>
      </c>
      <c r="B1134" s="4">
        <v>7.0</v>
      </c>
      <c r="C1134" s="1" t="s">
        <v>25</v>
      </c>
      <c r="D1134" s="4">
        <v>22.0</v>
      </c>
      <c r="E1134" s="4">
        <v>12.0</v>
      </c>
      <c r="F1134" s="4">
        <v>11.0</v>
      </c>
      <c r="G1134" s="4">
        <v>1.0</v>
      </c>
      <c r="H1134" s="4">
        <v>0.0</v>
      </c>
      <c r="I1134" s="4">
        <v>67.0</v>
      </c>
      <c r="J1134" s="4">
        <v>19.0</v>
      </c>
      <c r="K1134" s="4">
        <v>48.0</v>
      </c>
      <c r="L1134" s="2" t="s">
        <v>312</v>
      </c>
      <c r="M1134" s="5">
        <f>IFERROR(__xludf.DUMMYFUNCTION("""COMPUTED_VALUE"""),18.0)</f>
        <v>18</v>
      </c>
      <c r="N1134" s="5">
        <f>IFERROR(__xludf.DUMMYFUNCTION("""COMPUTED_VALUE"""),4.0)</f>
        <v>4</v>
      </c>
      <c r="O1134" s="5">
        <f>IFERROR(__xludf.DUMMYFUNCTION("""COMPUTED_VALUE"""),2.0)</f>
        <v>2</v>
      </c>
    </row>
    <row r="1135">
      <c r="A1135" s="1" t="s">
        <v>492</v>
      </c>
      <c r="B1135" s="4">
        <v>8.0</v>
      </c>
      <c r="C1135" s="1" t="s">
        <v>117</v>
      </c>
      <c r="D1135" s="4">
        <v>20.0</v>
      </c>
      <c r="E1135" s="4">
        <v>14.0</v>
      </c>
      <c r="F1135" s="4">
        <v>10.0</v>
      </c>
      <c r="G1135" s="4">
        <v>4.0</v>
      </c>
      <c r="H1135" s="4">
        <v>0.0</v>
      </c>
      <c r="I1135" s="4">
        <v>90.0</v>
      </c>
      <c r="J1135" s="4">
        <v>37.0</v>
      </c>
      <c r="K1135" s="4">
        <v>53.0</v>
      </c>
      <c r="L1135" s="2" t="s">
        <v>38</v>
      </c>
      <c r="M1135" s="5">
        <f>IFERROR(__xludf.DUMMYFUNCTION("""COMPUTED_VALUE"""),16.0)</f>
        <v>16</v>
      </c>
      <c r="N1135" s="5">
        <f>IFERROR(__xludf.DUMMYFUNCTION("""COMPUTED_VALUE"""),8.0)</f>
        <v>8</v>
      </c>
      <c r="O1135" s="5">
        <f>IFERROR(__xludf.DUMMYFUNCTION("""COMPUTED_VALUE"""),0.0)</f>
        <v>0</v>
      </c>
    </row>
    <row r="1136">
      <c r="A1136" s="1" t="s">
        <v>492</v>
      </c>
      <c r="B1136" s="4">
        <v>9.0</v>
      </c>
      <c r="C1136" s="1" t="s">
        <v>71</v>
      </c>
      <c r="D1136" s="4">
        <v>20.0</v>
      </c>
      <c r="E1136" s="4">
        <v>12.0</v>
      </c>
      <c r="F1136" s="4">
        <v>9.0</v>
      </c>
      <c r="G1136" s="4">
        <v>1.0</v>
      </c>
      <c r="H1136" s="4">
        <v>2.0</v>
      </c>
      <c r="I1136" s="4">
        <v>57.0</v>
      </c>
      <c r="J1136" s="4">
        <v>15.0</v>
      </c>
      <c r="K1136" s="4">
        <v>42.0</v>
      </c>
      <c r="L1136" s="2" t="s">
        <v>403</v>
      </c>
      <c r="M1136" s="5">
        <f>IFERROR(__xludf.DUMMYFUNCTION("""COMPUTED_VALUE"""),19.0)</f>
        <v>19</v>
      </c>
      <c r="N1136" s="5">
        <f>IFERROR(__xludf.DUMMYFUNCTION("""COMPUTED_VALUE"""),3.0)</f>
        <v>3</v>
      </c>
      <c r="O1136" s="5">
        <f>IFERROR(__xludf.DUMMYFUNCTION("""COMPUTED_VALUE"""),2.0)</f>
        <v>2</v>
      </c>
    </row>
    <row r="1137">
      <c r="A1137" s="1" t="s">
        <v>492</v>
      </c>
      <c r="B1137" s="4">
        <v>10.0</v>
      </c>
      <c r="C1137" s="1" t="s">
        <v>43</v>
      </c>
      <c r="D1137" s="4">
        <v>18.0</v>
      </c>
      <c r="E1137" s="4">
        <v>9.0</v>
      </c>
      <c r="F1137" s="4">
        <v>9.0</v>
      </c>
      <c r="G1137" s="4">
        <v>0.0</v>
      </c>
      <c r="H1137" s="4">
        <v>0.0</v>
      </c>
      <c r="I1137" s="4">
        <v>75.0</v>
      </c>
      <c r="J1137" s="4">
        <v>11.0</v>
      </c>
      <c r="K1137" s="4">
        <v>64.0</v>
      </c>
      <c r="L1137" s="2" t="s">
        <v>32</v>
      </c>
      <c r="M1137" s="5">
        <f>IFERROR(__xludf.DUMMYFUNCTION("""COMPUTED_VALUE"""),21.0)</f>
        <v>21</v>
      </c>
      <c r="N1137" s="5">
        <f>IFERROR(__xludf.DUMMYFUNCTION("""COMPUTED_VALUE"""),3.0)</f>
        <v>3</v>
      </c>
      <c r="O1137" s="5">
        <f>IFERROR(__xludf.DUMMYFUNCTION("""COMPUTED_VALUE"""),0.0)</f>
        <v>0</v>
      </c>
    </row>
    <row r="1138">
      <c r="A1138" s="1" t="s">
        <v>492</v>
      </c>
      <c r="B1138" s="4">
        <v>11.0</v>
      </c>
      <c r="C1138" s="1" t="s">
        <v>75</v>
      </c>
      <c r="D1138" s="4">
        <v>18.0</v>
      </c>
      <c r="E1138" s="4">
        <v>14.0</v>
      </c>
      <c r="F1138" s="4">
        <v>9.0</v>
      </c>
      <c r="G1138" s="4">
        <v>5.0</v>
      </c>
      <c r="H1138" s="4">
        <v>0.0</v>
      </c>
      <c r="I1138" s="4">
        <v>59.0</v>
      </c>
      <c r="J1138" s="4">
        <v>45.0</v>
      </c>
      <c r="K1138" s="4">
        <v>14.0</v>
      </c>
      <c r="L1138" s="2" t="s">
        <v>47</v>
      </c>
      <c r="M1138" s="5">
        <f>IFERROR(__xludf.DUMMYFUNCTION("""COMPUTED_VALUE"""),14.0)</f>
        <v>14</v>
      </c>
      <c r="N1138" s="5">
        <f>IFERROR(__xludf.DUMMYFUNCTION("""COMPUTED_VALUE"""),9.0)</f>
        <v>9</v>
      </c>
      <c r="O1138" s="5">
        <f>IFERROR(__xludf.DUMMYFUNCTION("""COMPUTED_VALUE"""),1.0)</f>
        <v>1</v>
      </c>
    </row>
    <row r="1139">
      <c r="A1139" s="1" t="s">
        <v>492</v>
      </c>
      <c r="B1139" s="4">
        <v>12.0</v>
      </c>
      <c r="C1139" s="1" t="s">
        <v>123</v>
      </c>
      <c r="D1139" s="4">
        <v>17.0</v>
      </c>
      <c r="E1139" s="4">
        <v>12.0</v>
      </c>
      <c r="F1139" s="4">
        <v>8.0</v>
      </c>
      <c r="G1139" s="4">
        <v>3.0</v>
      </c>
      <c r="H1139" s="4">
        <v>1.0</v>
      </c>
      <c r="I1139" s="4">
        <v>60.0</v>
      </c>
      <c r="J1139" s="4">
        <v>35.0</v>
      </c>
      <c r="K1139" s="4">
        <v>25.0</v>
      </c>
      <c r="L1139" s="2" t="s">
        <v>206</v>
      </c>
      <c r="M1139" s="5">
        <f>IFERROR(__xludf.DUMMYFUNCTION("""COMPUTED_VALUE"""),16.0)</f>
        <v>16</v>
      </c>
      <c r="N1139" s="5">
        <f>IFERROR(__xludf.DUMMYFUNCTION("""COMPUTED_VALUE"""),6.0)</f>
        <v>6</v>
      </c>
      <c r="O1139" s="5">
        <f>IFERROR(__xludf.DUMMYFUNCTION("""COMPUTED_VALUE"""),1.0)</f>
        <v>1</v>
      </c>
    </row>
    <row r="1140">
      <c r="A1140" s="1" t="s">
        <v>492</v>
      </c>
      <c r="B1140" s="4">
        <v>13.0</v>
      </c>
      <c r="C1140" s="1" t="s">
        <v>20</v>
      </c>
      <c r="D1140" s="4">
        <v>16.0</v>
      </c>
      <c r="E1140" s="4">
        <v>12.0</v>
      </c>
      <c r="F1140" s="4">
        <v>8.0</v>
      </c>
      <c r="G1140" s="4">
        <v>4.0</v>
      </c>
      <c r="H1140" s="4">
        <v>0.0</v>
      </c>
      <c r="I1140" s="4">
        <v>64.0</v>
      </c>
      <c r="J1140" s="4">
        <v>26.0</v>
      </c>
      <c r="K1140" s="4">
        <v>38.0</v>
      </c>
      <c r="L1140" s="2" t="s">
        <v>494</v>
      </c>
      <c r="M1140" s="5">
        <f>IFERROR(__xludf.DUMMYFUNCTION("""COMPUTED_VALUE"""),11.0)</f>
        <v>11</v>
      </c>
      <c r="N1140" s="5">
        <f>IFERROR(__xludf.DUMMYFUNCTION("""COMPUTED_VALUE"""),8.0)</f>
        <v>8</v>
      </c>
      <c r="O1140" s="5">
        <f>IFERROR(__xludf.DUMMYFUNCTION("""COMPUTED_VALUE"""),2001.0)</f>
        <v>2001</v>
      </c>
    </row>
    <row r="1141">
      <c r="A1141" s="1" t="s">
        <v>492</v>
      </c>
      <c r="B1141" s="4">
        <v>14.0</v>
      </c>
      <c r="C1141" s="1" t="s">
        <v>131</v>
      </c>
      <c r="D1141" s="4">
        <v>16.0</v>
      </c>
      <c r="E1141" s="4">
        <v>8.0</v>
      </c>
      <c r="F1141" s="4">
        <v>8.0</v>
      </c>
      <c r="G1141" s="4">
        <v>0.0</v>
      </c>
      <c r="H1141" s="4">
        <v>0.0</v>
      </c>
      <c r="I1141" s="4">
        <v>46.0</v>
      </c>
      <c r="J1141" s="4">
        <v>16.0</v>
      </c>
      <c r="K1141" s="4">
        <v>30.0</v>
      </c>
      <c r="L1141" s="2" t="s">
        <v>217</v>
      </c>
      <c r="M1141" s="5">
        <f>IFERROR(__xludf.DUMMYFUNCTION("""COMPUTED_VALUE"""),18.0)</f>
        <v>18</v>
      </c>
      <c r="N1141" s="5">
        <f>IFERROR(__xludf.DUMMYFUNCTION("""COMPUTED_VALUE"""),4.0)</f>
        <v>4</v>
      </c>
      <c r="O1141" s="5">
        <f>IFERROR(__xludf.DUMMYFUNCTION("""COMPUTED_VALUE"""),0.0)</f>
        <v>0</v>
      </c>
    </row>
    <row r="1142">
      <c r="A1142" s="1" t="s">
        <v>492</v>
      </c>
      <c r="B1142" s="4">
        <v>15.0</v>
      </c>
      <c r="C1142" s="1" t="s">
        <v>92</v>
      </c>
      <c r="D1142" s="4">
        <v>16.0</v>
      </c>
      <c r="E1142" s="4">
        <v>10.0</v>
      </c>
      <c r="F1142" s="4">
        <v>8.0</v>
      </c>
      <c r="G1142" s="4">
        <v>2.0</v>
      </c>
      <c r="H1142" s="4">
        <v>0.0</v>
      </c>
      <c r="I1142" s="4">
        <v>56.0</v>
      </c>
      <c r="J1142" s="4">
        <v>34.0</v>
      </c>
      <c r="K1142" s="4">
        <v>22.0</v>
      </c>
      <c r="L1142" s="2" t="s">
        <v>57</v>
      </c>
      <c r="M1142" s="5">
        <f>IFERROR(__xludf.DUMMYFUNCTION("""COMPUTED_VALUE"""),17.0)</f>
        <v>17</v>
      </c>
      <c r="N1142" s="5">
        <f>IFERROR(__xludf.DUMMYFUNCTION("""COMPUTED_VALUE"""),7.0)</f>
        <v>7</v>
      </c>
      <c r="O1142" s="5">
        <f>IFERROR(__xludf.DUMMYFUNCTION("""COMPUTED_VALUE"""),0.0)</f>
        <v>0</v>
      </c>
    </row>
    <row r="1143">
      <c r="A1143" s="1" t="s">
        <v>492</v>
      </c>
      <c r="B1143" s="4">
        <v>16.0</v>
      </c>
      <c r="C1143" s="1" t="s">
        <v>61</v>
      </c>
      <c r="D1143" s="4">
        <v>15.0</v>
      </c>
      <c r="E1143" s="4">
        <v>10.0</v>
      </c>
      <c r="F1143" s="4">
        <v>7.0</v>
      </c>
      <c r="G1143" s="4">
        <v>2.0</v>
      </c>
      <c r="H1143" s="4">
        <v>1.0</v>
      </c>
      <c r="I1143" s="4">
        <v>53.0</v>
      </c>
      <c r="J1143" s="4">
        <v>25.0</v>
      </c>
      <c r="K1143" s="4">
        <v>28.0</v>
      </c>
      <c r="L1143" s="2" t="s">
        <v>426</v>
      </c>
      <c r="M1143" s="5">
        <f>IFERROR(__xludf.DUMMYFUNCTION("""COMPUTED_VALUE"""),16.0)</f>
        <v>16</v>
      </c>
      <c r="N1143" s="5">
        <f>IFERROR(__xludf.DUMMYFUNCTION("""COMPUTED_VALUE"""),5.0)</f>
        <v>5</v>
      </c>
      <c r="O1143" s="5">
        <f>IFERROR(__xludf.DUMMYFUNCTION("""COMPUTED_VALUE"""),2.0)</f>
        <v>2</v>
      </c>
    </row>
    <row r="1144">
      <c r="A1144" s="1" t="s">
        <v>492</v>
      </c>
      <c r="B1144" s="4">
        <v>17.0</v>
      </c>
      <c r="C1144" s="1" t="s">
        <v>66</v>
      </c>
      <c r="D1144" s="4">
        <v>15.0</v>
      </c>
      <c r="E1144" s="4">
        <v>12.0</v>
      </c>
      <c r="F1144" s="4">
        <v>7.0</v>
      </c>
      <c r="G1144" s="4">
        <v>4.0</v>
      </c>
      <c r="H1144" s="4">
        <v>1.0</v>
      </c>
      <c r="I1144" s="4">
        <v>66.0</v>
      </c>
      <c r="J1144" s="4">
        <v>46.0</v>
      </c>
      <c r="K1144" s="4">
        <v>20.0</v>
      </c>
      <c r="L1144" s="2" t="s">
        <v>333</v>
      </c>
      <c r="M1144" s="5">
        <f>IFERROR(__xludf.DUMMYFUNCTION("""COMPUTED_VALUE"""),12.0)</f>
        <v>12</v>
      </c>
      <c r="N1144" s="5">
        <f>IFERROR(__xludf.DUMMYFUNCTION("""COMPUTED_VALUE"""),9.0)</f>
        <v>9</v>
      </c>
      <c r="O1144" s="5">
        <f>IFERROR(__xludf.DUMMYFUNCTION("""COMPUTED_VALUE"""),2001.0)</f>
        <v>2001</v>
      </c>
    </row>
    <row r="1145">
      <c r="A1145" s="1" t="s">
        <v>492</v>
      </c>
      <c r="B1145" s="4">
        <v>18.0</v>
      </c>
      <c r="C1145" s="1" t="s">
        <v>81</v>
      </c>
      <c r="D1145" s="4">
        <v>15.0</v>
      </c>
      <c r="E1145" s="4">
        <v>10.0</v>
      </c>
      <c r="F1145" s="4">
        <v>7.0</v>
      </c>
      <c r="G1145" s="4">
        <v>2.0</v>
      </c>
      <c r="H1145" s="4">
        <v>1.0</v>
      </c>
      <c r="I1145" s="4">
        <v>39.0</v>
      </c>
      <c r="J1145" s="4">
        <v>24.0</v>
      </c>
      <c r="K1145" s="4">
        <v>15.0</v>
      </c>
      <c r="L1145" s="2" t="s">
        <v>474</v>
      </c>
      <c r="M1145" s="5">
        <f>IFERROR(__xludf.DUMMYFUNCTION("""COMPUTED_VALUE"""),9.0)</f>
        <v>9</v>
      </c>
      <c r="N1145" s="5">
        <f>IFERROR(__xludf.DUMMYFUNCTION("""COMPUTED_VALUE"""),9.0)</f>
        <v>9</v>
      </c>
      <c r="O1145" s="5">
        <f>IFERROR(__xludf.DUMMYFUNCTION("""COMPUTED_VALUE"""),2001.0)</f>
        <v>2001</v>
      </c>
    </row>
    <row r="1146">
      <c r="A1146" s="1" t="s">
        <v>492</v>
      </c>
      <c r="B1146" s="4">
        <v>19.0</v>
      </c>
      <c r="C1146" s="1" t="s">
        <v>33</v>
      </c>
      <c r="D1146" s="4">
        <v>14.0</v>
      </c>
      <c r="E1146" s="4">
        <v>8.0</v>
      </c>
      <c r="F1146" s="4">
        <v>7.0</v>
      </c>
      <c r="G1146" s="4">
        <v>1.0</v>
      </c>
      <c r="H1146" s="4">
        <v>0.0</v>
      </c>
      <c r="I1146" s="4">
        <v>56.0</v>
      </c>
      <c r="J1146" s="4">
        <v>18.0</v>
      </c>
      <c r="K1146" s="4">
        <v>38.0</v>
      </c>
      <c r="L1146" s="2" t="s">
        <v>38</v>
      </c>
      <c r="M1146" s="5">
        <f>IFERROR(__xludf.DUMMYFUNCTION("""COMPUTED_VALUE"""),16.0)</f>
        <v>16</v>
      </c>
      <c r="N1146" s="5">
        <f>IFERROR(__xludf.DUMMYFUNCTION("""COMPUTED_VALUE"""),8.0)</f>
        <v>8</v>
      </c>
      <c r="O1146" s="5">
        <f>IFERROR(__xludf.DUMMYFUNCTION("""COMPUTED_VALUE"""),0.0)</f>
        <v>0</v>
      </c>
    </row>
    <row r="1147">
      <c r="A1147" s="1" t="s">
        <v>492</v>
      </c>
      <c r="B1147" s="4">
        <v>20.0</v>
      </c>
      <c r="C1147" s="1" t="s">
        <v>18</v>
      </c>
      <c r="D1147" s="4">
        <v>14.0</v>
      </c>
      <c r="E1147" s="4">
        <v>8.0</v>
      </c>
      <c r="F1147" s="4">
        <v>7.0</v>
      </c>
      <c r="G1147" s="4">
        <v>1.0</v>
      </c>
      <c r="H1147" s="4">
        <v>0.0</v>
      </c>
      <c r="I1147" s="4">
        <v>44.0</v>
      </c>
      <c r="J1147" s="4">
        <v>18.0</v>
      </c>
      <c r="K1147" s="4">
        <v>26.0</v>
      </c>
      <c r="L1147" s="2" t="s">
        <v>23</v>
      </c>
      <c r="M1147" s="5">
        <f>IFERROR(__xludf.DUMMYFUNCTION("""COMPUTED_VALUE"""),14.0)</f>
        <v>14</v>
      </c>
      <c r="N1147" s="5">
        <f>IFERROR(__xludf.DUMMYFUNCTION("""COMPUTED_VALUE"""),10.0)</f>
        <v>10</v>
      </c>
      <c r="O1147" s="5">
        <f>IFERROR(__xludf.DUMMYFUNCTION("""COMPUTED_VALUE"""),0.0)</f>
        <v>0</v>
      </c>
    </row>
    <row r="1148">
      <c r="A1148" s="1" t="s">
        <v>492</v>
      </c>
      <c r="B1148" s="4">
        <v>21.0</v>
      </c>
      <c r="C1148" s="1" t="s">
        <v>105</v>
      </c>
      <c r="D1148" s="4">
        <v>14.0</v>
      </c>
      <c r="E1148" s="4">
        <v>12.0</v>
      </c>
      <c r="F1148" s="4">
        <v>7.0</v>
      </c>
      <c r="G1148" s="4">
        <v>5.0</v>
      </c>
      <c r="H1148" s="4">
        <v>0.0</v>
      </c>
      <c r="I1148" s="4">
        <v>58.0</v>
      </c>
      <c r="J1148" s="4">
        <v>39.0</v>
      </c>
      <c r="K1148" s="4">
        <v>19.0</v>
      </c>
      <c r="L1148" s="2" t="s">
        <v>410</v>
      </c>
      <c r="M1148" s="5">
        <f>IFERROR(__xludf.DUMMYFUNCTION("""COMPUTED_VALUE"""),13.0)</f>
        <v>13</v>
      </c>
      <c r="N1148" s="5">
        <f>IFERROR(__xludf.DUMMYFUNCTION("""COMPUTED_VALUE"""),9.0)</f>
        <v>9</v>
      </c>
      <c r="O1148" s="5">
        <f>IFERROR(__xludf.DUMMYFUNCTION("""COMPUTED_VALUE"""),0.0)</f>
        <v>0</v>
      </c>
    </row>
    <row r="1149">
      <c r="A1149" s="1" t="s">
        <v>492</v>
      </c>
      <c r="B1149" s="4">
        <v>22.0</v>
      </c>
      <c r="C1149" s="1" t="s">
        <v>106</v>
      </c>
      <c r="D1149" s="4">
        <v>13.0</v>
      </c>
      <c r="E1149" s="4">
        <v>14.0</v>
      </c>
      <c r="F1149" s="4">
        <v>6.0</v>
      </c>
      <c r="G1149" s="4">
        <v>7.0</v>
      </c>
      <c r="H1149" s="4">
        <v>1.0</v>
      </c>
      <c r="I1149" s="4">
        <v>65.0</v>
      </c>
      <c r="J1149" s="4">
        <v>48.0</v>
      </c>
      <c r="K1149" s="4">
        <v>17.0</v>
      </c>
      <c r="L1149" s="2" t="s">
        <v>177</v>
      </c>
      <c r="M1149" s="5">
        <f>IFERROR(__xludf.DUMMYFUNCTION("""COMPUTED_VALUE"""),13.0)</f>
        <v>13</v>
      </c>
      <c r="N1149" s="5">
        <f>IFERROR(__xludf.DUMMYFUNCTION("""COMPUTED_VALUE"""),10.0)</f>
        <v>10</v>
      </c>
      <c r="O1149" s="5">
        <f>IFERROR(__xludf.DUMMYFUNCTION("""COMPUTED_VALUE"""),1.0)</f>
        <v>1</v>
      </c>
    </row>
    <row r="1150">
      <c r="A1150" s="1" t="s">
        <v>492</v>
      </c>
      <c r="B1150" s="4">
        <v>23.0</v>
      </c>
      <c r="C1150" s="1" t="s">
        <v>85</v>
      </c>
      <c r="D1150" s="4">
        <v>13.0</v>
      </c>
      <c r="E1150" s="4">
        <v>11.0</v>
      </c>
      <c r="F1150" s="4">
        <v>6.0</v>
      </c>
      <c r="G1150" s="4">
        <v>4.0</v>
      </c>
      <c r="H1150" s="4">
        <v>1.0</v>
      </c>
      <c r="I1150" s="4">
        <v>35.0</v>
      </c>
      <c r="J1150" s="4">
        <v>18.0</v>
      </c>
      <c r="K1150" s="4">
        <v>17.0</v>
      </c>
      <c r="L1150" s="2" t="s">
        <v>72</v>
      </c>
      <c r="M1150" s="5">
        <f>IFERROR(__xludf.DUMMYFUNCTION("""COMPUTED_VALUE"""),15.0)</f>
        <v>15</v>
      </c>
      <c r="N1150" s="5">
        <f>IFERROR(__xludf.DUMMYFUNCTION("""COMPUTED_VALUE"""),8.0)</f>
        <v>8</v>
      </c>
      <c r="O1150" s="5">
        <f>IFERROR(__xludf.DUMMYFUNCTION("""COMPUTED_VALUE"""),1.0)</f>
        <v>1</v>
      </c>
    </row>
    <row r="1151">
      <c r="A1151" s="1" t="s">
        <v>492</v>
      </c>
      <c r="B1151" s="4">
        <v>24.0</v>
      </c>
      <c r="C1151" s="1" t="s">
        <v>90</v>
      </c>
      <c r="D1151" s="4">
        <v>13.0</v>
      </c>
      <c r="E1151" s="4">
        <v>10.0</v>
      </c>
      <c r="F1151" s="4">
        <v>6.0</v>
      </c>
      <c r="G1151" s="4">
        <v>3.0</v>
      </c>
      <c r="H1151" s="4">
        <v>1.0</v>
      </c>
      <c r="I1151" s="4">
        <v>39.0</v>
      </c>
      <c r="J1151" s="4">
        <v>26.0</v>
      </c>
      <c r="K1151" s="4">
        <v>13.0</v>
      </c>
      <c r="L1151" s="2" t="s">
        <v>183</v>
      </c>
      <c r="M1151" s="5">
        <f>IFERROR(__xludf.DUMMYFUNCTION("""COMPUTED_VALUE"""),14.0)</f>
        <v>14</v>
      </c>
      <c r="N1151" s="5">
        <f>IFERROR(__xludf.DUMMYFUNCTION("""COMPUTED_VALUE"""),8.0)</f>
        <v>8</v>
      </c>
      <c r="O1151" s="5">
        <f>IFERROR(__xludf.DUMMYFUNCTION("""COMPUTED_VALUE"""),1.0)</f>
        <v>1</v>
      </c>
    </row>
    <row r="1152">
      <c r="A1152" s="1" t="s">
        <v>492</v>
      </c>
      <c r="B1152" s="4">
        <v>25.0</v>
      </c>
      <c r="C1152" s="1" t="s">
        <v>86</v>
      </c>
      <c r="D1152" s="4">
        <v>13.0</v>
      </c>
      <c r="E1152" s="4">
        <v>14.0</v>
      </c>
      <c r="F1152" s="4">
        <v>6.0</v>
      </c>
      <c r="G1152" s="4">
        <v>7.0</v>
      </c>
      <c r="H1152" s="4">
        <v>1.0</v>
      </c>
      <c r="I1152" s="4">
        <v>55.0</v>
      </c>
      <c r="J1152" s="4">
        <v>49.0</v>
      </c>
      <c r="K1152" s="4">
        <v>6.0</v>
      </c>
      <c r="L1152" s="2" t="s">
        <v>432</v>
      </c>
      <c r="M1152" s="5">
        <f>IFERROR(__xludf.DUMMYFUNCTION("""COMPUTED_VALUE"""),10.0)</f>
        <v>10</v>
      </c>
      <c r="N1152" s="5">
        <f>IFERROR(__xludf.DUMMYFUNCTION("""COMPUTED_VALUE"""),11.0)</f>
        <v>11</v>
      </c>
      <c r="O1152" s="5">
        <f>IFERROR(__xludf.DUMMYFUNCTION("""COMPUTED_VALUE"""),2001.0)</f>
        <v>2001</v>
      </c>
    </row>
    <row r="1153">
      <c r="A1153" s="1" t="s">
        <v>492</v>
      </c>
      <c r="B1153" s="4">
        <v>26.0</v>
      </c>
      <c r="C1153" s="1" t="s">
        <v>54</v>
      </c>
      <c r="D1153" s="4">
        <v>12.0</v>
      </c>
      <c r="E1153" s="4">
        <v>6.0</v>
      </c>
      <c r="F1153" s="4">
        <v>6.0</v>
      </c>
      <c r="G1153" s="4">
        <v>0.0</v>
      </c>
      <c r="H1153" s="4">
        <v>0.0</v>
      </c>
      <c r="I1153" s="4">
        <v>42.0</v>
      </c>
      <c r="J1153" s="4">
        <v>15.0</v>
      </c>
      <c r="K1153" s="4">
        <v>27.0</v>
      </c>
      <c r="L1153" s="2" t="s">
        <v>403</v>
      </c>
      <c r="M1153" s="5">
        <f>IFERROR(__xludf.DUMMYFUNCTION("""COMPUTED_VALUE"""),19.0)</f>
        <v>19</v>
      </c>
      <c r="N1153" s="5">
        <f>IFERROR(__xludf.DUMMYFUNCTION("""COMPUTED_VALUE"""),3.0)</f>
        <v>3</v>
      </c>
      <c r="O1153" s="5">
        <f>IFERROR(__xludf.DUMMYFUNCTION("""COMPUTED_VALUE"""),2.0)</f>
        <v>2</v>
      </c>
    </row>
    <row r="1154">
      <c r="A1154" s="1" t="s">
        <v>492</v>
      </c>
      <c r="B1154" s="4">
        <v>27.0</v>
      </c>
      <c r="C1154" s="1" t="s">
        <v>41</v>
      </c>
      <c r="D1154" s="4">
        <v>12.0</v>
      </c>
      <c r="E1154" s="4">
        <v>10.0</v>
      </c>
      <c r="F1154" s="4">
        <v>6.0</v>
      </c>
      <c r="G1154" s="4">
        <v>4.0</v>
      </c>
      <c r="H1154" s="4">
        <v>0.0</v>
      </c>
      <c r="I1154" s="4">
        <v>30.0</v>
      </c>
      <c r="J1154" s="4">
        <v>30.0</v>
      </c>
      <c r="K1154" s="4">
        <v>0.0</v>
      </c>
      <c r="L1154" s="2" t="s">
        <v>102</v>
      </c>
      <c r="M1154" s="5">
        <f>IFERROR(__xludf.DUMMYFUNCTION("""COMPUTED_VALUE"""),13.0)</f>
        <v>13</v>
      </c>
      <c r="N1154" s="5">
        <f>IFERROR(__xludf.DUMMYFUNCTION("""COMPUTED_VALUE"""),11.0)</f>
        <v>11</v>
      </c>
      <c r="O1154" s="5">
        <f>IFERROR(__xludf.DUMMYFUNCTION("""COMPUTED_VALUE"""),0.0)</f>
        <v>0</v>
      </c>
    </row>
    <row r="1155">
      <c r="A1155" s="1" t="s">
        <v>492</v>
      </c>
      <c r="B1155" s="4">
        <v>28.0</v>
      </c>
      <c r="C1155" s="1" t="s">
        <v>29</v>
      </c>
      <c r="D1155" s="4">
        <v>12.0</v>
      </c>
      <c r="E1155" s="4">
        <v>14.0</v>
      </c>
      <c r="F1155" s="4">
        <v>6.0</v>
      </c>
      <c r="G1155" s="4">
        <v>8.0</v>
      </c>
      <c r="H1155" s="4">
        <v>0.0</v>
      </c>
      <c r="I1155" s="4">
        <v>48.0</v>
      </c>
      <c r="J1155" s="4">
        <v>68.0</v>
      </c>
      <c r="K1155" s="4">
        <v>-20.0</v>
      </c>
      <c r="L1155" s="2" t="s">
        <v>120</v>
      </c>
      <c r="M1155" s="5">
        <f>IFERROR(__xludf.DUMMYFUNCTION("""COMPUTED_VALUE"""),7.0)</f>
        <v>7</v>
      </c>
      <c r="N1155" s="5">
        <f>IFERROR(__xludf.DUMMYFUNCTION("""COMPUTED_VALUE"""),16.0)</f>
        <v>16</v>
      </c>
      <c r="O1155" s="5">
        <f>IFERROR(__xludf.DUMMYFUNCTION("""COMPUTED_VALUE"""),2000.0)</f>
        <v>2000</v>
      </c>
    </row>
    <row r="1156">
      <c r="A1156" s="1" t="s">
        <v>492</v>
      </c>
      <c r="B1156" s="4">
        <v>29.0</v>
      </c>
      <c r="C1156" s="1" t="s">
        <v>73</v>
      </c>
      <c r="D1156" s="4">
        <v>11.0</v>
      </c>
      <c r="E1156" s="4">
        <v>8.0</v>
      </c>
      <c r="F1156" s="4">
        <v>5.0</v>
      </c>
      <c r="G1156" s="4">
        <v>2.0</v>
      </c>
      <c r="H1156" s="4">
        <v>1.0</v>
      </c>
      <c r="I1156" s="4">
        <v>36.0</v>
      </c>
      <c r="J1156" s="4">
        <v>19.0</v>
      </c>
      <c r="K1156" s="4">
        <v>17.0</v>
      </c>
      <c r="L1156" s="2" t="s">
        <v>426</v>
      </c>
      <c r="M1156" s="5">
        <f>IFERROR(__xludf.DUMMYFUNCTION("""COMPUTED_VALUE"""),16.0)</f>
        <v>16</v>
      </c>
      <c r="N1156" s="5">
        <f>IFERROR(__xludf.DUMMYFUNCTION("""COMPUTED_VALUE"""),5.0)</f>
        <v>5</v>
      </c>
      <c r="O1156" s="5">
        <f>IFERROR(__xludf.DUMMYFUNCTION("""COMPUTED_VALUE"""),2.0)</f>
        <v>2</v>
      </c>
    </row>
    <row r="1157">
      <c r="A1157" s="1" t="s">
        <v>492</v>
      </c>
      <c r="B1157" s="4">
        <v>30.0</v>
      </c>
      <c r="C1157" s="1" t="s">
        <v>88</v>
      </c>
      <c r="D1157" s="4">
        <v>11.0</v>
      </c>
      <c r="E1157" s="4">
        <v>12.0</v>
      </c>
      <c r="F1157" s="4">
        <v>5.0</v>
      </c>
      <c r="G1157" s="4">
        <v>6.0</v>
      </c>
      <c r="H1157" s="4">
        <v>1.0</v>
      </c>
      <c r="I1157" s="4">
        <v>38.0</v>
      </c>
      <c r="J1157" s="4">
        <v>40.0</v>
      </c>
      <c r="K1157" s="4">
        <v>-2.0</v>
      </c>
      <c r="L1157" s="2" t="s">
        <v>495</v>
      </c>
      <c r="M1157" s="5">
        <f>IFERROR(__xludf.DUMMYFUNCTION("""COMPUTED_VALUE"""),9.0)</f>
        <v>9</v>
      </c>
      <c r="N1157" s="5">
        <f>IFERROR(__xludf.DUMMYFUNCTION("""COMPUTED_VALUE"""),11.0)</f>
        <v>11</v>
      </c>
      <c r="O1157" s="5">
        <f>IFERROR(__xludf.DUMMYFUNCTION("""COMPUTED_VALUE"""),2001.0)</f>
        <v>2001</v>
      </c>
    </row>
    <row r="1158">
      <c r="A1158" s="1" t="s">
        <v>492</v>
      </c>
      <c r="B1158" s="4">
        <v>31.0</v>
      </c>
      <c r="C1158" s="1" t="s">
        <v>398</v>
      </c>
      <c r="D1158" s="4">
        <v>11.0</v>
      </c>
      <c r="E1158" s="4">
        <v>11.0</v>
      </c>
      <c r="F1158" s="4">
        <v>5.0</v>
      </c>
      <c r="G1158" s="4">
        <v>5.0</v>
      </c>
      <c r="H1158" s="4">
        <v>1.0</v>
      </c>
      <c r="I1158" s="4">
        <v>33.0</v>
      </c>
      <c r="J1158" s="4">
        <v>39.0</v>
      </c>
      <c r="K1158" s="4">
        <v>-6.0</v>
      </c>
      <c r="L1158" s="2" t="s">
        <v>177</v>
      </c>
      <c r="M1158" s="5">
        <f>IFERROR(__xludf.DUMMYFUNCTION("""COMPUTED_VALUE"""),13.0)</f>
        <v>13</v>
      </c>
      <c r="N1158" s="5">
        <f>IFERROR(__xludf.DUMMYFUNCTION("""COMPUTED_VALUE"""),10.0)</f>
        <v>10</v>
      </c>
      <c r="O1158" s="5">
        <f>IFERROR(__xludf.DUMMYFUNCTION("""COMPUTED_VALUE"""),1.0)</f>
        <v>1</v>
      </c>
    </row>
    <row r="1159">
      <c r="A1159" s="1" t="s">
        <v>492</v>
      </c>
      <c r="B1159" s="4">
        <v>32.0</v>
      </c>
      <c r="C1159" s="1" t="s">
        <v>496</v>
      </c>
      <c r="D1159" s="4">
        <v>10.0</v>
      </c>
      <c r="E1159" s="4">
        <v>6.0</v>
      </c>
      <c r="F1159" s="4">
        <v>5.0</v>
      </c>
      <c r="G1159" s="4">
        <v>1.0</v>
      </c>
      <c r="H1159" s="4">
        <v>0.0</v>
      </c>
      <c r="I1159" s="4">
        <v>35.0</v>
      </c>
      <c r="J1159" s="4">
        <v>19.0</v>
      </c>
      <c r="K1159" s="4">
        <v>16.0</v>
      </c>
      <c r="L1159" s="2" t="s">
        <v>21</v>
      </c>
      <c r="M1159" s="5">
        <f>IFERROR(__xludf.DUMMYFUNCTION("""COMPUTED_VALUE"""),15.0)</f>
        <v>15</v>
      </c>
      <c r="N1159" s="5">
        <f>IFERROR(__xludf.DUMMYFUNCTION("""COMPUTED_VALUE"""),8.0)</f>
        <v>8</v>
      </c>
      <c r="O1159" s="5">
        <f>IFERROR(__xludf.DUMMYFUNCTION("""COMPUTED_VALUE"""),0.0)</f>
        <v>0</v>
      </c>
    </row>
    <row r="1160">
      <c r="A1160" s="1" t="s">
        <v>492</v>
      </c>
      <c r="B1160" s="4">
        <v>33.0</v>
      </c>
      <c r="C1160" s="1" t="s">
        <v>371</v>
      </c>
      <c r="D1160" s="4">
        <v>10.0</v>
      </c>
      <c r="E1160" s="4">
        <v>8.0</v>
      </c>
      <c r="F1160" s="4">
        <v>5.0</v>
      </c>
      <c r="G1160" s="4">
        <v>3.0</v>
      </c>
      <c r="H1160" s="4">
        <v>0.0</v>
      </c>
      <c r="I1160" s="4">
        <v>26.0</v>
      </c>
      <c r="J1160" s="4">
        <v>14.0</v>
      </c>
      <c r="K1160" s="4">
        <v>12.0</v>
      </c>
      <c r="L1160" s="2" t="s">
        <v>497</v>
      </c>
      <c r="M1160" s="5">
        <f>IFERROR(__xludf.DUMMYFUNCTION("""COMPUTED_VALUE"""),15.0)</f>
        <v>15</v>
      </c>
      <c r="N1160" s="5">
        <f>IFERROR(__xludf.DUMMYFUNCTION("""COMPUTED_VALUE"""),5.0)</f>
        <v>5</v>
      </c>
      <c r="O1160" s="5">
        <f>IFERROR(__xludf.DUMMYFUNCTION("""COMPUTED_VALUE"""),1.0)</f>
        <v>1</v>
      </c>
    </row>
    <row r="1161">
      <c r="A1161" s="1" t="s">
        <v>492</v>
      </c>
      <c r="B1161" s="4">
        <v>34.0</v>
      </c>
      <c r="C1161" s="1" t="s">
        <v>27</v>
      </c>
      <c r="D1161" s="4">
        <v>10.0</v>
      </c>
      <c r="E1161" s="4">
        <v>12.0</v>
      </c>
      <c r="F1161" s="4">
        <v>5.0</v>
      </c>
      <c r="G1161" s="4">
        <v>7.0</v>
      </c>
      <c r="H1161" s="4">
        <v>0.0</v>
      </c>
      <c r="I1161" s="4">
        <v>48.0</v>
      </c>
      <c r="J1161" s="4">
        <v>37.0</v>
      </c>
      <c r="K1161" s="4">
        <v>11.0</v>
      </c>
      <c r="L1161" s="2" t="s">
        <v>351</v>
      </c>
      <c r="M1161" s="5">
        <f>IFERROR(__xludf.DUMMYFUNCTION("""COMPUTED_VALUE"""),12.0)</f>
        <v>12</v>
      </c>
      <c r="N1161" s="5">
        <f>IFERROR(__xludf.DUMMYFUNCTION("""COMPUTED_VALUE"""),8.0)</f>
        <v>8</v>
      </c>
      <c r="O1161" s="5">
        <f>IFERROR(__xludf.DUMMYFUNCTION("""COMPUTED_VALUE"""),2002.0)</f>
        <v>2002</v>
      </c>
    </row>
    <row r="1162">
      <c r="A1162" s="1" t="s">
        <v>492</v>
      </c>
      <c r="B1162" s="4">
        <v>35.0</v>
      </c>
      <c r="C1162" s="1" t="s">
        <v>159</v>
      </c>
      <c r="D1162" s="4">
        <v>10.0</v>
      </c>
      <c r="E1162" s="4">
        <v>10.0</v>
      </c>
      <c r="F1162" s="4">
        <v>5.0</v>
      </c>
      <c r="G1162" s="4">
        <v>5.0</v>
      </c>
      <c r="H1162" s="4">
        <v>0.0</v>
      </c>
      <c r="I1162" s="4">
        <v>51.0</v>
      </c>
      <c r="J1162" s="4">
        <v>43.0</v>
      </c>
      <c r="K1162" s="4">
        <v>8.0</v>
      </c>
      <c r="L1162" s="2" t="s">
        <v>498</v>
      </c>
      <c r="M1162" s="5">
        <f>IFERROR(__xludf.DUMMYFUNCTION("""COMPUTED_VALUE"""),11.0)</f>
        <v>11</v>
      </c>
      <c r="N1162" s="5">
        <f>IFERROR(__xludf.DUMMYFUNCTION("""COMPUTED_VALUE"""),9.0)</f>
        <v>9</v>
      </c>
      <c r="O1162" s="5">
        <f>IFERROR(__xludf.DUMMYFUNCTION("""COMPUTED_VALUE"""),2000.0)</f>
        <v>2000</v>
      </c>
    </row>
    <row r="1163">
      <c r="A1163" s="1" t="s">
        <v>492</v>
      </c>
      <c r="B1163" s="4">
        <v>36.0</v>
      </c>
      <c r="C1163" s="1" t="s">
        <v>113</v>
      </c>
      <c r="D1163" s="4">
        <v>10.0</v>
      </c>
      <c r="E1163" s="4">
        <v>10.0</v>
      </c>
      <c r="F1163" s="4">
        <v>5.0</v>
      </c>
      <c r="G1163" s="4">
        <v>5.0</v>
      </c>
      <c r="H1163" s="4">
        <v>0.0</v>
      </c>
      <c r="I1163" s="4">
        <v>28.0</v>
      </c>
      <c r="J1163" s="4">
        <v>27.0</v>
      </c>
      <c r="K1163" s="4">
        <v>1.0</v>
      </c>
      <c r="L1163" s="2" t="s">
        <v>499</v>
      </c>
      <c r="M1163" s="5">
        <f>IFERROR(__xludf.DUMMYFUNCTION("""COMPUTED_VALUE"""),10.0)</f>
        <v>10</v>
      </c>
      <c r="N1163" s="5">
        <f>IFERROR(__xludf.DUMMYFUNCTION("""COMPUTED_VALUE"""),9.0)</f>
        <v>9</v>
      </c>
      <c r="O1163" s="5">
        <f>IFERROR(__xludf.DUMMYFUNCTION("""COMPUTED_VALUE"""),2003.0)</f>
        <v>2003</v>
      </c>
    </row>
    <row r="1164">
      <c r="A1164" s="1" t="s">
        <v>492</v>
      </c>
      <c r="B1164" s="4">
        <v>37.0</v>
      </c>
      <c r="C1164" s="1" t="s">
        <v>64</v>
      </c>
      <c r="D1164" s="4">
        <v>10.0</v>
      </c>
      <c r="E1164" s="4">
        <v>14.0</v>
      </c>
      <c r="F1164" s="4">
        <v>5.0</v>
      </c>
      <c r="G1164" s="4">
        <v>9.0</v>
      </c>
      <c r="H1164" s="4">
        <v>0.0</v>
      </c>
      <c r="I1164" s="4">
        <v>41.0</v>
      </c>
      <c r="J1164" s="4">
        <v>54.0</v>
      </c>
      <c r="K1164" s="4">
        <v>-13.0</v>
      </c>
      <c r="L1164" s="2" t="s">
        <v>231</v>
      </c>
      <c r="M1164" s="5">
        <f>IFERROR(__xludf.DUMMYFUNCTION("""COMPUTED_VALUE"""),8.0)</f>
        <v>8</v>
      </c>
      <c r="N1164" s="5">
        <f>IFERROR(__xludf.DUMMYFUNCTION("""COMPUTED_VALUE"""),14.0)</f>
        <v>14</v>
      </c>
      <c r="O1164" s="5">
        <f>IFERROR(__xludf.DUMMYFUNCTION("""COMPUTED_VALUE"""),2000.0)</f>
        <v>2000</v>
      </c>
    </row>
    <row r="1165">
      <c r="A1165" s="1" t="s">
        <v>492</v>
      </c>
      <c r="B1165" s="4">
        <v>38.0</v>
      </c>
      <c r="C1165" s="1" t="s">
        <v>146</v>
      </c>
      <c r="D1165" s="4">
        <v>10.0</v>
      </c>
      <c r="E1165" s="4">
        <v>14.0</v>
      </c>
      <c r="F1165" s="4">
        <v>5.0</v>
      </c>
      <c r="G1165" s="4">
        <v>9.0</v>
      </c>
      <c r="H1165" s="4">
        <v>0.0</v>
      </c>
      <c r="I1165" s="4">
        <v>48.0</v>
      </c>
      <c r="J1165" s="4">
        <v>64.0</v>
      </c>
      <c r="K1165" s="4">
        <v>-16.0</v>
      </c>
      <c r="L1165" s="2" t="s">
        <v>173</v>
      </c>
      <c r="M1165" s="5">
        <f>IFERROR(__xludf.DUMMYFUNCTION("""COMPUTED_VALUE"""),8.0)</f>
        <v>8</v>
      </c>
      <c r="N1165" s="5">
        <f>IFERROR(__xludf.DUMMYFUNCTION("""COMPUTED_VALUE"""),15.0)</f>
        <v>15</v>
      </c>
      <c r="O1165" s="5">
        <f>IFERROR(__xludf.DUMMYFUNCTION("""COMPUTED_VALUE"""),2001.0)</f>
        <v>2001</v>
      </c>
    </row>
    <row r="1166">
      <c r="A1166" s="1" t="s">
        <v>492</v>
      </c>
      <c r="B1166" s="4">
        <v>39.0</v>
      </c>
      <c r="C1166" s="1" t="s">
        <v>161</v>
      </c>
      <c r="D1166" s="4">
        <v>9.0</v>
      </c>
      <c r="E1166" s="4">
        <v>8.0</v>
      </c>
      <c r="F1166" s="4">
        <v>4.0</v>
      </c>
      <c r="G1166" s="4">
        <v>3.0</v>
      </c>
      <c r="H1166" s="4">
        <v>1.0</v>
      </c>
      <c r="I1166" s="4">
        <v>35.0</v>
      </c>
      <c r="J1166" s="4">
        <v>23.0</v>
      </c>
      <c r="K1166" s="4">
        <v>12.0</v>
      </c>
      <c r="L1166" s="2" t="s">
        <v>500</v>
      </c>
      <c r="M1166" s="5">
        <f>IFERROR(__xludf.DUMMYFUNCTION("""COMPUTED_VALUE"""),9.0)</f>
        <v>9</v>
      </c>
      <c r="N1166" s="5">
        <f>IFERROR(__xludf.DUMMYFUNCTION("""COMPUTED_VALUE"""),11.0)</f>
        <v>11</v>
      </c>
      <c r="O1166" s="5">
        <f>IFERROR(__xludf.DUMMYFUNCTION("""COMPUTED_VALUE"""),2002.0)</f>
        <v>2002</v>
      </c>
    </row>
    <row r="1167">
      <c r="A1167" s="1" t="s">
        <v>492</v>
      </c>
      <c r="B1167" s="4">
        <v>40.0</v>
      </c>
      <c r="C1167" s="1" t="s">
        <v>50</v>
      </c>
      <c r="D1167" s="4">
        <v>9.0</v>
      </c>
      <c r="E1167" s="4">
        <v>8.0</v>
      </c>
      <c r="F1167" s="4">
        <v>4.0</v>
      </c>
      <c r="G1167" s="4">
        <v>3.0</v>
      </c>
      <c r="H1167" s="4">
        <v>1.0</v>
      </c>
      <c r="I1167" s="4">
        <v>26.0</v>
      </c>
      <c r="J1167" s="4">
        <v>16.0</v>
      </c>
      <c r="K1167" s="4">
        <v>10.0</v>
      </c>
      <c r="L1167" s="2" t="s">
        <v>501</v>
      </c>
      <c r="M1167" s="5">
        <f>IFERROR(__xludf.DUMMYFUNCTION("""COMPUTED_VALUE"""),10.0)</f>
        <v>10</v>
      </c>
      <c r="N1167" s="5">
        <f>IFERROR(__xludf.DUMMYFUNCTION("""COMPUTED_VALUE"""),10.0)</f>
        <v>10</v>
      </c>
      <c r="O1167" s="5">
        <f>IFERROR(__xludf.DUMMYFUNCTION("""COMPUTED_VALUE"""),2003.0)</f>
        <v>2003</v>
      </c>
    </row>
    <row r="1168">
      <c r="A1168" s="1" t="s">
        <v>492</v>
      </c>
      <c r="B1168" s="4">
        <v>41.0</v>
      </c>
      <c r="C1168" s="1" t="s">
        <v>39</v>
      </c>
      <c r="D1168" s="4">
        <v>9.0</v>
      </c>
      <c r="E1168" s="4">
        <v>6.0</v>
      </c>
      <c r="F1168" s="4">
        <v>4.0</v>
      </c>
      <c r="G1168" s="4">
        <v>1.0</v>
      </c>
      <c r="H1168" s="4">
        <v>1.0</v>
      </c>
      <c r="I1168" s="4">
        <v>26.0</v>
      </c>
      <c r="J1168" s="4">
        <v>18.0</v>
      </c>
      <c r="K1168" s="4">
        <v>8.0</v>
      </c>
      <c r="L1168" s="2" t="s">
        <v>501</v>
      </c>
      <c r="M1168" s="5">
        <f>IFERROR(__xludf.DUMMYFUNCTION("""COMPUTED_VALUE"""),10.0)</f>
        <v>10</v>
      </c>
      <c r="N1168" s="5">
        <f>IFERROR(__xludf.DUMMYFUNCTION("""COMPUTED_VALUE"""),10.0)</f>
        <v>10</v>
      </c>
      <c r="O1168" s="5">
        <f>IFERROR(__xludf.DUMMYFUNCTION("""COMPUTED_VALUE"""),2003.0)</f>
        <v>2003</v>
      </c>
    </row>
    <row r="1169">
      <c r="A1169" s="1" t="s">
        <v>492</v>
      </c>
      <c r="B1169" s="4">
        <v>42.0</v>
      </c>
      <c r="C1169" s="1" t="s">
        <v>413</v>
      </c>
      <c r="D1169" s="4">
        <v>9.0</v>
      </c>
      <c r="E1169" s="4">
        <v>12.0</v>
      </c>
      <c r="F1169" s="4">
        <v>4.0</v>
      </c>
      <c r="G1169" s="4">
        <v>7.0</v>
      </c>
      <c r="H1169" s="4">
        <v>1.0</v>
      </c>
      <c r="I1169" s="4">
        <v>44.0</v>
      </c>
      <c r="J1169" s="4">
        <v>40.0</v>
      </c>
      <c r="K1169" s="4">
        <v>4.0</v>
      </c>
      <c r="L1169" s="2" t="s">
        <v>176</v>
      </c>
      <c r="M1169" s="5">
        <f>IFERROR(__xludf.DUMMYFUNCTION("""COMPUTED_VALUE"""),11.0)</f>
        <v>11</v>
      </c>
      <c r="N1169" s="5">
        <f>IFERROR(__xludf.DUMMYFUNCTION("""COMPUTED_VALUE"""),11.0)</f>
        <v>11</v>
      </c>
      <c r="O1169" s="5">
        <f>IFERROR(__xludf.DUMMYFUNCTION("""COMPUTED_VALUE"""),2001.0)</f>
        <v>2001</v>
      </c>
    </row>
    <row r="1170">
      <c r="A1170" s="1" t="s">
        <v>492</v>
      </c>
      <c r="B1170" s="4">
        <v>43.0</v>
      </c>
      <c r="C1170" s="1" t="s">
        <v>158</v>
      </c>
      <c r="D1170" s="4">
        <v>9.0</v>
      </c>
      <c r="E1170" s="4">
        <v>12.0</v>
      </c>
      <c r="F1170" s="4">
        <v>4.0</v>
      </c>
      <c r="G1170" s="4">
        <v>7.0</v>
      </c>
      <c r="H1170" s="4">
        <v>1.0</v>
      </c>
      <c r="I1170" s="4">
        <v>39.0</v>
      </c>
      <c r="J1170" s="4">
        <v>48.0</v>
      </c>
      <c r="K1170" s="4">
        <v>-9.0</v>
      </c>
      <c r="L1170" s="2" t="s">
        <v>433</v>
      </c>
      <c r="M1170" s="5">
        <f>IFERROR(__xludf.DUMMYFUNCTION("""COMPUTED_VALUE"""),11.0)</f>
        <v>11</v>
      </c>
      <c r="N1170" s="5">
        <f>IFERROR(__xludf.DUMMYFUNCTION("""COMPUTED_VALUE"""),10.0)</f>
        <v>10</v>
      </c>
      <c r="O1170" s="5">
        <f>IFERROR(__xludf.DUMMYFUNCTION("""COMPUTED_VALUE"""),2001.0)</f>
        <v>2001</v>
      </c>
    </row>
    <row r="1171">
      <c r="A1171" s="1" t="s">
        <v>492</v>
      </c>
      <c r="B1171" s="4">
        <v>44.0</v>
      </c>
      <c r="C1171" s="1" t="s">
        <v>101</v>
      </c>
      <c r="D1171" s="4">
        <v>8.0</v>
      </c>
      <c r="E1171" s="4">
        <v>4.0</v>
      </c>
      <c r="F1171" s="4">
        <v>4.0</v>
      </c>
      <c r="G1171" s="4">
        <v>0.0</v>
      </c>
      <c r="H1171" s="4">
        <v>0.0</v>
      </c>
      <c r="I1171" s="4">
        <v>30.0</v>
      </c>
      <c r="J1171" s="4">
        <v>4.0</v>
      </c>
      <c r="K1171" s="4">
        <v>26.0</v>
      </c>
      <c r="L1171" s="2" t="s">
        <v>166</v>
      </c>
      <c r="M1171" s="5">
        <f>IFERROR(__xludf.DUMMYFUNCTION("""COMPUTED_VALUE"""),18.0)</f>
        <v>18</v>
      </c>
      <c r="N1171" s="5">
        <f>IFERROR(__xludf.DUMMYFUNCTION("""COMPUTED_VALUE"""),5.0)</f>
        <v>5</v>
      </c>
      <c r="O1171" s="5">
        <f>IFERROR(__xludf.DUMMYFUNCTION("""COMPUTED_VALUE"""),1.0)</f>
        <v>1</v>
      </c>
    </row>
    <row r="1172">
      <c r="A1172" s="1" t="s">
        <v>492</v>
      </c>
      <c r="B1172" s="4">
        <v>45.0</v>
      </c>
      <c r="C1172" s="1" t="s">
        <v>36</v>
      </c>
      <c r="D1172" s="4">
        <v>8.0</v>
      </c>
      <c r="E1172" s="4">
        <v>6.0</v>
      </c>
      <c r="F1172" s="4">
        <v>4.0</v>
      </c>
      <c r="G1172" s="4">
        <v>2.0</v>
      </c>
      <c r="H1172" s="4">
        <v>0.0</v>
      </c>
      <c r="I1172" s="4">
        <v>37.0</v>
      </c>
      <c r="J1172" s="4">
        <v>22.0</v>
      </c>
      <c r="K1172" s="4">
        <v>15.0</v>
      </c>
      <c r="L1172" s="2" t="s">
        <v>389</v>
      </c>
      <c r="M1172" s="5">
        <f>IFERROR(__xludf.DUMMYFUNCTION("""COMPUTED_VALUE"""),10.0)</f>
        <v>10</v>
      </c>
      <c r="N1172" s="5">
        <f>IFERROR(__xludf.DUMMYFUNCTION("""COMPUTED_VALUE"""),10.0)</f>
        <v>10</v>
      </c>
      <c r="O1172" s="5">
        <f>IFERROR(__xludf.DUMMYFUNCTION("""COMPUTED_VALUE"""),2002.0)</f>
        <v>2002</v>
      </c>
    </row>
    <row r="1173">
      <c r="A1173" s="1" t="s">
        <v>492</v>
      </c>
      <c r="B1173" s="4">
        <v>46.0</v>
      </c>
      <c r="C1173" s="1" t="s">
        <v>122</v>
      </c>
      <c r="D1173" s="4">
        <v>8.0</v>
      </c>
      <c r="E1173" s="4">
        <v>8.0</v>
      </c>
      <c r="F1173" s="4">
        <v>4.0</v>
      </c>
      <c r="G1173" s="4">
        <v>4.0</v>
      </c>
      <c r="H1173" s="4">
        <v>0.0</v>
      </c>
      <c r="I1173" s="4">
        <v>31.0</v>
      </c>
      <c r="J1173" s="4">
        <v>39.0</v>
      </c>
      <c r="K1173" s="4">
        <v>-8.0</v>
      </c>
      <c r="L1173" s="2" t="s">
        <v>183</v>
      </c>
      <c r="M1173" s="5">
        <f>IFERROR(__xludf.DUMMYFUNCTION("""COMPUTED_VALUE"""),14.0)</f>
        <v>14</v>
      </c>
      <c r="N1173" s="5">
        <f>IFERROR(__xludf.DUMMYFUNCTION("""COMPUTED_VALUE"""),8.0)</f>
        <v>8</v>
      </c>
      <c r="O1173" s="5">
        <f>IFERROR(__xludf.DUMMYFUNCTION("""COMPUTED_VALUE"""),1.0)</f>
        <v>1</v>
      </c>
    </row>
    <row r="1174">
      <c r="A1174" s="1" t="s">
        <v>492</v>
      </c>
      <c r="B1174" s="4">
        <v>47.0</v>
      </c>
      <c r="C1174" s="1" t="s">
        <v>138</v>
      </c>
      <c r="D1174" s="4">
        <v>8.0</v>
      </c>
      <c r="E1174" s="4">
        <v>12.0</v>
      </c>
      <c r="F1174" s="4">
        <v>4.0</v>
      </c>
      <c r="G1174" s="4">
        <v>8.0</v>
      </c>
      <c r="H1174" s="4">
        <v>0.0</v>
      </c>
      <c r="I1174" s="4">
        <v>55.0</v>
      </c>
      <c r="J1174" s="4">
        <v>69.0</v>
      </c>
      <c r="K1174" s="4">
        <v>-14.0</v>
      </c>
      <c r="L1174" s="2" t="s">
        <v>129</v>
      </c>
      <c r="M1174" s="5">
        <f>IFERROR(__xludf.DUMMYFUNCTION("""COMPUTED_VALUE"""),12.0)</f>
        <v>12</v>
      </c>
      <c r="N1174" s="5">
        <f>IFERROR(__xludf.DUMMYFUNCTION("""COMPUTED_VALUE"""),10.0)</f>
        <v>10</v>
      </c>
      <c r="O1174" s="5">
        <f>IFERROR(__xludf.DUMMYFUNCTION("""COMPUTED_VALUE"""),2000.0)</f>
        <v>2000</v>
      </c>
    </row>
    <row r="1175">
      <c r="A1175" s="1" t="s">
        <v>492</v>
      </c>
      <c r="B1175" s="4">
        <v>48.0</v>
      </c>
      <c r="C1175" s="1" t="s">
        <v>62</v>
      </c>
      <c r="D1175" s="4">
        <v>7.0</v>
      </c>
      <c r="E1175" s="4">
        <v>6.0</v>
      </c>
      <c r="F1175" s="4">
        <v>3.0</v>
      </c>
      <c r="G1175" s="4">
        <v>2.0</v>
      </c>
      <c r="H1175" s="4">
        <v>1.0</v>
      </c>
      <c r="I1175" s="4">
        <v>25.0</v>
      </c>
      <c r="J1175" s="4">
        <v>15.0</v>
      </c>
      <c r="K1175" s="4">
        <v>10.0</v>
      </c>
      <c r="L1175" s="2" t="s">
        <v>317</v>
      </c>
      <c r="M1175" s="5">
        <f>IFERROR(__xludf.DUMMYFUNCTION("""COMPUTED_VALUE"""),14.0)</f>
        <v>14</v>
      </c>
      <c r="N1175" s="5">
        <f>IFERROR(__xludf.DUMMYFUNCTION("""COMPUTED_VALUE"""),7.0)</f>
        <v>7</v>
      </c>
      <c r="O1175" s="5">
        <f>IFERROR(__xludf.DUMMYFUNCTION("""COMPUTED_VALUE"""),2.0)</f>
        <v>2</v>
      </c>
    </row>
    <row r="1176">
      <c r="A1176" s="1" t="s">
        <v>492</v>
      </c>
      <c r="B1176" s="4">
        <v>49.0</v>
      </c>
      <c r="C1176" s="1" t="s">
        <v>481</v>
      </c>
      <c r="D1176" s="4">
        <v>7.0</v>
      </c>
      <c r="E1176" s="4">
        <v>5.0</v>
      </c>
      <c r="F1176" s="4">
        <v>3.0</v>
      </c>
      <c r="G1176" s="4">
        <v>1.0</v>
      </c>
      <c r="H1176" s="4">
        <v>1.0</v>
      </c>
      <c r="I1176" s="4">
        <v>17.0</v>
      </c>
      <c r="J1176" s="4">
        <v>12.0</v>
      </c>
      <c r="K1176" s="4">
        <v>5.0</v>
      </c>
      <c r="L1176" s="2" t="s">
        <v>502</v>
      </c>
      <c r="M1176" s="5">
        <f>IFERROR(__xludf.DUMMYFUNCTION("""COMPUTED_VALUE"""),6.0)</f>
        <v>6</v>
      </c>
      <c r="N1176" s="5">
        <f>IFERROR(__xludf.DUMMYFUNCTION("""COMPUTED_VALUE"""),8.0)</f>
        <v>8</v>
      </c>
      <c r="O1176" s="5">
        <f>IFERROR(__xludf.DUMMYFUNCTION("""COMPUTED_VALUE"""),2003.0)</f>
        <v>2003</v>
      </c>
    </row>
    <row r="1177">
      <c r="A1177" s="1" t="s">
        <v>492</v>
      </c>
      <c r="B1177" s="4">
        <v>50.0</v>
      </c>
      <c r="C1177" s="1" t="s">
        <v>141</v>
      </c>
      <c r="D1177" s="4">
        <v>7.0</v>
      </c>
      <c r="E1177" s="4">
        <v>5.0</v>
      </c>
      <c r="F1177" s="4">
        <v>3.0</v>
      </c>
      <c r="G1177" s="4">
        <v>1.0</v>
      </c>
      <c r="H1177" s="4">
        <v>1.0</v>
      </c>
      <c r="I1177" s="4">
        <v>14.0</v>
      </c>
      <c r="J1177" s="4">
        <v>13.0</v>
      </c>
      <c r="K1177" s="4">
        <v>1.0</v>
      </c>
      <c r="L1177" s="2" t="s">
        <v>383</v>
      </c>
      <c r="M1177" s="5">
        <f>IFERROR(__xludf.DUMMYFUNCTION("""COMPUTED_VALUE"""),13.0)</f>
        <v>13</v>
      </c>
      <c r="N1177" s="5">
        <f>IFERROR(__xludf.DUMMYFUNCTION("""COMPUTED_VALUE"""),8.0)</f>
        <v>8</v>
      </c>
      <c r="O1177" s="5">
        <f>IFERROR(__xludf.DUMMYFUNCTION("""COMPUTED_VALUE"""),2.0)</f>
        <v>2</v>
      </c>
    </row>
    <row r="1178">
      <c r="A1178" s="1" t="s">
        <v>492</v>
      </c>
      <c r="B1178" s="4">
        <v>51.0</v>
      </c>
      <c r="C1178" s="1" t="s">
        <v>60</v>
      </c>
      <c r="D1178" s="4">
        <v>7.0</v>
      </c>
      <c r="E1178" s="4">
        <v>8.0</v>
      </c>
      <c r="F1178" s="4">
        <v>3.0</v>
      </c>
      <c r="G1178" s="4">
        <v>4.0</v>
      </c>
      <c r="H1178" s="4">
        <v>1.0</v>
      </c>
      <c r="I1178" s="4">
        <v>31.0</v>
      </c>
      <c r="J1178" s="4">
        <v>31.0</v>
      </c>
      <c r="K1178" s="4">
        <v>0.0</v>
      </c>
      <c r="L1178" s="2" t="s">
        <v>26</v>
      </c>
      <c r="M1178" s="5">
        <f>IFERROR(__xludf.DUMMYFUNCTION("""COMPUTED_VALUE"""),13.0)</f>
        <v>13</v>
      </c>
      <c r="N1178" s="5">
        <f>IFERROR(__xludf.DUMMYFUNCTION("""COMPUTED_VALUE"""),9.0)</f>
        <v>9</v>
      </c>
      <c r="O1178" s="5">
        <f>IFERROR(__xludf.DUMMYFUNCTION("""COMPUTED_VALUE"""),2.0)</f>
        <v>2</v>
      </c>
    </row>
    <row r="1179">
      <c r="A1179" s="1" t="s">
        <v>492</v>
      </c>
      <c r="B1179" s="4">
        <v>52.0</v>
      </c>
      <c r="C1179" s="1" t="s">
        <v>368</v>
      </c>
      <c r="D1179" s="4">
        <v>7.0</v>
      </c>
      <c r="E1179" s="4">
        <v>8.0</v>
      </c>
      <c r="F1179" s="4">
        <v>3.0</v>
      </c>
      <c r="G1179" s="4">
        <v>4.0</v>
      </c>
      <c r="H1179" s="4">
        <v>1.0</v>
      </c>
      <c r="I1179" s="4">
        <v>23.0</v>
      </c>
      <c r="J1179" s="4">
        <v>28.0</v>
      </c>
      <c r="K1179" s="4">
        <v>-5.0</v>
      </c>
      <c r="L1179" s="2" t="s">
        <v>394</v>
      </c>
      <c r="M1179" s="5">
        <f>IFERROR(__xludf.DUMMYFUNCTION("""COMPUTED_VALUE"""),7.0)</f>
        <v>7</v>
      </c>
      <c r="N1179" s="5">
        <f>IFERROR(__xludf.DUMMYFUNCTION("""COMPUTED_VALUE"""),12.0)</f>
        <v>12</v>
      </c>
      <c r="O1179" s="5">
        <f>IFERROR(__xludf.DUMMYFUNCTION("""COMPUTED_VALUE"""),2001.0)</f>
        <v>2001</v>
      </c>
    </row>
    <row r="1180">
      <c r="A1180" s="1" t="s">
        <v>492</v>
      </c>
      <c r="B1180" s="4">
        <v>53.0</v>
      </c>
      <c r="C1180" s="1" t="s">
        <v>96</v>
      </c>
      <c r="D1180" s="4">
        <v>6.0</v>
      </c>
      <c r="E1180" s="4">
        <v>6.0</v>
      </c>
      <c r="F1180" s="4">
        <v>3.0</v>
      </c>
      <c r="G1180" s="4">
        <v>3.0</v>
      </c>
      <c r="H1180" s="4">
        <v>0.0</v>
      </c>
      <c r="I1180" s="4">
        <v>40.0</v>
      </c>
      <c r="J1180" s="4">
        <v>27.0</v>
      </c>
      <c r="K1180" s="4">
        <v>13.0</v>
      </c>
      <c r="L1180" s="2" t="s">
        <v>84</v>
      </c>
      <c r="M1180" s="5">
        <f>IFERROR(__xludf.DUMMYFUNCTION("""COMPUTED_VALUE"""),13.0)</f>
        <v>13</v>
      </c>
      <c r="N1180" s="5">
        <f>IFERROR(__xludf.DUMMYFUNCTION("""COMPUTED_VALUE"""),9.0)</f>
        <v>9</v>
      </c>
      <c r="O1180" s="5">
        <f>IFERROR(__xludf.DUMMYFUNCTION("""COMPUTED_VALUE"""),1.0)</f>
        <v>1</v>
      </c>
    </row>
    <row r="1181">
      <c r="A1181" s="1" t="s">
        <v>492</v>
      </c>
      <c r="B1181" s="4">
        <v>54.0</v>
      </c>
      <c r="C1181" s="1" t="s">
        <v>16</v>
      </c>
      <c r="D1181" s="4">
        <v>6.0</v>
      </c>
      <c r="E1181" s="4">
        <v>5.0</v>
      </c>
      <c r="F1181" s="4">
        <v>3.0</v>
      </c>
      <c r="G1181" s="4">
        <v>2.0</v>
      </c>
      <c r="H1181" s="4">
        <v>0.0</v>
      </c>
      <c r="I1181" s="4">
        <v>22.0</v>
      </c>
      <c r="J1181" s="4">
        <v>9.0</v>
      </c>
      <c r="K1181" s="4">
        <v>13.0</v>
      </c>
      <c r="L1181" s="2" t="s">
        <v>410</v>
      </c>
      <c r="M1181" s="5">
        <f>IFERROR(__xludf.DUMMYFUNCTION("""COMPUTED_VALUE"""),13.0)</f>
        <v>13</v>
      </c>
      <c r="N1181" s="5">
        <f>IFERROR(__xludf.DUMMYFUNCTION("""COMPUTED_VALUE"""),9.0)</f>
        <v>9</v>
      </c>
      <c r="O1181" s="5">
        <f>IFERROR(__xludf.DUMMYFUNCTION("""COMPUTED_VALUE"""),0.0)</f>
        <v>0</v>
      </c>
    </row>
    <row r="1182">
      <c r="A1182" s="1" t="s">
        <v>492</v>
      </c>
      <c r="B1182" s="4">
        <v>55.0</v>
      </c>
      <c r="C1182" s="1" t="s">
        <v>147</v>
      </c>
      <c r="D1182" s="4">
        <v>6.0</v>
      </c>
      <c r="E1182" s="4">
        <v>5.0</v>
      </c>
      <c r="F1182" s="4">
        <v>3.0</v>
      </c>
      <c r="G1182" s="4">
        <v>2.0</v>
      </c>
      <c r="H1182" s="4">
        <v>0.0</v>
      </c>
      <c r="I1182" s="4">
        <v>21.0</v>
      </c>
      <c r="J1182" s="4">
        <v>13.0</v>
      </c>
      <c r="K1182" s="4">
        <v>8.0</v>
      </c>
      <c r="L1182" s="2" t="s">
        <v>182</v>
      </c>
      <c r="M1182" s="5">
        <f>IFERROR(__xludf.DUMMYFUNCTION("""COMPUTED_VALUE"""),12.0)</f>
        <v>12</v>
      </c>
      <c r="N1182" s="5">
        <f>IFERROR(__xludf.DUMMYFUNCTION("""COMPUTED_VALUE"""),11.0)</f>
        <v>11</v>
      </c>
      <c r="O1182" s="5">
        <f>IFERROR(__xludf.DUMMYFUNCTION("""COMPUTED_VALUE"""),2001.0)</f>
        <v>2001</v>
      </c>
    </row>
    <row r="1183">
      <c r="A1183" s="1" t="s">
        <v>492</v>
      </c>
      <c r="B1183" s="4">
        <v>56.0</v>
      </c>
      <c r="C1183" s="1" t="s">
        <v>416</v>
      </c>
      <c r="D1183" s="4">
        <v>6.0</v>
      </c>
      <c r="E1183" s="4">
        <v>4.0</v>
      </c>
      <c r="F1183" s="4">
        <v>3.0</v>
      </c>
      <c r="G1183" s="4">
        <v>1.0</v>
      </c>
      <c r="H1183" s="4">
        <v>0.0</v>
      </c>
      <c r="I1183" s="4">
        <v>15.0</v>
      </c>
      <c r="J1183" s="4">
        <v>9.0</v>
      </c>
      <c r="K1183" s="4">
        <v>6.0</v>
      </c>
      <c r="L1183" s="2" t="s">
        <v>350</v>
      </c>
      <c r="M1183" s="5">
        <f>IFERROR(__xludf.DUMMYFUNCTION("""COMPUTED_VALUE"""),10.0)</f>
        <v>10</v>
      </c>
      <c r="N1183" s="5">
        <f>IFERROR(__xludf.DUMMYFUNCTION("""COMPUTED_VALUE"""),10.0)</f>
        <v>10</v>
      </c>
      <c r="O1183" s="5">
        <f>IFERROR(__xludf.DUMMYFUNCTION("""COMPUTED_VALUE"""),2001.0)</f>
        <v>2001</v>
      </c>
    </row>
    <row r="1184">
      <c r="A1184" s="1" t="s">
        <v>492</v>
      </c>
      <c r="B1184" s="4">
        <v>57.0</v>
      </c>
      <c r="C1184" s="1" t="s">
        <v>37</v>
      </c>
      <c r="D1184" s="4">
        <v>6.0</v>
      </c>
      <c r="E1184" s="4">
        <v>8.0</v>
      </c>
      <c r="F1184" s="4">
        <v>3.0</v>
      </c>
      <c r="G1184" s="4">
        <v>5.0</v>
      </c>
      <c r="H1184" s="4">
        <v>0.0</v>
      </c>
      <c r="I1184" s="4">
        <v>29.0</v>
      </c>
      <c r="J1184" s="4">
        <v>37.0</v>
      </c>
      <c r="K1184" s="4">
        <v>-8.0</v>
      </c>
      <c r="L1184" s="2" t="s">
        <v>229</v>
      </c>
      <c r="M1184" s="5">
        <f>IFERROR(__xludf.DUMMYFUNCTION("""COMPUTED_VALUE"""),6.0)</f>
        <v>6</v>
      </c>
      <c r="N1184" s="5">
        <f>IFERROR(__xludf.DUMMYFUNCTION("""COMPUTED_VALUE"""),17.0)</f>
        <v>17</v>
      </c>
      <c r="O1184" s="5">
        <f>IFERROR(__xludf.DUMMYFUNCTION("""COMPUTED_VALUE"""),2000.0)</f>
        <v>2000</v>
      </c>
    </row>
    <row r="1185">
      <c r="A1185" s="1" t="s">
        <v>492</v>
      </c>
      <c r="B1185" s="4">
        <v>58.0</v>
      </c>
      <c r="C1185" s="1" t="s">
        <v>52</v>
      </c>
      <c r="D1185" s="4">
        <v>6.0</v>
      </c>
      <c r="E1185" s="4">
        <v>12.0</v>
      </c>
      <c r="F1185" s="4">
        <v>3.0</v>
      </c>
      <c r="G1185" s="4">
        <v>9.0</v>
      </c>
      <c r="H1185" s="4">
        <v>0.0</v>
      </c>
      <c r="I1185" s="4">
        <v>51.0</v>
      </c>
      <c r="J1185" s="4">
        <v>63.0</v>
      </c>
      <c r="K1185" s="4">
        <v>-12.0</v>
      </c>
      <c r="L1185" s="2" t="s">
        <v>200</v>
      </c>
      <c r="M1185" s="5">
        <f>IFERROR(__xludf.DUMMYFUNCTION("""COMPUTED_VALUE"""),6.0)</f>
        <v>6</v>
      </c>
      <c r="N1185" s="5">
        <f>IFERROR(__xludf.DUMMYFUNCTION("""COMPUTED_VALUE"""),16.0)</f>
        <v>16</v>
      </c>
      <c r="O1185" s="5">
        <f>IFERROR(__xludf.DUMMYFUNCTION("""COMPUTED_VALUE"""),2001.0)</f>
        <v>2001</v>
      </c>
    </row>
    <row r="1186">
      <c r="A1186" s="1" t="s">
        <v>492</v>
      </c>
      <c r="B1186" s="4">
        <v>59.0</v>
      </c>
      <c r="C1186" s="1" t="s">
        <v>116</v>
      </c>
      <c r="D1186" s="4">
        <v>6.0</v>
      </c>
      <c r="E1186" s="4">
        <v>10.0</v>
      </c>
      <c r="F1186" s="4">
        <v>3.0</v>
      </c>
      <c r="G1186" s="4">
        <v>7.0</v>
      </c>
      <c r="H1186" s="4">
        <v>0.0</v>
      </c>
      <c r="I1186" s="4">
        <v>29.0</v>
      </c>
      <c r="J1186" s="4">
        <v>55.0</v>
      </c>
      <c r="K1186" s="4">
        <v>-26.0</v>
      </c>
      <c r="L1186" s="2" t="s">
        <v>95</v>
      </c>
      <c r="M1186" s="5">
        <f>IFERROR(__xludf.DUMMYFUNCTION("""COMPUTED_VALUE"""),9.0)</f>
        <v>9</v>
      </c>
      <c r="N1186" s="5">
        <f>IFERROR(__xludf.DUMMYFUNCTION("""COMPUTED_VALUE"""),14.0)</f>
        <v>14</v>
      </c>
      <c r="O1186" s="5">
        <f>IFERROR(__xludf.DUMMYFUNCTION("""COMPUTED_VALUE"""),2000.0)</f>
        <v>2000</v>
      </c>
    </row>
    <row r="1187">
      <c r="A1187" s="1" t="s">
        <v>492</v>
      </c>
      <c r="B1187" s="4">
        <v>60.0</v>
      </c>
      <c r="C1187" s="1" t="s">
        <v>128</v>
      </c>
      <c r="D1187" s="4">
        <v>5.0</v>
      </c>
      <c r="E1187" s="4">
        <v>8.0</v>
      </c>
      <c r="F1187" s="4">
        <v>2.0</v>
      </c>
      <c r="G1187" s="4">
        <v>5.0</v>
      </c>
      <c r="H1187" s="4">
        <v>1.0</v>
      </c>
      <c r="I1187" s="4">
        <v>28.0</v>
      </c>
      <c r="J1187" s="4">
        <v>29.0</v>
      </c>
      <c r="K1187" s="4">
        <v>-1.0</v>
      </c>
      <c r="L1187" s="2" t="s">
        <v>331</v>
      </c>
      <c r="M1187" s="5">
        <f>IFERROR(__xludf.DUMMYFUNCTION("""COMPUTED_VALUE"""),8.0)</f>
        <v>8</v>
      </c>
      <c r="N1187" s="5">
        <f>IFERROR(__xludf.DUMMYFUNCTION("""COMPUTED_VALUE"""),13.0)</f>
        <v>13</v>
      </c>
      <c r="O1187" s="5">
        <f>IFERROR(__xludf.DUMMYFUNCTION("""COMPUTED_VALUE"""),2001.0)</f>
        <v>2001</v>
      </c>
    </row>
    <row r="1188">
      <c r="A1188" s="1" t="s">
        <v>492</v>
      </c>
      <c r="B1188" s="4">
        <v>61.0</v>
      </c>
      <c r="C1188" s="1" t="s">
        <v>77</v>
      </c>
      <c r="D1188" s="4">
        <v>4.0</v>
      </c>
      <c r="E1188" s="4">
        <v>3.0</v>
      </c>
      <c r="F1188" s="4">
        <v>2.0</v>
      </c>
      <c r="G1188" s="4">
        <v>1.0</v>
      </c>
      <c r="H1188" s="4">
        <v>0.0</v>
      </c>
      <c r="I1188" s="4">
        <v>20.0</v>
      </c>
      <c r="J1188" s="4">
        <v>10.0</v>
      </c>
      <c r="K1188" s="4">
        <v>10.0</v>
      </c>
      <c r="L1188" s="2" t="s">
        <v>241</v>
      </c>
      <c r="M1188" s="5">
        <f>IFERROR(__xludf.DUMMYFUNCTION("""COMPUTED_VALUE"""),21.0)</f>
        <v>21</v>
      </c>
      <c r="N1188" s="5">
        <f>IFERROR(__xludf.DUMMYFUNCTION("""COMPUTED_VALUE"""),2.0)</f>
        <v>2</v>
      </c>
      <c r="O1188" s="5">
        <f>IFERROR(__xludf.DUMMYFUNCTION("""COMPUTED_VALUE"""),0.0)</f>
        <v>0</v>
      </c>
    </row>
    <row r="1189">
      <c r="A1189" s="1" t="s">
        <v>492</v>
      </c>
      <c r="B1189" s="4">
        <v>62.0</v>
      </c>
      <c r="C1189" s="1" t="s">
        <v>150</v>
      </c>
      <c r="D1189" s="4">
        <v>4.0</v>
      </c>
      <c r="E1189" s="4">
        <v>2.0</v>
      </c>
      <c r="F1189" s="4">
        <v>2.0</v>
      </c>
      <c r="G1189" s="4">
        <v>0.0</v>
      </c>
      <c r="H1189" s="4">
        <v>0.0</v>
      </c>
      <c r="I1189" s="4">
        <v>7.0</v>
      </c>
      <c r="J1189" s="4">
        <v>2.0</v>
      </c>
      <c r="K1189" s="4">
        <v>5.0</v>
      </c>
      <c r="L1189" s="2" t="s">
        <v>342</v>
      </c>
      <c r="M1189" s="5">
        <f>IFERROR(__xludf.DUMMYFUNCTION("""COMPUTED_VALUE"""),17.0)</f>
        <v>17</v>
      </c>
      <c r="N1189" s="5">
        <f>IFERROR(__xludf.DUMMYFUNCTION("""COMPUTED_VALUE"""),4.0)</f>
        <v>4</v>
      </c>
      <c r="O1189" s="5">
        <f>IFERROR(__xludf.DUMMYFUNCTION("""COMPUTED_VALUE"""),2.0)</f>
        <v>2</v>
      </c>
    </row>
    <row r="1190">
      <c r="A1190" s="1" t="s">
        <v>492</v>
      </c>
      <c r="B1190" s="4">
        <v>63.0</v>
      </c>
      <c r="C1190" s="1" t="s">
        <v>121</v>
      </c>
      <c r="D1190" s="4">
        <v>4.0</v>
      </c>
      <c r="E1190" s="4">
        <v>10.0</v>
      </c>
      <c r="F1190" s="4">
        <v>2.0</v>
      </c>
      <c r="G1190" s="4">
        <v>8.0</v>
      </c>
      <c r="H1190" s="4">
        <v>0.0</v>
      </c>
      <c r="I1190" s="4">
        <v>25.0</v>
      </c>
      <c r="J1190" s="4">
        <v>33.0</v>
      </c>
      <c r="K1190" s="4">
        <v>-8.0</v>
      </c>
      <c r="L1190" s="2" t="s">
        <v>200</v>
      </c>
      <c r="M1190" s="5">
        <f>IFERROR(__xludf.DUMMYFUNCTION("""COMPUTED_VALUE"""),6.0)</f>
        <v>6</v>
      </c>
      <c r="N1190" s="5">
        <f>IFERROR(__xludf.DUMMYFUNCTION("""COMPUTED_VALUE"""),16.0)</f>
        <v>16</v>
      </c>
      <c r="O1190" s="5">
        <f>IFERROR(__xludf.DUMMYFUNCTION("""COMPUTED_VALUE"""),2001.0)</f>
        <v>2001</v>
      </c>
    </row>
    <row r="1191">
      <c r="A1191" s="1" t="s">
        <v>492</v>
      </c>
      <c r="B1191" s="4">
        <v>64.0</v>
      </c>
      <c r="C1191" s="1" t="s">
        <v>126</v>
      </c>
      <c r="D1191" s="4">
        <v>4.0</v>
      </c>
      <c r="E1191" s="4">
        <v>7.0</v>
      </c>
      <c r="F1191" s="4">
        <v>2.0</v>
      </c>
      <c r="G1191" s="4">
        <v>5.0</v>
      </c>
      <c r="H1191" s="4">
        <v>0.0</v>
      </c>
      <c r="I1191" s="4">
        <v>16.0</v>
      </c>
      <c r="J1191" s="4">
        <v>27.0</v>
      </c>
      <c r="K1191" s="4">
        <v>-11.0</v>
      </c>
      <c r="L1191" s="2" t="s">
        <v>503</v>
      </c>
      <c r="M1191" s="5">
        <f>IFERROR(__xludf.DUMMYFUNCTION("""COMPUTED_VALUE"""),3.0)</f>
        <v>3</v>
      </c>
      <c r="N1191" s="5">
        <f>IFERROR(__xludf.DUMMYFUNCTION("""COMPUTED_VALUE"""),17.0)</f>
        <v>17</v>
      </c>
      <c r="O1191" s="5">
        <f>IFERROR(__xludf.DUMMYFUNCTION("""COMPUTED_VALUE"""),2002.0)</f>
        <v>2002</v>
      </c>
    </row>
    <row r="1192">
      <c r="A1192" s="1" t="s">
        <v>492</v>
      </c>
      <c r="B1192" s="4">
        <v>65.0</v>
      </c>
      <c r="C1192" s="1" t="s">
        <v>504</v>
      </c>
      <c r="D1192" s="4">
        <v>4.0</v>
      </c>
      <c r="E1192" s="4">
        <v>6.0</v>
      </c>
      <c r="F1192" s="4">
        <v>2.0</v>
      </c>
      <c r="G1192" s="4">
        <v>4.0</v>
      </c>
      <c r="H1192" s="4">
        <v>0.0</v>
      </c>
      <c r="I1192" s="4">
        <v>22.0</v>
      </c>
      <c r="J1192" s="4">
        <v>37.0</v>
      </c>
      <c r="K1192" s="4">
        <v>-15.0</v>
      </c>
      <c r="L1192" s="2" t="s">
        <v>397</v>
      </c>
      <c r="M1192" s="5">
        <f>IFERROR(__xludf.DUMMYFUNCTION("""COMPUTED_VALUE"""),3.0)</f>
        <v>3</v>
      </c>
      <c r="N1192" s="5">
        <f>IFERROR(__xludf.DUMMYFUNCTION("""COMPUTED_VALUE"""),16.0)</f>
        <v>16</v>
      </c>
      <c r="O1192" s="5">
        <f>IFERROR(__xludf.DUMMYFUNCTION("""COMPUTED_VALUE"""),2000.0)</f>
        <v>2000</v>
      </c>
    </row>
    <row r="1193">
      <c r="A1193" s="1" t="s">
        <v>492</v>
      </c>
      <c r="B1193" s="4">
        <v>66.0</v>
      </c>
      <c r="C1193" s="1" t="s">
        <v>103</v>
      </c>
      <c r="D1193" s="4">
        <v>4.0</v>
      </c>
      <c r="E1193" s="4">
        <v>7.0</v>
      </c>
      <c r="F1193" s="4">
        <v>2.0</v>
      </c>
      <c r="G1193" s="4">
        <v>5.0</v>
      </c>
      <c r="H1193" s="4">
        <v>0.0</v>
      </c>
      <c r="I1193" s="4">
        <v>21.0</v>
      </c>
      <c r="J1193" s="4">
        <v>42.0</v>
      </c>
      <c r="K1193" s="4">
        <v>-21.0</v>
      </c>
      <c r="L1193" s="2" t="s">
        <v>218</v>
      </c>
      <c r="M1193" s="5">
        <f>IFERROR(__xludf.DUMMYFUNCTION("""COMPUTED_VALUE"""),12.0)</f>
        <v>12</v>
      </c>
      <c r="N1193" s="5">
        <f>IFERROR(__xludf.DUMMYFUNCTION("""COMPUTED_VALUE"""),11.0)</f>
        <v>11</v>
      </c>
      <c r="O1193" s="5">
        <f>IFERROR(__xludf.DUMMYFUNCTION("""COMPUTED_VALUE"""),2000.0)</f>
        <v>2000</v>
      </c>
    </row>
    <row r="1194">
      <c r="A1194" s="1" t="s">
        <v>492</v>
      </c>
      <c r="B1194" s="4">
        <v>67.0</v>
      </c>
      <c r="C1194" s="1" t="s">
        <v>377</v>
      </c>
      <c r="D1194" s="4">
        <v>4.0</v>
      </c>
      <c r="E1194" s="4">
        <v>8.0</v>
      </c>
      <c r="F1194" s="4">
        <v>2.0</v>
      </c>
      <c r="G1194" s="4">
        <v>6.0</v>
      </c>
      <c r="H1194" s="4">
        <v>0.0</v>
      </c>
      <c r="I1194" s="4">
        <v>19.0</v>
      </c>
      <c r="J1194" s="4">
        <v>42.0</v>
      </c>
      <c r="K1194" s="4">
        <v>-23.0</v>
      </c>
      <c r="L1194" s="2" t="s">
        <v>188</v>
      </c>
      <c r="M1194" s="5">
        <f>IFERROR(__xludf.DUMMYFUNCTION("""COMPUTED_VALUE"""),7.0)</f>
        <v>7</v>
      </c>
      <c r="N1194" s="5">
        <f>IFERROR(__xludf.DUMMYFUNCTION("""COMPUTED_VALUE"""),14.0)</f>
        <v>14</v>
      </c>
      <c r="O1194" s="5">
        <f>IFERROR(__xludf.DUMMYFUNCTION("""COMPUTED_VALUE"""),2000.0)</f>
        <v>2000</v>
      </c>
    </row>
    <row r="1195">
      <c r="A1195" s="1" t="s">
        <v>492</v>
      </c>
      <c r="B1195" s="4">
        <v>68.0</v>
      </c>
      <c r="C1195" s="1" t="s">
        <v>156</v>
      </c>
      <c r="D1195" s="4">
        <v>4.0</v>
      </c>
      <c r="E1195" s="4">
        <v>14.0</v>
      </c>
      <c r="F1195" s="4">
        <v>2.0</v>
      </c>
      <c r="G1195" s="4">
        <v>12.0</v>
      </c>
      <c r="H1195" s="4">
        <v>0.0</v>
      </c>
      <c r="I1195" s="4">
        <v>23.0</v>
      </c>
      <c r="J1195" s="4">
        <v>99.0</v>
      </c>
      <c r="K1195" s="4">
        <v>-76.0</v>
      </c>
      <c r="L1195" s="2" t="s">
        <v>227</v>
      </c>
      <c r="M1195" s="5">
        <f>IFERROR(__xludf.DUMMYFUNCTION("""COMPUTED_VALUE"""),3.0)</f>
        <v>3</v>
      </c>
      <c r="N1195" s="5">
        <f>IFERROR(__xludf.DUMMYFUNCTION("""COMPUTED_VALUE"""),18.0)</f>
        <v>18</v>
      </c>
      <c r="O1195" s="5">
        <f>IFERROR(__xludf.DUMMYFUNCTION("""COMPUTED_VALUE"""),2000.0)</f>
        <v>2000</v>
      </c>
    </row>
    <row r="1196">
      <c r="A1196" s="1" t="s">
        <v>492</v>
      </c>
      <c r="B1196" s="4">
        <v>69.0</v>
      </c>
      <c r="C1196" s="1" t="s">
        <v>233</v>
      </c>
      <c r="D1196" s="4">
        <v>4.0</v>
      </c>
      <c r="E1196" s="4">
        <v>14.0</v>
      </c>
      <c r="F1196" s="4">
        <v>2.0</v>
      </c>
      <c r="G1196" s="4">
        <v>12.0</v>
      </c>
      <c r="H1196" s="4">
        <v>0.0</v>
      </c>
      <c r="I1196" s="4">
        <v>18.0</v>
      </c>
      <c r="J1196" s="4">
        <v>115.0</v>
      </c>
      <c r="K1196" s="4">
        <v>-97.0</v>
      </c>
      <c r="L1196" s="2" t="s">
        <v>334</v>
      </c>
      <c r="M1196" s="5">
        <f>IFERROR(__xludf.DUMMYFUNCTION("""COMPUTED_VALUE"""),3.0)</f>
        <v>3</v>
      </c>
      <c r="N1196" s="5">
        <f>IFERROR(__xludf.DUMMYFUNCTION("""COMPUTED_VALUE"""),20.0)</f>
        <v>20</v>
      </c>
      <c r="O1196" s="5">
        <f>IFERROR(__xludf.DUMMYFUNCTION("""COMPUTED_VALUE"""),2000.0)</f>
        <v>2000</v>
      </c>
    </row>
    <row r="1197">
      <c r="A1197" s="1" t="s">
        <v>492</v>
      </c>
      <c r="B1197" s="4">
        <v>70.0</v>
      </c>
      <c r="C1197" s="1" t="s">
        <v>56</v>
      </c>
      <c r="D1197" s="4">
        <v>3.0</v>
      </c>
      <c r="E1197" s="4">
        <v>5.0</v>
      </c>
      <c r="F1197" s="4">
        <v>1.0</v>
      </c>
      <c r="G1197" s="4">
        <v>3.0</v>
      </c>
      <c r="H1197" s="4">
        <v>1.0</v>
      </c>
      <c r="I1197" s="4">
        <v>17.0</v>
      </c>
      <c r="J1197" s="4">
        <v>14.0</v>
      </c>
      <c r="K1197" s="4">
        <v>3.0</v>
      </c>
      <c r="L1197" s="2" t="s">
        <v>326</v>
      </c>
      <c r="M1197" s="5">
        <f>IFERROR(__xludf.DUMMYFUNCTION("""COMPUTED_VALUE"""),7.0)</f>
        <v>7</v>
      </c>
      <c r="N1197" s="5">
        <f>IFERROR(__xludf.DUMMYFUNCTION("""COMPUTED_VALUE"""),15.0)</f>
        <v>15</v>
      </c>
      <c r="O1197" s="5">
        <f>IFERROR(__xludf.DUMMYFUNCTION("""COMPUTED_VALUE"""),2002.0)</f>
        <v>2002</v>
      </c>
    </row>
    <row r="1198">
      <c r="A1198" s="1" t="s">
        <v>492</v>
      </c>
      <c r="B1198" s="4">
        <v>71.0</v>
      </c>
      <c r="C1198" s="1" t="s">
        <v>130</v>
      </c>
      <c r="D1198" s="4">
        <v>3.0</v>
      </c>
      <c r="E1198" s="4">
        <v>8.0</v>
      </c>
      <c r="F1198" s="4">
        <v>1.0</v>
      </c>
      <c r="G1198" s="4">
        <v>6.0</v>
      </c>
      <c r="H1198" s="4">
        <v>1.0</v>
      </c>
      <c r="I1198" s="4">
        <v>10.0</v>
      </c>
      <c r="J1198" s="4">
        <v>24.0</v>
      </c>
      <c r="K1198" s="4">
        <v>-14.0</v>
      </c>
      <c r="L1198" s="2" t="s">
        <v>505</v>
      </c>
      <c r="M1198" s="5">
        <f>IFERROR(__xludf.DUMMYFUNCTION("""COMPUTED_VALUE"""),5.0)</f>
        <v>5</v>
      </c>
      <c r="N1198" s="5">
        <f>IFERROR(__xludf.DUMMYFUNCTION("""COMPUTED_VALUE"""),14.0)</f>
        <v>14</v>
      </c>
      <c r="O1198" s="5">
        <f>IFERROR(__xludf.DUMMYFUNCTION("""COMPUTED_VALUE"""),2002.0)</f>
        <v>2002</v>
      </c>
    </row>
    <row r="1199">
      <c r="A1199" s="1" t="s">
        <v>492</v>
      </c>
      <c r="B1199" s="4">
        <v>72.0</v>
      </c>
      <c r="C1199" s="1" t="s">
        <v>83</v>
      </c>
      <c r="D1199" s="4">
        <v>2.0</v>
      </c>
      <c r="E1199" s="4">
        <v>1.0</v>
      </c>
      <c r="F1199" s="4">
        <v>1.0</v>
      </c>
      <c r="G1199" s="4">
        <v>0.0</v>
      </c>
      <c r="H1199" s="4">
        <v>0.0</v>
      </c>
      <c r="I1199" s="4">
        <v>5.0</v>
      </c>
      <c r="J1199" s="4">
        <v>4.0</v>
      </c>
      <c r="K1199" s="4">
        <v>1.0</v>
      </c>
      <c r="L1199" s="2" t="s">
        <v>188</v>
      </c>
      <c r="M1199" s="5">
        <f>IFERROR(__xludf.DUMMYFUNCTION("""COMPUTED_VALUE"""),7.0)</f>
        <v>7</v>
      </c>
      <c r="N1199" s="5">
        <f>IFERROR(__xludf.DUMMYFUNCTION("""COMPUTED_VALUE"""),14.0)</f>
        <v>14</v>
      </c>
      <c r="O1199" s="5">
        <f>IFERROR(__xludf.DUMMYFUNCTION("""COMPUTED_VALUE"""),2000.0)</f>
        <v>2000</v>
      </c>
    </row>
    <row r="1200">
      <c r="A1200" s="1" t="s">
        <v>492</v>
      </c>
      <c r="B1200" s="4">
        <v>73.0</v>
      </c>
      <c r="C1200" s="1" t="s">
        <v>152</v>
      </c>
      <c r="D1200" s="4">
        <v>2.0</v>
      </c>
      <c r="E1200" s="4">
        <v>3.0</v>
      </c>
      <c r="F1200" s="4">
        <v>1.0</v>
      </c>
      <c r="G1200" s="4">
        <v>2.0</v>
      </c>
      <c r="H1200" s="4">
        <v>0.0</v>
      </c>
      <c r="I1200" s="4">
        <v>8.0</v>
      </c>
      <c r="J1200" s="4">
        <v>17.0</v>
      </c>
      <c r="K1200" s="4">
        <v>-9.0</v>
      </c>
      <c r="L1200" s="2" t="s">
        <v>506</v>
      </c>
      <c r="M1200" s="5">
        <f>IFERROR(__xludf.DUMMYFUNCTION("""COMPUTED_VALUE"""),9.0)</f>
        <v>9</v>
      </c>
      <c r="N1200" s="5">
        <f>IFERROR(__xludf.DUMMYFUNCTION("""COMPUTED_VALUE"""),10.0)</f>
        <v>10</v>
      </c>
      <c r="O1200" s="5">
        <f>IFERROR(__xludf.DUMMYFUNCTION("""COMPUTED_VALUE"""),2002.0)</f>
        <v>2002</v>
      </c>
    </row>
    <row r="1201">
      <c r="A1201" s="1" t="s">
        <v>492</v>
      </c>
      <c r="B1201" s="4">
        <v>74.0</v>
      </c>
      <c r="C1201" s="1" t="s">
        <v>108</v>
      </c>
      <c r="D1201" s="4">
        <v>2.0</v>
      </c>
      <c r="E1201" s="4">
        <v>4.0</v>
      </c>
      <c r="F1201" s="4">
        <v>1.0</v>
      </c>
      <c r="G1201" s="4">
        <v>3.0</v>
      </c>
      <c r="H1201" s="4">
        <v>0.0</v>
      </c>
      <c r="I1201" s="4">
        <v>7.0</v>
      </c>
      <c r="J1201" s="4">
        <v>20.0</v>
      </c>
      <c r="K1201" s="4">
        <v>-13.0</v>
      </c>
      <c r="L1201" s="2" t="s">
        <v>507</v>
      </c>
      <c r="M1201" s="5">
        <f>IFERROR(__xludf.DUMMYFUNCTION("""COMPUTED_VALUE"""),2.0)</f>
        <v>2</v>
      </c>
      <c r="N1201" s="5">
        <f>IFERROR(__xludf.DUMMYFUNCTION("""COMPUTED_VALUE"""),13.0)</f>
        <v>13</v>
      </c>
      <c r="O1201" s="5">
        <f>IFERROR(__xludf.DUMMYFUNCTION("""COMPUTED_VALUE"""),2000.0)</f>
        <v>2000</v>
      </c>
    </row>
    <row r="1202">
      <c r="A1202" s="1" t="s">
        <v>492</v>
      </c>
      <c r="B1202" s="4">
        <v>75.0</v>
      </c>
      <c r="C1202" s="1" t="s">
        <v>99</v>
      </c>
      <c r="D1202" s="4">
        <v>2.0</v>
      </c>
      <c r="E1202" s="4">
        <v>10.0</v>
      </c>
      <c r="F1202" s="4">
        <v>1.0</v>
      </c>
      <c r="G1202" s="4">
        <v>9.0</v>
      </c>
      <c r="H1202" s="4">
        <v>0.0</v>
      </c>
      <c r="I1202" s="4">
        <v>16.0</v>
      </c>
      <c r="J1202" s="4">
        <v>55.0</v>
      </c>
      <c r="K1202" s="4">
        <v>-39.0</v>
      </c>
      <c r="L1202" s="2" t="s">
        <v>198</v>
      </c>
      <c r="M1202" s="5">
        <f>IFERROR(__xludf.DUMMYFUNCTION("""COMPUTED_VALUE"""),5.0)</f>
        <v>5</v>
      </c>
      <c r="N1202" s="5">
        <f>IFERROR(__xludf.DUMMYFUNCTION("""COMPUTED_VALUE"""),15.0)</f>
        <v>15</v>
      </c>
      <c r="O1202" s="5">
        <f>IFERROR(__xludf.DUMMYFUNCTION("""COMPUTED_VALUE"""),2001.0)</f>
        <v>2001</v>
      </c>
    </row>
    <row r="1203">
      <c r="A1203" s="1" t="s">
        <v>492</v>
      </c>
      <c r="B1203" s="4">
        <v>76.0</v>
      </c>
      <c r="C1203" s="1" t="s">
        <v>34</v>
      </c>
      <c r="D1203" s="4">
        <v>2.0</v>
      </c>
      <c r="E1203" s="4">
        <v>8.0</v>
      </c>
      <c r="F1203" s="4">
        <v>1.0</v>
      </c>
      <c r="G1203" s="4">
        <v>7.0</v>
      </c>
      <c r="H1203" s="4">
        <v>0.0</v>
      </c>
      <c r="I1203" s="4">
        <v>12.0</v>
      </c>
      <c r="J1203" s="4">
        <v>52.0</v>
      </c>
      <c r="K1203" s="4">
        <v>-40.0</v>
      </c>
      <c r="L1203" s="2" t="s">
        <v>335</v>
      </c>
      <c r="M1203" s="5">
        <f>IFERROR(__xludf.DUMMYFUNCTION("""COMPUTED_VALUE"""),4.0)</f>
        <v>4</v>
      </c>
      <c r="N1203" s="5">
        <f>IFERROR(__xludf.DUMMYFUNCTION("""COMPUTED_VALUE"""),19.0)</f>
        <v>19</v>
      </c>
      <c r="O1203" s="5">
        <f>IFERROR(__xludf.DUMMYFUNCTION("""COMPUTED_VALUE"""),2000.0)</f>
        <v>2000</v>
      </c>
    </row>
    <row r="1204">
      <c r="A1204" s="1" t="s">
        <v>492</v>
      </c>
      <c r="B1204" s="4">
        <v>77.0</v>
      </c>
      <c r="C1204" s="1" t="s">
        <v>154</v>
      </c>
      <c r="D1204" s="4">
        <v>0.0</v>
      </c>
      <c r="E1204" s="4">
        <v>0.0</v>
      </c>
      <c r="F1204" s="4">
        <v>0.0</v>
      </c>
      <c r="G1204" s="4">
        <v>0.0</v>
      </c>
      <c r="H1204" s="4">
        <v>0.0</v>
      </c>
      <c r="I1204" s="4">
        <v>0.0</v>
      </c>
      <c r="J1204" s="4">
        <v>0.0</v>
      </c>
      <c r="K1204" s="4">
        <v>0.0</v>
      </c>
      <c r="L1204" s="2" t="s">
        <v>285</v>
      </c>
      <c r="M1204" s="5">
        <f>IFERROR(__xludf.DUMMYFUNCTION("""COMPUTED_VALUE"""),0.0)</f>
        <v>0</v>
      </c>
      <c r="N1204" s="5">
        <f>IFERROR(__xludf.DUMMYFUNCTION("""COMPUTED_VALUE"""),0.0)</f>
        <v>0</v>
      </c>
      <c r="O1204" s="5">
        <f>IFERROR(__xludf.DUMMYFUNCTION("""COMPUTED_VALUE"""),0.0)</f>
        <v>0</v>
      </c>
    </row>
    <row r="1205">
      <c r="A1205" s="1" t="s">
        <v>492</v>
      </c>
      <c r="B1205" s="4">
        <v>78.0</v>
      </c>
      <c r="C1205" s="1" t="s">
        <v>98</v>
      </c>
      <c r="D1205" s="4">
        <v>0.0</v>
      </c>
      <c r="E1205" s="4">
        <v>0.0</v>
      </c>
      <c r="F1205" s="4">
        <v>0.0</v>
      </c>
      <c r="G1205" s="4">
        <v>0.0</v>
      </c>
      <c r="H1205" s="4">
        <v>0.0</v>
      </c>
      <c r="I1205" s="4">
        <v>0.0</v>
      </c>
      <c r="J1205" s="4">
        <v>0.0</v>
      </c>
      <c r="K1205" s="4">
        <v>0.0</v>
      </c>
      <c r="L1205" s="2" t="s">
        <v>207</v>
      </c>
      <c r="M1205" s="5">
        <f>IFERROR(__xludf.DUMMYFUNCTION("""COMPUTED_VALUE"""),19.0)</f>
        <v>19</v>
      </c>
      <c r="N1205" s="5">
        <f>IFERROR(__xludf.DUMMYFUNCTION("""COMPUTED_VALUE"""),5.0)</f>
        <v>5</v>
      </c>
      <c r="O1205" s="5">
        <f>IFERROR(__xludf.DUMMYFUNCTION("""COMPUTED_VALUE"""),0.0)</f>
        <v>0</v>
      </c>
    </row>
    <row r="1206">
      <c r="A1206" s="1" t="s">
        <v>492</v>
      </c>
      <c r="B1206" s="4">
        <v>79.0</v>
      </c>
      <c r="C1206" s="1" t="s">
        <v>149</v>
      </c>
      <c r="D1206" s="4">
        <v>0.0</v>
      </c>
      <c r="E1206" s="4">
        <v>0.0</v>
      </c>
      <c r="F1206" s="4">
        <v>0.0</v>
      </c>
      <c r="G1206" s="4">
        <v>0.0</v>
      </c>
      <c r="H1206" s="4">
        <v>0.0</v>
      </c>
      <c r="I1206" s="4">
        <v>0.0</v>
      </c>
      <c r="J1206" s="4">
        <v>0.0</v>
      </c>
      <c r="K1206" s="4">
        <v>0.0</v>
      </c>
      <c r="L1206" s="2" t="s">
        <v>333</v>
      </c>
      <c r="M1206" s="5">
        <f>IFERROR(__xludf.DUMMYFUNCTION("""COMPUTED_VALUE"""),12.0)</f>
        <v>12</v>
      </c>
      <c r="N1206" s="5">
        <f>IFERROR(__xludf.DUMMYFUNCTION("""COMPUTED_VALUE"""),9.0)</f>
        <v>9</v>
      </c>
      <c r="O1206" s="5">
        <f>IFERROR(__xludf.DUMMYFUNCTION("""COMPUTED_VALUE"""),2001.0)</f>
        <v>2001</v>
      </c>
    </row>
    <row r="1207">
      <c r="A1207" s="1" t="s">
        <v>492</v>
      </c>
      <c r="B1207" s="4">
        <v>80.0</v>
      </c>
      <c r="C1207" s="1" t="s">
        <v>142</v>
      </c>
      <c r="D1207" s="4">
        <v>0.0</v>
      </c>
      <c r="E1207" s="4">
        <v>0.0</v>
      </c>
      <c r="F1207" s="4">
        <v>0.0</v>
      </c>
      <c r="G1207" s="4">
        <v>0.0</v>
      </c>
      <c r="H1207" s="4">
        <v>0.0</v>
      </c>
      <c r="I1207" s="4">
        <v>0.0</v>
      </c>
      <c r="J1207" s="4">
        <v>0.0</v>
      </c>
      <c r="K1207" s="4">
        <v>0.0</v>
      </c>
      <c r="L1207" s="2" t="s">
        <v>333</v>
      </c>
      <c r="M1207" s="5">
        <f>IFERROR(__xludf.DUMMYFUNCTION("""COMPUTED_VALUE"""),12.0)</f>
        <v>12</v>
      </c>
      <c r="N1207" s="5">
        <f>IFERROR(__xludf.DUMMYFUNCTION("""COMPUTED_VALUE"""),9.0)</f>
        <v>9</v>
      </c>
      <c r="O1207" s="5">
        <f>IFERROR(__xludf.DUMMYFUNCTION("""COMPUTED_VALUE"""),2001.0)</f>
        <v>2001</v>
      </c>
    </row>
    <row r="1208">
      <c r="A1208" s="1" t="s">
        <v>492</v>
      </c>
      <c r="B1208" s="4">
        <v>81.0</v>
      </c>
      <c r="C1208" s="1" t="s">
        <v>114</v>
      </c>
      <c r="D1208" s="4">
        <v>0.0</v>
      </c>
      <c r="E1208" s="4">
        <v>1.0</v>
      </c>
      <c r="F1208" s="4">
        <v>0.0</v>
      </c>
      <c r="G1208" s="4">
        <v>1.0</v>
      </c>
      <c r="H1208" s="4">
        <v>0.0</v>
      </c>
      <c r="I1208" s="4">
        <v>2.0</v>
      </c>
      <c r="J1208" s="4">
        <v>5.0</v>
      </c>
      <c r="K1208" s="4">
        <v>-3.0</v>
      </c>
      <c r="L1208" s="2" t="s">
        <v>376</v>
      </c>
      <c r="M1208" s="5">
        <f>IFERROR(__xludf.DUMMYFUNCTION("""COMPUTED_VALUE"""),1.0)</f>
        <v>1</v>
      </c>
      <c r="N1208" s="5">
        <f>IFERROR(__xludf.DUMMYFUNCTION("""COMPUTED_VALUE"""),19.0)</f>
        <v>19</v>
      </c>
      <c r="O1208" s="5">
        <f>IFERROR(__xludf.DUMMYFUNCTION("""COMPUTED_VALUE"""),2000.0)</f>
        <v>2000</v>
      </c>
    </row>
    <row r="1209">
      <c r="A1209" s="1" t="s">
        <v>492</v>
      </c>
      <c r="B1209" s="4">
        <v>82.0</v>
      </c>
      <c r="C1209" s="1" t="s">
        <v>110</v>
      </c>
      <c r="D1209" s="4">
        <v>0.0</v>
      </c>
      <c r="E1209" s="4">
        <v>3.0</v>
      </c>
      <c r="F1209" s="4">
        <v>0.0</v>
      </c>
      <c r="G1209" s="4">
        <v>3.0</v>
      </c>
      <c r="H1209" s="4">
        <v>0.0</v>
      </c>
      <c r="I1209" s="4">
        <v>3.0</v>
      </c>
      <c r="J1209" s="4">
        <v>11.0</v>
      </c>
      <c r="K1209" s="4">
        <v>-8.0</v>
      </c>
      <c r="L1209" s="2" t="s">
        <v>508</v>
      </c>
      <c r="M1209" s="5">
        <f>IFERROR(__xludf.DUMMYFUNCTION("""COMPUTED_VALUE"""),11.0)</f>
        <v>11</v>
      </c>
      <c r="N1209" s="5">
        <f>IFERROR(__xludf.DUMMYFUNCTION("""COMPUTED_VALUE"""),8.0)</f>
        <v>8</v>
      </c>
      <c r="O1209" s="5">
        <f>IFERROR(__xludf.DUMMYFUNCTION("""COMPUTED_VALUE"""),2000.0)</f>
        <v>2000</v>
      </c>
    </row>
    <row r="1210">
      <c r="A1210" s="1" t="s">
        <v>492</v>
      </c>
      <c r="B1210" s="4">
        <v>83.0</v>
      </c>
      <c r="C1210" s="1" t="s">
        <v>68</v>
      </c>
      <c r="D1210" s="4">
        <v>0.0</v>
      </c>
      <c r="E1210" s="4">
        <v>5.0</v>
      </c>
      <c r="F1210" s="4">
        <v>0.0</v>
      </c>
      <c r="G1210" s="4">
        <v>5.0</v>
      </c>
      <c r="H1210" s="4">
        <v>0.0</v>
      </c>
      <c r="I1210" s="4">
        <v>5.0</v>
      </c>
      <c r="J1210" s="4">
        <v>36.0</v>
      </c>
      <c r="K1210" s="4">
        <v>-31.0</v>
      </c>
      <c r="L1210" s="2" t="s">
        <v>227</v>
      </c>
      <c r="M1210" s="5">
        <f>IFERROR(__xludf.DUMMYFUNCTION("""COMPUTED_VALUE"""),3.0)</f>
        <v>3</v>
      </c>
      <c r="N1210" s="5">
        <f>IFERROR(__xludf.DUMMYFUNCTION("""COMPUTED_VALUE"""),18.0)</f>
        <v>18</v>
      </c>
      <c r="O1210" s="5">
        <f>IFERROR(__xludf.DUMMYFUNCTION("""COMPUTED_VALUE"""),2000.0)</f>
        <v>2000</v>
      </c>
    </row>
    <row r="1211">
      <c r="A1211" s="1" t="s">
        <v>492</v>
      </c>
      <c r="B1211" s="4">
        <v>84.0</v>
      </c>
      <c r="C1211" s="1" t="s">
        <v>69</v>
      </c>
      <c r="D1211" s="4">
        <v>0.0</v>
      </c>
      <c r="E1211" s="4">
        <v>7.0</v>
      </c>
      <c r="F1211" s="4">
        <v>0.0</v>
      </c>
      <c r="G1211" s="4">
        <v>7.0</v>
      </c>
      <c r="H1211" s="4">
        <v>0.0</v>
      </c>
      <c r="I1211" s="4">
        <v>23.0</v>
      </c>
      <c r="J1211" s="4">
        <v>58.0</v>
      </c>
      <c r="K1211" s="4">
        <v>-35.0</v>
      </c>
      <c r="L1211" s="2" t="s">
        <v>201</v>
      </c>
      <c r="M1211" s="5">
        <f>IFERROR(__xludf.DUMMYFUNCTION("""COMPUTED_VALUE"""),2.0)</f>
        <v>2</v>
      </c>
      <c r="N1211" s="5">
        <f>IFERROR(__xludf.DUMMYFUNCTION("""COMPUTED_VALUE"""),18.0)</f>
        <v>18</v>
      </c>
      <c r="O1211" s="5">
        <f>IFERROR(__xludf.DUMMYFUNCTION("""COMPUTED_VALUE"""),2000.0)</f>
        <v>2000</v>
      </c>
    </row>
    <row r="1212">
      <c r="A1212" s="1" t="s">
        <v>492</v>
      </c>
      <c r="B1212" s="4">
        <v>85.0</v>
      </c>
      <c r="C1212" s="1" t="s">
        <v>421</v>
      </c>
      <c r="D1212" s="4">
        <v>0.0</v>
      </c>
      <c r="E1212" s="4">
        <v>5.0</v>
      </c>
      <c r="F1212" s="4">
        <v>0.0</v>
      </c>
      <c r="G1212" s="4">
        <v>5.0</v>
      </c>
      <c r="H1212" s="4">
        <v>0.0</v>
      </c>
      <c r="I1212" s="4">
        <v>5.0</v>
      </c>
      <c r="J1212" s="4">
        <v>43.0</v>
      </c>
      <c r="K1212" s="4">
        <v>-38.0</v>
      </c>
      <c r="L1212" s="2" t="s">
        <v>227</v>
      </c>
      <c r="M1212" s="5">
        <f>IFERROR(__xludf.DUMMYFUNCTION("""COMPUTED_VALUE"""),3.0)</f>
        <v>3</v>
      </c>
      <c r="N1212" s="5">
        <f>IFERROR(__xludf.DUMMYFUNCTION("""COMPUTED_VALUE"""),18.0)</f>
        <v>18</v>
      </c>
      <c r="O1212" s="5">
        <f>IFERROR(__xludf.DUMMYFUNCTION("""COMPUTED_VALUE"""),2000.0)</f>
        <v>2000</v>
      </c>
    </row>
    <row r="1213">
      <c r="A1213" s="1" t="s">
        <v>492</v>
      </c>
      <c r="B1213" s="4">
        <v>86.0</v>
      </c>
      <c r="C1213" s="1" t="s">
        <v>119</v>
      </c>
      <c r="D1213" s="4">
        <v>0.0</v>
      </c>
      <c r="E1213" s="4">
        <v>8.0</v>
      </c>
      <c r="F1213" s="4">
        <v>0.0</v>
      </c>
      <c r="G1213" s="4">
        <v>8.0</v>
      </c>
      <c r="H1213" s="4">
        <v>0.0</v>
      </c>
      <c r="I1213" s="4">
        <v>27.0</v>
      </c>
      <c r="J1213" s="4">
        <v>74.0</v>
      </c>
      <c r="K1213" s="4">
        <v>-47.0</v>
      </c>
      <c r="L1213" s="2" t="s">
        <v>157</v>
      </c>
      <c r="M1213" s="5">
        <f>IFERROR(__xludf.DUMMYFUNCTION("""COMPUTED_VALUE"""),3.0)</f>
        <v>3</v>
      </c>
      <c r="N1213" s="5">
        <f>IFERROR(__xludf.DUMMYFUNCTION("""COMPUTED_VALUE"""),21.0)</f>
        <v>21</v>
      </c>
      <c r="O1213" s="5">
        <f>IFERROR(__xludf.DUMMYFUNCTION("""COMPUTED_VALUE"""),2000.0)</f>
        <v>2000</v>
      </c>
    </row>
    <row r="1214">
      <c r="A1214" s="1" t="s">
        <v>492</v>
      </c>
      <c r="B1214" s="4">
        <v>87.0</v>
      </c>
      <c r="C1214" s="1" t="s">
        <v>112</v>
      </c>
      <c r="D1214" s="4">
        <v>0.0</v>
      </c>
      <c r="E1214" s="4">
        <v>8.0</v>
      </c>
      <c r="F1214" s="4">
        <v>0.0</v>
      </c>
      <c r="G1214" s="4">
        <v>8.0</v>
      </c>
      <c r="H1214" s="4">
        <v>0.0</v>
      </c>
      <c r="I1214" s="4">
        <v>5.0</v>
      </c>
      <c r="J1214" s="4">
        <v>74.0</v>
      </c>
      <c r="K1214" s="4">
        <v>-69.0</v>
      </c>
      <c r="L1214" s="2" t="s">
        <v>225</v>
      </c>
      <c r="M1214" s="5">
        <f>IFERROR(__xludf.DUMMYFUNCTION("""COMPUTED_VALUE"""),3.0)</f>
        <v>3</v>
      </c>
      <c r="N1214" s="5">
        <f>IFERROR(__xludf.DUMMYFUNCTION("""COMPUTED_VALUE"""),12.0)</f>
        <v>12</v>
      </c>
      <c r="O1214" s="5">
        <f>IFERROR(__xludf.DUMMYFUNCTION("""COMPUTED_VALUE"""),2000.0)</f>
        <v>2000</v>
      </c>
    </row>
    <row r="1215">
      <c r="A1215" s="1" t="s">
        <v>492</v>
      </c>
      <c r="B1215" s="4">
        <v>88.0</v>
      </c>
      <c r="C1215" s="1" t="s">
        <v>135</v>
      </c>
      <c r="D1215" s="4">
        <v>0.0</v>
      </c>
      <c r="E1215" s="4">
        <v>14.0</v>
      </c>
      <c r="F1215" s="4">
        <v>0.0</v>
      </c>
      <c r="G1215" s="4">
        <v>14.0</v>
      </c>
      <c r="H1215" s="4">
        <v>0.0</v>
      </c>
      <c r="I1215" s="4">
        <v>25.0</v>
      </c>
      <c r="J1215" s="4">
        <v>124.0</v>
      </c>
      <c r="K1215" s="4">
        <v>-99.0</v>
      </c>
      <c r="L1215" s="2" t="s">
        <v>464</v>
      </c>
      <c r="M1215" s="5">
        <f>IFERROR(__xludf.DUMMYFUNCTION("""COMPUTED_VALUE"""),0.0)</f>
        <v>0</v>
      </c>
      <c r="N1215" s="5">
        <f>IFERROR(__xludf.DUMMYFUNCTION("""COMPUTED_VALUE"""),20.0)</f>
        <v>20</v>
      </c>
      <c r="O1215" s="5">
        <f>IFERROR(__xludf.DUMMYFUNCTION("""COMPUTED_VALUE"""),0.0)</f>
        <v>0</v>
      </c>
    </row>
    <row r="1216">
      <c r="A1216" s="1" t="s">
        <v>492</v>
      </c>
      <c r="B1216" s="4">
        <v>89.0</v>
      </c>
      <c r="C1216" s="1" t="s">
        <v>134</v>
      </c>
      <c r="D1216" s="4">
        <v>0.0</v>
      </c>
      <c r="E1216" s="4">
        <v>12.0</v>
      </c>
      <c r="F1216" s="4">
        <v>0.0</v>
      </c>
      <c r="G1216" s="4">
        <v>12.0</v>
      </c>
      <c r="H1216" s="4">
        <v>0.0</v>
      </c>
      <c r="I1216" s="4">
        <v>3.0</v>
      </c>
      <c r="J1216" s="4">
        <v>108.0</v>
      </c>
      <c r="K1216" s="4">
        <v>-105.0</v>
      </c>
      <c r="L1216" s="2" t="s">
        <v>257</v>
      </c>
      <c r="M1216" s="5">
        <f>IFERROR(__xludf.DUMMYFUNCTION("""COMPUTED_VALUE"""),1.0)</f>
        <v>1</v>
      </c>
      <c r="N1216" s="5">
        <f>IFERROR(__xludf.DUMMYFUNCTION("""COMPUTED_VALUE"""),19.0)</f>
        <v>19</v>
      </c>
      <c r="O1216" s="5">
        <f>IFERROR(__xludf.DUMMYFUNCTION("""COMPUTED_VALUE"""),2001.0)</f>
        <v>2001</v>
      </c>
    </row>
    <row r="1217">
      <c r="A1217" s="1" t="s">
        <v>492</v>
      </c>
      <c r="B1217" s="4">
        <v>90.0</v>
      </c>
      <c r="C1217" s="1" t="s">
        <v>94</v>
      </c>
      <c r="D1217" s="4">
        <v>0.0</v>
      </c>
      <c r="E1217" s="4">
        <v>14.0</v>
      </c>
      <c r="F1217" s="4">
        <v>0.0</v>
      </c>
      <c r="G1217" s="4">
        <v>14.0</v>
      </c>
      <c r="H1217" s="4">
        <v>0.0</v>
      </c>
      <c r="I1217" s="4">
        <v>23.0</v>
      </c>
      <c r="J1217" s="4">
        <v>132.0</v>
      </c>
      <c r="K1217" s="4">
        <v>-109.0</v>
      </c>
      <c r="L1217" s="2" t="s">
        <v>232</v>
      </c>
      <c r="M1217" s="5">
        <f>IFERROR(__xludf.DUMMYFUNCTION("""COMPUTED_VALUE"""),1.0)</f>
        <v>1</v>
      </c>
      <c r="N1217" s="5">
        <f>IFERROR(__xludf.DUMMYFUNCTION("""COMPUTED_VALUE"""),23.0)</f>
        <v>23</v>
      </c>
      <c r="O1217" s="5">
        <f>IFERROR(__xludf.DUMMYFUNCTION("""COMPUTED_VALUE"""),2000.0)</f>
        <v>2000</v>
      </c>
    </row>
    <row r="1218">
      <c r="A1218" s="1" t="s">
        <v>492</v>
      </c>
      <c r="B1218" s="4">
        <v>91.0</v>
      </c>
      <c r="C1218" s="1" t="s">
        <v>140</v>
      </c>
      <c r="D1218" s="4">
        <v>0.0</v>
      </c>
      <c r="E1218" s="4">
        <v>12.0</v>
      </c>
      <c r="F1218" s="4">
        <v>0.0</v>
      </c>
      <c r="G1218" s="4">
        <v>12.0</v>
      </c>
      <c r="H1218" s="4">
        <v>0.0</v>
      </c>
      <c r="I1218" s="4">
        <v>7.0</v>
      </c>
      <c r="J1218" s="4">
        <v>138.0</v>
      </c>
      <c r="K1218" s="4">
        <v>-131.0</v>
      </c>
      <c r="L1218" s="2" t="s">
        <v>203</v>
      </c>
      <c r="M1218" s="5">
        <f>IFERROR(__xludf.DUMMYFUNCTION("""COMPUTED_VALUE"""),2.0)</f>
        <v>2</v>
      </c>
      <c r="N1218" s="5">
        <f>IFERROR(__xludf.DUMMYFUNCTION("""COMPUTED_VALUE"""),19.0)</f>
        <v>19</v>
      </c>
      <c r="O1218" s="5">
        <f>IFERROR(__xludf.DUMMYFUNCTION("""COMPUTED_VALUE"""),2000.0)</f>
        <v>2000</v>
      </c>
    </row>
    <row r="1219">
      <c r="A1219" s="1" t="s">
        <v>509</v>
      </c>
      <c r="B1219" s="4">
        <v>1.0</v>
      </c>
      <c r="C1219" s="1" t="s">
        <v>43</v>
      </c>
      <c r="D1219" s="4">
        <v>24.0</v>
      </c>
      <c r="E1219" s="4">
        <v>14.0</v>
      </c>
      <c r="F1219" s="4">
        <v>12.0</v>
      </c>
      <c r="G1219" s="4">
        <v>2.0</v>
      </c>
      <c r="H1219" s="4">
        <v>0.0</v>
      </c>
      <c r="I1219" s="4">
        <v>105.0</v>
      </c>
      <c r="J1219" s="4">
        <v>16.0</v>
      </c>
      <c r="K1219" s="4">
        <v>89.0</v>
      </c>
      <c r="L1219" s="2" t="s">
        <v>169</v>
      </c>
      <c r="M1219" s="5">
        <f>IFERROR(__xludf.DUMMYFUNCTION("""COMPUTED_VALUE"""),20.0)</f>
        <v>20</v>
      </c>
      <c r="N1219" s="5">
        <f>IFERROR(__xludf.DUMMYFUNCTION("""COMPUTED_VALUE"""),4.0)</f>
        <v>4</v>
      </c>
      <c r="O1219" s="5">
        <f>IFERROR(__xludf.DUMMYFUNCTION("""COMPUTED_VALUE"""),0.0)</f>
        <v>0</v>
      </c>
    </row>
    <row r="1220">
      <c r="A1220" s="1" t="s">
        <v>509</v>
      </c>
      <c r="B1220" s="4">
        <v>2.0</v>
      </c>
      <c r="C1220" s="1" t="s">
        <v>113</v>
      </c>
      <c r="D1220" s="4">
        <v>24.0</v>
      </c>
      <c r="E1220" s="4">
        <v>14.0</v>
      </c>
      <c r="F1220" s="4">
        <v>12.0</v>
      </c>
      <c r="G1220" s="4">
        <v>2.0</v>
      </c>
      <c r="H1220" s="4">
        <v>0.0</v>
      </c>
      <c r="I1220" s="4">
        <v>99.0</v>
      </c>
      <c r="J1220" s="4">
        <v>23.0</v>
      </c>
      <c r="K1220" s="4">
        <v>76.0</v>
      </c>
      <c r="L1220" s="2" t="s">
        <v>205</v>
      </c>
      <c r="M1220" s="5">
        <f>IFERROR(__xludf.DUMMYFUNCTION("""COMPUTED_VALUE"""),19.0)</f>
        <v>19</v>
      </c>
      <c r="N1220" s="5">
        <f>IFERROR(__xludf.DUMMYFUNCTION("""COMPUTED_VALUE"""),4.0)</f>
        <v>4</v>
      </c>
      <c r="O1220" s="5">
        <f>IFERROR(__xludf.DUMMYFUNCTION("""COMPUTED_VALUE"""),0.0)</f>
        <v>0</v>
      </c>
    </row>
    <row r="1221">
      <c r="A1221" s="1" t="s">
        <v>509</v>
      </c>
      <c r="B1221" s="4">
        <v>3.0</v>
      </c>
      <c r="C1221" s="1" t="s">
        <v>22</v>
      </c>
      <c r="D1221" s="4">
        <v>24.0</v>
      </c>
      <c r="E1221" s="4">
        <v>14.0</v>
      </c>
      <c r="F1221" s="4">
        <v>12.0</v>
      </c>
      <c r="G1221" s="4">
        <v>2.0</v>
      </c>
      <c r="H1221" s="4">
        <v>0.0</v>
      </c>
      <c r="I1221" s="4">
        <v>86.0</v>
      </c>
      <c r="J1221" s="4">
        <v>21.0</v>
      </c>
      <c r="K1221" s="4">
        <v>65.0</v>
      </c>
      <c r="L1221" s="2" t="s">
        <v>510</v>
      </c>
      <c r="M1221" s="5">
        <f>IFERROR(__xludf.DUMMYFUNCTION("""COMPUTED_VALUE"""),16.0)</f>
        <v>16</v>
      </c>
      <c r="N1221" s="5">
        <f>IFERROR(__xludf.DUMMYFUNCTION("""COMPUTED_VALUE"""),3.0)</f>
        <v>3</v>
      </c>
      <c r="O1221" s="5">
        <f>IFERROR(__xludf.DUMMYFUNCTION("""COMPUTED_VALUE"""),1.0)</f>
        <v>1</v>
      </c>
    </row>
    <row r="1222">
      <c r="A1222" s="1" t="s">
        <v>509</v>
      </c>
      <c r="B1222" s="4">
        <v>4.0</v>
      </c>
      <c r="C1222" s="1" t="s">
        <v>25</v>
      </c>
      <c r="D1222" s="4">
        <v>24.0</v>
      </c>
      <c r="E1222" s="4">
        <v>12.0</v>
      </c>
      <c r="F1222" s="4">
        <v>12.0</v>
      </c>
      <c r="G1222" s="4">
        <v>0.0</v>
      </c>
      <c r="H1222" s="4">
        <v>0.0</v>
      </c>
      <c r="I1222" s="4">
        <v>81.0</v>
      </c>
      <c r="J1222" s="4">
        <v>16.0</v>
      </c>
      <c r="K1222" s="4">
        <v>65.0</v>
      </c>
      <c r="L1222" s="2" t="s">
        <v>511</v>
      </c>
      <c r="M1222" s="5">
        <f>IFERROR(__xludf.DUMMYFUNCTION("""COMPUTED_VALUE"""),24.0)</f>
        <v>24</v>
      </c>
      <c r="N1222" s="5">
        <f>IFERROR(__xludf.DUMMYFUNCTION("""COMPUTED_VALUE"""),1.0)</f>
        <v>1</v>
      </c>
      <c r="O1222" s="5">
        <f>IFERROR(__xludf.DUMMYFUNCTION("""COMPUTED_VALUE"""),0.0)</f>
        <v>0</v>
      </c>
    </row>
    <row r="1223">
      <c r="A1223" s="1" t="s">
        <v>509</v>
      </c>
      <c r="B1223" s="4">
        <v>5.0</v>
      </c>
      <c r="C1223" s="1" t="s">
        <v>45</v>
      </c>
      <c r="D1223" s="4">
        <v>24.0</v>
      </c>
      <c r="E1223" s="4">
        <v>12.0</v>
      </c>
      <c r="F1223" s="4">
        <v>12.0</v>
      </c>
      <c r="G1223" s="4">
        <v>0.0</v>
      </c>
      <c r="H1223" s="4">
        <v>0.0</v>
      </c>
      <c r="I1223" s="4">
        <v>76.0</v>
      </c>
      <c r="J1223" s="4">
        <v>13.0</v>
      </c>
      <c r="K1223" s="4">
        <v>63.0</v>
      </c>
      <c r="L1223" s="2" t="s">
        <v>32</v>
      </c>
      <c r="M1223" s="5">
        <f>IFERROR(__xludf.DUMMYFUNCTION("""COMPUTED_VALUE"""),21.0)</f>
        <v>21</v>
      </c>
      <c r="N1223" s="5">
        <f>IFERROR(__xludf.DUMMYFUNCTION("""COMPUTED_VALUE"""),3.0)</f>
        <v>3</v>
      </c>
      <c r="O1223" s="5">
        <f>IFERROR(__xludf.DUMMYFUNCTION("""COMPUTED_VALUE"""),0.0)</f>
        <v>0</v>
      </c>
    </row>
    <row r="1224">
      <c r="A1224" s="1" t="s">
        <v>509</v>
      </c>
      <c r="B1224" s="4">
        <v>6.0</v>
      </c>
      <c r="C1224" s="1" t="s">
        <v>24</v>
      </c>
      <c r="D1224" s="4">
        <v>23.0</v>
      </c>
      <c r="E1224" s="4">
        <v>14.0</v>
      </c>
      <c r="F1224" s="4">
        <v>11.0</v>
      </c>
      <c r="G1224" s="4">
        <v>2.0</v>
      </c>
      <c r="H1224" s="4">
        <v>1.0</v>
      </c>
      <c r="I1224" s="4">
        <v>70.0</v>
      </c>
      <c r="J1224" s="4">
        <v>21.0</v>
      </c>
      <c r="K1224" s="4">
        <v>49.0</v>
      </c>
      <c r="L1224" s="2" t="s">
        <v>206</v>
      </c>
      <c r="M1224" s="5">
        <f>IFERROR(__xludf.DUMMYFUNCTION("""COMPUTED_VALUE"""),16.0)</f>
        <v>16</v>
      </c>
      <c r="N1224" s="5">
        <f>IFERROR(__xludf.DUMMYFUNCTION("""COMPUTED_VALUE"""),6.0)</f>
        <v>6</v>
      </c>
      <c r="O1224" s="5">
        <f>IFERROR(__xludf.DUMMYFUNCTION("""COMPUTED_VALUE"""),1.0)</f>
        <v>1</v>
      </c>
    </row>
    <row r="1225">
      <c r="A1225" s="1" t="s">
        <v>509</v>
      </c>
      <c r="B1225" s="4">
        <v>7.0</v>
      </c>
      <c r="C1225" s="1" t="s">
        <v>398</v>
      </c>
      <c r="D1225" s="4">
        <v>22.0</v>
      </c>
      <c r="E1225" s="4">
        <v>14.0</v>
      </c>
      <c r="F1225" s="4">
        <v>11.0</v>
      </c>
      <c r="G1225" s="4">
        <v>3.0</v>
      </c>
      <c r="H1225" s="4">
        <v>0.0</v>
      </c>
      <c r="I1225" s="4">
        <v>116.0</v>
      </c>
      <c r="J1225" s="4">
        <v>40.0</v>
      </c>
      <c r="K1225" s="4">
        <v>76.0</v>
      </c>
      <c r="L1225" s="2" t="s">
        <v>205</v>
      </c>
      <c r="M1225" s="5">
        <f>IFERROR(__xludf.DUMMYFUNCTION("""COMPUTED_VALUE"""),19.0)</f>
        <v>19</v>
      </c>
      <c r="N1225" s="5">
        <f>IFERROR(__xludf.DUMMYFUNCTION("""COMPUTED_VALUE"""),4.0)</f>
        <v>4</v>
      </c>
      <c r="O1225" s="5">
        <f>IFERROR(__xludf.DUMMYFUNCTION("""COMPUTED_VALUE"""),0.0)</f>
        <v>0</v>
      </c>
    </row>
    <row r="1226">
      <c r="A1226" s="1" t="s">
        <v>509</v>
      </c>
      <c r="B1226" s="4">
        <v>8.0</v>
      </c>
      <c r="C1226" s="1" t="s">
        <v>106</v>
      </c>
      <c r="D1226" s="4">
        <v>21.0</v>
      </c>
      <c r="E1226" s="4">
        <v>14.0</v>
      </c>
      <c r="F1226" s="4">
        <v>10.0</v>
      </c>
      <c r="G1226" s="4">
        <v>3.0</v>
      </c>
      <c r="H1226" s="4">
        <v>1.0</v>
      </c>
      <c r="I1226" s="4">
        <v>72.0</v>
      </c>
      <c r="J1226" s="4">
        <v>35.0</v>
      </c>
      <c r="K1226" s="4">
        <v>37.0</v>
      </c>
      <c r="L1226" s="2" t="s">
        <v>493</v>
      </c>
      <c r="M1226" s="5">
        <f>IFERROR(__xludf.DUMMYFUNCTION("""COMPUTED_VALUE"""),15.0)</f>
        <v>15</v>
      </c>
      <c r="N1226" s="5">
        <f>IFERROR(__xludf.DUMMYFUNCTION("""COMPUTED_VALUE"""),5.0)</f>
        <v>5</v>
      </c>
      <c r="O1226" s="5">
        <f>IFERROR(__xludf.DUMMYFUNCTION("""COMPUTED_VALUE"""),2.0)</f>
        <v>2</v>
      </c>
    </row>
    <row r="1227">
      <c r="A1227" s="1" t="s">
        <v>509</v>
      </c>
      <c r="B1227" s="4">
        <v>9.0</v>
      </c>
      <c r="C1227" s="1" t="s">
        <v>413</v>
      </c>
      <c r="D1227" s="4">
        <v>20.0</v>
      </c>
      <c r="E1227" s="4">
        <v>12.0</v>
      </c>
      <c r="F1227" s="4">
        <v>10.0</v>
      </c>
      <c r="G1227" s="4">
        <v>2.0</v>
      </c>
      <c r="H1227" s="4">
        <v>0.0</v>
      </c>
      <c r="I1227" s="4">
        <v>68.0</v>
      </c>
      <c r="J1227" s="4">
        <v>21.0</v>
      </c>
      <c r="K1227" s="4">
        <v>47.0</v>
      </c>
      <c r="L1227" s="2" t="s">
        <v>169</v>
      </c>
      <c r="M1227" s="5">
        <f>IFERROR(__xludf.DUMMYFUNCTION("""COMPUTED_VALUE"""),20.0)</f>
        <v>20</v>
      </c>
      <c r="N1227" s="5">
        <f>IFERROR(__xludf.DUMMYFUNCTION("""COMPUTED_VALUE"""),4.0)</f>
        <v>4</v>
      </c>
      <c r="O1227" s="5">
        <f>IFERROR(__xludf.DUMMYFUNCTION("""COMPUTED_VALUE"""),0.0)</f>
        <v>0</v>
      </c>
    </row>
    <row r="1228">
      <c r="A1228" s="1" t="s">
        <v>509</v>
      </c>
      <c r="B1228" s="4">
        <v>10.0</v>
      </c>
      <c r="C1228" s="1" t="s">
        <v>61</v>
      </c>
      <c r="D1228" s="4">
        <v>20.0</v>
      </c>
      <c r="E1228" s="4">
        <v>10.0</v>
      </c>
      <c r="F1228" s="4">
        <v>10.0</v>
      </c>
      <c r="G1228" s="4">
        <v>0.0</v>
      </c>
      <c r="H1228" s="4">
        <v>0.0</v>
      </c>
      <c r="I1228" s="4">
        <v>53.0</v>
      </c>
      <c r="J1228" s="4">
        <v>15.0</v>
      </c>
      <c r="K1228" s="4">
        <v>38.0</v>
      </c>
      <c r="L1228" s="2" t="s">
        <v>217</v>
      </c>
      <c r="M1228" s="5">
        <f>IFERROR(__xludf.DUMMYFUNCTION("""COMPUTED_VALUE"""),18.0)</f>
        <v>18</v>
      </c>
      <c r="N1228" s="5">
        <f>IFERROR(__xludf.DUMMYFUNCTION("""COMPUTED_VALUE"""),4.0)</f>
        <v>4</v>
      </c>
      <c r="O1228" s="5">
        <f>IFERROR(__xludf.DUMMYFUNCTION("""COMPUTED_VALUE"""),0.0)</f>
        <v>0</v>
      </c>
    </row>
    <row r="1229">
      <c r="A1229" s="1" t="s">
        <v>509</v>
      </c>
      <c r="B1229" s="4">
        <v>11.0</v>
      </c>
      <c r="C1229" s="1" t="s">
        <v>79</v>
      </c>
      <c r="D1229" s="4">
        <v>20.0</v>
      </c>
      <c r="E1229" s="4">
        <v>14.0</v>
      </c>
      <c r="F1229" s="4">
        <v>9.0</v>
      </c>
      <c r="G1229" s="4">
        <v>3.0</v>
      </c>
      <c r="H1229" s="4">
        <v>2.0</v>
      </c>
      <c r="I1229" s="4">
        <v>66.0</v>
      </c>
      <c r="J1229" s="4">
        <v>35.0</v>
      </c>
      <c r="K1229" s="4">
        <v>31.0</v>
      </c>
      <c r="L1229" s="2" t="s">
        <v>319</v>
      </c>
      <c r="M1229" s="5">
        <f>IFERROR(__xludf.DUMMYFUNCTION("""COMPUTED_VALUE"""),14.0)</f>
        <v>14</v>
      </c>
      <c r="N1229" s="5">
        <f>IFERROR(__xludf.DUMMYFUNCTION("""COMPUTED_VALUE"""),6.0)</f>
        <v>6</v>
      </c>
      <c r="O1229" s="5">
        <f>IFERROR(__xludf.DUMMYFUNCTION("""COMPUTED_VALUE"""),2.0)</f>
        <v>2</v>
      </c>
    </row>
    <row r="1230">
      <c r="A1230" s="1" t="s">
        <v>509</v>
      </c>
      <c r="B1230" s="4">
        <v>12.0</v>
      </c>
      <c r="C1230" s="1" t="s">
        <v>117</v>
      </c>
      <c r="D1230" s="4">
        <v>19.0</v>
      </c>
      <c r="E1230" s="4">
        <v>14.0</v>
      </c>
      <c r="F1230" s="4">
        <v>9.0</v>
      </c>
      <c r="G1230" s="4">
        <v>4.0</v>
      </c>
      <c r="H1230" s="4">
        <v>1.0</v>
      </c>
      <c r="I1230" s="4">
        <v>66.0</v>
      </c>
      <c r="J1230" s="4">
        <v>37.0</v>
      </c>
      <c r="K1230" s="4">
        <v>29.0</v>
      </c>
      <c r="L1230" s="2" t="s">
        <v>340</v>
      </c>
      <c r="M1230" s="5">
        <f>IFERROR(__xludf.DUMMYFUNCTION("""COMPUTED_VALUE"""),17.0)</f>
        <v>17</v>
      </c>
      <c r="N1230" s="5">
        <f>IFERROR(__xludf.DUMMYFUNCTION("""COMPUTED_VALUE"""),5.0)</f>
        <v>5</v>
      </c>
      <c r="O1230" s="5">
        <f>IFERROR(__xludf.DUMMYFUNCTION("""COMPUTED_VALUE"""),2.0)</f>
        <v>2</v>
      </c>
    </row>
    <row r="1231">
      <c r="A1231" s="1" t="s">
        <v>509</v>
      </c>
      <c r="B1231" s="4">
        <v>13.0</v>
      </c>
      <c r="C1231" s="1" t="s">
        <v>90</v>
      </c>
      <c r="D1231" s="4">
        <v>18.0</v>
      </c>
      <c r="E1231" s="4">
        <v>15.0</v>
      </c>
      <c r="F1231" s="4">
        <v>9.0</v>
      </c>
      <c r="G1231" s="4">
        <v>6.0</v>
      </c>
      <c r="H1231" s="4">
        <v>0.0</v>
      </c>
      <c r="I1231" s="4">
        <v>75.0</v>
      </c>
      <c r="J1231" s="4">
        <v>50.0</v>
      </c>
      <c r="K1231" s="4">
        <v>25.0</v>
      </c>
      <c r="L1231" s="2" t="s">
        <v>234</v>
      </c>
      <c r="M1231" s="5">
        <f>IFERROR(__xludf.DUMMYFUNCTION("""COMPUTED_VALUE"""),10.0)</f>
        <v>10</v>
      </c>
      <c r="N1231" s="5">
        <f>IFERROR(__xludf.DUMMYFUNCTION("""COMPUTED_VALUE"""),9.0)</f>
        <v>9</v>
      </c>
      <c r="O1231" s="5">
        <f>IFERROR(__xludf.DUMMYFUNCTION("""COMPUTED_VALUE"""),2000.0)</f>
        <v>2000</v>
      </c>
    </row>
    <row r="1232">
      <c r="A1232" s="1" t="s">
        <v>509</v>
      </c>
      <c r="B1232" s="4">
        <v>14.0</v>
      </c>
      <c r="C1232" s="1" t="s">
        <v>29</v>
      </c>
      <c r="D1232" s="4">
        <v>18.0</v>
      </c>
      <c r="E1232" s="4">
        <v>14.0</v>
      </c>
      <c r="F1232" s="4">
        <v>9.0</v>
      </c>
      <c r="G1232" s="4">
        <v>5.0</v>
      </c>
      <c r="H1232" s="4">
        <v>0.0</v>
      </c>
      <c r="I1232" s="4">
        <v>73.0</v>
      </c>
      <c r="J1232" s="4">
        <v>50.0</v>
      </c>
      <c r="K1232" s="4">
        <v>23.0</v>
      </c>
      <c r="L1232" s="2" t="s">
        <v>57</v>
      </c>
      <c r="M1232" s="5">
        <f>IFERROR(__xludf.DUMMYFUNCTION("""COMPUTED_VALUE"""),17.0)</f>
        <v>17</v>
      </c>
      <c r="N1232" s="5">
        <f>IFERROR(__xludf.DUMMYFUNCTION("""COMPUTED_VALUE"""),7.0)</f>
        <v>7</v>
      </c>
      <c r="O1232" s="5">
        <f>IFERROR(__xludf.DUMMYFUNCTION("""COMPUTED_VALUE"""),0.0)</f>
        <v>0</v>
      </c>
    </row>
    <row r="1233">
      <c r="A1233" s="1" t="s">
        <v>509</v>
      </c>
      <c r="B1233" s="4">
        <v>15.0</v>
      </c>
      <c r="C1233" s="1" t="s">
        <v>75</v>
      </c>
      <c r="D1233" s="4">
        <v>18.0</v>
      </c>
      <c r="E1233" s="4">
        <v>14.0</v>
      </c>
      <c r="F1233" s="4">
        <v>9.0</v>
      </c>
      <c r="G1233" s="4">
        <v>5.0</v>
      </c>
      <c r="H1233" s="4">
        <v>0.0</v>
      </c>
      <c r="I1233" s="4">
        <v>60.0</v>
      </c>
      <c r="J1233" s="4">
        <v>48.0</v>
      </c>
      <c r="K1233" s="4">
        <v>12.0</v>
      </c>
      <c r="L1233" s="2" t="s">
        <v>129</v>
      </c>
      <c r="M1233" s="5">
        <f>IFERROR(__xludf.DUMMYFUNCTION("""COMPUTED_VALUE"""),12.0)</f>
        <v>12</v>
      </c>
      <c r="N1233" s="5">
        <f>IFERROR(__xludf.DUMMYFUNCTION("""COMPUTED_VALUE"""),10.0)</f>
        <v>10</v>
      </c>
      <c r="O1233" s="5">
        <f>IFERROR(__xludf.DUMMYFUNCTION("""COMPUTED_VALUE"""),2000.0)</f>
        <v>2000</v>
      </c>
    </row>
    <row r="1234">
      <c r="A1234" s="1" t="s">
        <v>509</v>
      </c>
      <c r="B1234" s="4">
        <v>16.0</v>
      </c>
      <c r="C1234" s="1" t="s">
        <v>146</v>
      </c>
      <c r="D1234" s="4">
        <v>18.0</v>
      </c>
      <c r="E1234" s="4">
        <v>14.0</v>
      </c>
      <c r="F1234" s="4">
        <v>9.0</v>
      </c>
      <c r="G1234" s="4">
        <v>5.0</v>
      </c>
      <c r="H1234" s="4">
        <v>0.0</v>
      </c>
      <c r="I1234" s="4">
        <v>36.0</v>
      </c>
      <c r="J1234" s="4">
        <v>32.0</v>
      </c>
      <c r="K1234" s="4">
        <v>4.0</v>
      </c>
      <c r="L1234" s="2" t="s">
        <v>167</v>
      </c>
      <c r="M1234" s="5">
        <f>IFERROR(__xludf.DUMMYFUNCTION("""COMPUTED_VALUE"""),15.0)</f>
        <v>15</v>
      </c>
      <c r="N1234" s="5">
        <f>IFERROR(__xludf.DUMMYFUNCTION("""COMPUTED_VALUE"""),7.0)</f>
        <v>7</v>
      </c>
      <c r="O1234" s="5">
        <f>IFERROR(__xludf.DUMMYFUNCTION("""COMPUTED_VALUE"""),0.0)</f>
        <v>0</v>
      </c>
    </row>
    <row r="1235">
      <c r="A1235" s="1" t="s">
        <v>509</v>
      </c>
      <c r="B1235" s="4">
        <v>17.0</v>
      </c>
      <c r="C1235" s="1" t="s">
        <v>46</v>
      </c>
      <c r="D1235" s="4">
        <v>17.0</v>
      </c>
      <c r="E1235" s="4">
        <v>14.0</v>
      </c>
      <c r="F1235" s="4">
        <v>8.0</v>
      </c>
      <c r="G1235" s="4">
        <v>5.0</v>
      </c>
      <c r="H1235" s="4">
        <v>1.0</v>
      </c>
      <c r="I1235" s="4">
        <v>57.0</v>
      </c>
      <c r="J1235" s="4">
        <v>29.0</v>
      </c>
      <c r="K1235" s="4">
        <v>28.0</v>
      </c>
      <c r="L1235" s="2" t="s">
        <v>369</v>
      </c>
      <c r="M1235" s="5">
        <f>IFERROR(__xludf.DUMMYFUNCTION("""COMPUTED_VALUE"""),11.0)</f>
        <v>11</v>
      </c>
      <c r="N1235" s="5">
        <f>IFERROR(__xludf.DUMMYFUNCTION("""COMPUTED_VALUE"""),9.0)</f>
        <v>9</v>
      </c>
      <c r="O1235" s="5">
        <f>IFERROR(__xludf.DUMMYFUNCTION("""COMPUTED_VALUE"""),2001.0)</f>
        <v>2001</v>
      </c>
    </row>
    <row r="1236">
      <c r="A1236" s="1" t="s">
        <v>509</v>
      </c>
      <c r="B1236" s="4">
        <v>18.0</v>
      </c>
      <c r="C1236" s="1" t="s">
        <v>121</v>
      </c>
      <c r="D1236" s="4">
        <v>16.0</v>
      </c>
      <c r="E1236" s="4">
        <v>10.0</v>
      </c>
      <c r="F1236" s="4">
        <v>8.0</v>
      </c>
      <c r="G1236" s="4">
        <v>2.0</v>
      </c>
      <c r="H1236" s="4">
        <v>0.0</v>
      </c>
      <c r="I1236" s="4">
        <v>59.0</v>
      </c>
      <c r="J1236" s="4">
        <v>28.0</v>
      </c>
      <c r="K1236" s="4">
        <v>31.0</v>
      </c>
      <c r="L1236" s="2" t="s">
        <v>352</v>
      </c>
      <c r="M1236" s="5">
        <f>IFERROR(__xludf.DUMMYFUNCTION("""COMPUTED_VALUE"""),10.0)</f>
        <v>10</v>
      </c>
      <c r="N1236" s="5">
        <f>IFERROR(__xludf.DUMMYFUNCTION("""COMPUTED_VALUE"""),11.0)</f>
        <v>11</v>
      </c>
      <c r="O1236" s="5">
        <f>IFERROR(__xludf.DUMMYFUNCTION("""COMPUTED_VALUE"""),2000.0)</f>
        <v>2000</v>
      </c>
    </row>
    <row r="1237">
      <c r="A1237" s="1" t="s">
        <v>509</v>
      </c>
      <c r="B1237" s="4">
        <v>19.0</v>
      </c>
      <c r="C1237" s="1" t="s">
        <v>27</v>
      </c>
      <c r="D1237" s="4">
        <v>16.0</v>
      </c>
      <c r="E1237" s="4">
        <v>12.0</v>
      </c>
      <c r="F1237" s="4">
        <v>8.0</v>
      </c>
      <c r="G1237" s="4">
        <v>4.0</v>
      </c>
      <c r="H1237" s="4">
        <v>0.0</v>
      </c>
      <c r="I1237" s="4">
        <v>44.0</v>
      </c>
      <c r="J1237" s="4">
        <v>33.0</v>
      </c>
      <c r="K1237" s="4">
        <v>11.0</v>
      </c>
      <c r="L1237" s="2" t="s">
        <v>433</v>
      </c>
      <c r="M1237" s="5">
        <f>IFERROR(__xludf.DUMMYFUNCTION("""COMPUTED_VALUE"""),11.0)</f>
        <v>11</v>
      </c>
      <c r="N1237" s="5">
        <f>IFERROR(__xludf.DUMMYFUNCTION("""COMPUTED_VALUE"""),10.0)</f>
        <v>10</v>
      </c>
      <c r="O1237" s="5">
        <f>IFERROR(__xludf.DUMMYFUNCTION("""COMPUTED_VALUE"""),2001.0)</f>
        <v>2001</v>
      </c>
    </row>
    <row r="1238">
      <c r="A1238" s="1" t="s">
        <v>509</v>
      </c>
      <c r="B1238" s="4">
        <v>20.0</v>
      </c>
      <c r="C1238" s="1" t="s">
        <v>20</v>
      </c>
      <c r="D1238" s="4">
        <v>15.0</v>
      </c>
      <c r="E1238" s="4">
        <v>12.0</v>
      </c>
      <c r="F1238" s="4">
        <v>7.0</v>
      </c>
      <c r="G1238" s="4">
        <v>4.0</v>
      </c>
      <c r="H1238" s="4">
        <v>1.0</v>
      </c>
      <c r="I1238" s="4">
        <v>49.0</v>
      </c>
      <c r="J1238" s="4">
        <v>36.0</v>
      </c>
      <c r="K1238" s="4">
        <v>13.0</v>
      </c>
      <c r="L1238" s="2" t="s">
        <v>350</v>
      </c>
      <c r="M1238" s="5">
        <f>IFERROR(__xludf.DUMMYFUNCTION("""COMPUTED_VALUE"""),10.0)</f>
        <v>10</v>
      </c>
      <c r="N1238" s="5">
        <f>IFERROR(__xludf.DUMMYFUNCTION("""COMPUTED_VALUE"""),10.0)</f>
        <v>10</v>
      </c>
      <c r="O1238" s="5">
        <f>IFERROR(__xludf.DUMMYFUNCTION("""COMPUTED_VALUE"""),2001.0)</f>
        <v>2001</v>
      </c>
    </row>
    <row r="1239">
      <c r="A1239" s="1" t="s">
        <v>509</v>
      </c>
      <c r="B1239" s="4">
        <v>21.0</v>
      </c>
      <c r="C1239" s="1" t="s">
        <v>504</v>
      </c>
      <c r="D1239" s="4">
        <v>14.0</v>
      </c>
      <c r="E1239" s="4">
        <v>7.0</v>
      </c>
      <c r="F1239" s="4">
        <v>7.0</v>
      </c>
      <c r="G1239" s="4">
        <v>0.0</v>
      </c>
      <c r="H1239" s="4">
        <v>0.0</v>
      </c>
      <c r="I1239" s="4">
        <v>45.0</v>
      </c>
      <c r="J1239" s="4">
        <v>10.0</v>
      </c>
      <c r="K1239" s="4">
        <v>35.0</v>
      </c>
      <c r="L1239" s="2" t="s">
        <v>21</v>
      </c>
      <c r="M1239" s="5">
        <f>IFERROR(__xludf.DUMMYFUNCTION("""COMPUTED_VALUE"""),15.0)</f>
        <v>15</v>
      </c>
      <c r="N1239" s="5">
        <f>IFERROR(__xludf.DUMMYFUNCTION("""COMPUTED_VALUE"""),8.0)</f>
        <v>8</v>
      </c>
      <c r="O1239" s="5">
        <f>IFERROR(__xludf.DUMMYFUNCTION("""COMPUTED_VALUE"""),0.0)</f>
        <v>0</v>
      </c>
    </row>
    <row r="1240">
      <c r="A1240" s="1" t="s">
        <v>509</v>
      </c>
      <c r="B1240" s="4">
        <v>22.0</v>
      </c>
      <c r="C1240" s="1" t="s">
        <v>60</v>
      </c>
      <c r="D1240" s="4">
        <v>14.0</v>
      </c>
      <c r="E1240" s="4">
        <v>8.0</v>
      </c>
      <c r="F1240" s="4">
        <v>7.0</v>
      </c>
      <c r="G1240" s="4">
        <v>1.0</v>
      </c>
      <c r="H1240" s="4">
        <v>0.0</v>
      </c>
      <c r="I1240" s="4">
        <v>50.0</v>
      </c>
      <c r="J1240" s="4">
        <v>21.0</v>
      </c>
      <c r="K1240" s="4">
        <v>29.0</v>
      </c>
      <c r="L1240" s="2" t="s">
        <v>17</v>
      </c>
      <c r="M1240" s="5">
        <f>IFERROR(__xludf.DUMMYFUNCTION("""COMPUTED_VALUE"""),18.0)</f>
        <v>18</v>
      </c>
      <c r="N1240" s="5">
        <f>IFERROR(__xludf.DUMMYFUNCTION("""COMPUTED_VALUE"""),5.0)</f>
        <v>5</v>
      </c>
      <c r="O1240" s="5">
        <f>IFERROR(__xludf.DUMMYFUNCTION("""COMPUTED_VALUE"""),0.0)</f>
        <v>0</v>
      </c>
    </row>
    <row r="1241">
      <c r="A1241" s="1" t="s">
        <v>509</v>
      </c>
      <c r="B1241" s="4">
        <v>23.0</v>
      </c>
      <c r="C1241" s="1" t="s">
        <v>131</v>
      </c>
      <c r="D1241" s="4">
        <v>14.0</v>
      </c>
      <c r="E1241" s="4">
        <v>8.0</v>
      </c>
      <c r="F1241" s="4">
        <v>7.0</v>
      </c>
      <c r="G1241" s="4">
        <v>1.0</v>
      </c>
      <c r="H1241" s="4">
        <v>0.0</v>
      </c>
      <c r="I1241" s="4">
        <v>43.0</v>
      </c>
      <c r="J1241" s="4">
        <v>15.0</v>
      </c>
      <c r="K1241" s="4">
        <v>28.0</v>
      </c>
      <c r="L1241" s="2" t="s">
        <v>17</v>
      </c>
      <c r="M1241" s="5">
        <f>IFERROR(__xludf.DUMMYFUNCTION("""COMPUTED_VALUE"""),18.0)</f>
        <v>18</v>
      </c>
      <c r="N1241" s="5">
        <f>IFERROR(__xludf.DUMMYFUNCTION("""COMPUTED_VALUE"""),5.0)</f>
        <v>5</v>
      </c>
      <c r="O1241" s="5">
        <f>IFERROR(__xludf.DUMMYFUNCTION("""COMPUTED_VALUE"""),0.0)</f>
        <v>0</v>
      </c>
    </row>
    <row r="1242">
      <c r="A1242" s="1" t="s">
        <v>509</v>
      </c>
      <c r="B1242" s="4">
        <v>24.0</v>
      </c>
      <c r="C1242" s="1" t="s">
        <v>81</v>
      </c>
      <c r="D1242" s="4">
        <v>14.0</v>
      </c>
      <c r="E1242" s="4">
        <v>10.0</v>
      </c>
      <c r="F1242" s="4">
        <v>7.0</v>
      </c>
      <c r="G1242" s="4">
        <v>3.0</v>
      </c>
      <c r="H1242" s="4">
        <v>0.0</v>
      </c>
      <c r="I1242" s="4">
        <v>47.0</v>
      </c>
      <c r="J1242" s="4">
        <v>27.0</v>
      </c>
      <c r="K1242" s="4">
        <v>20.0</v>
      </c>
      <c r="L1242" s="2" t="s">
        <v>226</v>
      </c>
      <c r="M1242" s="5">
        <f>IFERROR(__xludf.DUMMYFUNCTION("""COMPUTED_VALUE"""),8.0)</f>
        <v>8</v>
      </c>
      <c r="N1242" s="5">
        <f>IFERROR(__xludf.DUMMYFUNCTION("""COMPUTED_VALUE"""),14.0)</f>
        <v>14</v>
      </c>
      <c r="O1242" s="5">
        <f>IFERROR(__xludf.DUMMYFUNCTION("""COMPUTED_VALUE"""),2002.0)</f>
        <v>2002</v>
      </c>
    </row>
    <row r="1243">
      <c r="A1243" s="1" t="s">
        <v>509</v>
      </c>
      <c r="B1243" s="4">
        <v>25.0</v>
      </c>
      <c r="C1243" s="1" t="s">
        <v>52</v>
      </c>
      <c r="D1243" s="4">
        <v>14.0</v>
      </c>
      <c r="E1243" s="4">
        <v>12.0</v>
      </c>
      <c r="F1243" s="4">
        <v>7.0</v>
      </c>
      <c r="G1243" s="4">
        <v>5.0</v>
      </c>
      <c r="H1243" s="4">
        <v>0.0</v>
      </c>
      <c r="I1243" s="4">
        <v>52.0</v>
      </c>
      <c r="J1243" s="4">
        <v>41.0</v>
      </c>
      <c r="K1243" s="4">
        <v>11.0</v>
      </c>
      <c r="L1243" s="2" t="s">
        <v>21</v>
      </c>
      <c r="M1243" s="5">
        <f>IFERROR(__xludf.DUMMYFUNCTION("""COMPUTED_VALUE"""),15.0)</f>
        <v>15</v>
      </c>
      <c r="N1243" s="5">
        <f>IFERROR(__xludf.DUMMYFUNCTION("""COMPUTED_VALUE"""),8.0)</f>
        <v>8</v>
      </c>
      <c r="O1243" s="5">
        <f>IFERROR(__xludf.DUMMYFUNCTION("""COMPUTED_VALUE"""),0.0)</f>
        <v>0</v>
      </c>
    </row>
    <row r="1244">
      <c r="A1244" s="1" t="s">
        <v>509</v>
      </c>
      <c r="B1244" s="4">
        <v>26.0</v>
      </c>
      <c r="C1244" s="1" t="s">
        <v>18</v>
      </c>
      <c r="D1244" s="4">
        <v>13.0</v>
      </c>
      <c r="E1244" s="4">
        <v>8.0</v>
      </c>
      <c r="F1244" s="4">
        <v>6.0</v>
      </c>
      <c r="G1244" s="4">
        <v>1.0</v>
      </c>
      <c r="H1244" s="4">
        <v>1.0</v>
      </c>
      <c r="I1244" s="4">
        <v>40.0</v>
      </c>
      <c r="J1244" s="4">
        <v>21.0</v>
      </c>
      <c r="K1244" s="4">
        <v>19.0</v>
      </c>
      <c r="L1244" s="2" t="s">
        <v>72</v>
      </c>
      <c r="M1244" s="5">
        <f>IFERROR(__xludf.DUMMYFUNCTION("""COMPUTED_VALUE"""),15.0)</f>
        <v>15</v>
      </c>
      <c r="N1244" s="5">
        <f>IFERROR(__xludf.DUMMYFUNCTION("""COMPUTED_VALUE"""),8.0)</f>
        <v>8</v>
      </c>
      <c r="O1244" s="5">
        <f>IFERROR(__xludf.DUMMYFUNCTION("""COMPUTED_VALUE"""),1.0)</f>
        <v>1</v>
      </c>
    </row>
    <row r="1245">
      <c r="A1245" s="1" t="s">
        <v>509</v>
      </c>
      <c r="B1245" s="4">
        <v>27.0</v>
      </c>
      <c r="C1245" s="1" t="s">
        <v>71</v>
      </c>
      <c r="D1245" s="4">
        <v>12.0</v>
      </c>
      <c r="E1245" s="4">
        <v>12.0</v>
      </c>
      <c r="F1245" s="4">
        <v>6.0</v>
      </c>
      <c r="G1245" s="4">
        <v>6.0</v>
      </c>
      <c r="H1245" s="4">
        <v>0.0</v>
      </c>
      <c r="I1245" s="4">
        <v>55.0</v>
      </c>
      <c r="J1245" s="4">
        <v>26.0</v>
      </c>
      <c r="K1245" s="4">
        <v>29.0</v>
      </c>
      <c r="L1245" s="2" t="s">
        <v>353</v>
      </c>
      <c r="M1245" s="5">
        <f>IFERROR(__xludf.DUMMYFUNCTION("""COMPUTED_VALUE"""),13.0)</f>
        <v>13</v>
      </c>
      <c r="N1245" s="5">
        <f>IFERROR(__xludf.DUMMYFUNCTION("""COMPUTED_VALUE"""),8.0)</f>
        <v>8</v>
      </c>
      <c r="O1245" s="5">
        <f>IFERROR(__xludf.DUMMYFUNCTION("""COMPUTED_VALUE"""),3.0)</f>
        <v>3</v>
      </c>
    </row>
    <row r="1246">
      <c r="A1246" s="1" t="s">
        <v>509</v>
      </c>
      <c r="B1246" s="4">
        <v>28.0</v>
      </c>
      <c r="C1246" s="1" t="s">
        <v>16</v>
      </c>
      <c r="D1246" s="4">
        <v>12.0</v>
      </c>
      <c r="E1246" s="4">
        <v>6.0</v>
      </c>
      <c r="F1246" s="4">
        <v>6.0</v>
      </c>
      <c r="G1246" s="4">
        <v>0.0</v>
      </c>
      <c r="H1246" s="4">
        <v>0.0</v>
      </c>
      <c r="I1246" s="4">
        <v>32.0</v>
      </c>
      <c r="J1246" s="4">
        <v>9.0</v>
      </c>
      <c r="K1246" s="4">
        <v>23.0</v>
      </c>
      <c r="L1246" s="2" t="s">
        <v>251</v>
      </c>
      <c r="M1246" s="5">
        <f>IFERROR(__xludf.DUMMYFUNCTION("""COMPUTED_VALUE"""),16.0)</f>
        <v>16</v>
      </c>
      <c r="N1246" s="5">
        <f>IFERROR(__xludf.DUMMYFUNCTION("""COMPUTED_VALUE"""),5.0)</f>
        <v>5</v>
      </c>
      <c r="O1246" s="5">
        <f>IFERROR(__xludf.DUMMYFUNCTION("""COMPUTED_VALUE"""),0.0)</f>
        <v>0</v>
      </c>
    </row>
    <row r="1247">
      <c r="A1247" s="1" t="s">
        <v>509</v>
      </c>
      <c r="B1247" s="4">
        <v>29.0</v>
      </c>
      <c r="C1247" s="1" t="s">
        <v>33</v>
      </c>
      <c r="D1247" s="4">
        <v>12.0</v>
      </c>
      <c r="E1247" s="4">
        <v>8.0</v>
      </c>
      <c r="F1247" s="4">
        <v>6.0</v>
      </c>
      <c r="G1247" s="4">
        <v>2.0</v>
      </c>
      <c r="H1247" s="4">
        <v>0.0</v>
      </c>
      <c r="I1247" s="4">
        <v>53.0</v>
      </c>
      <c r="J1247" s="4">
        <v>31.0</v>
      </c>
      <c r="K1247" s="4">
        <v>22.0</v>
      </c>
      <c r="L1247" s="2" t="s">
        <v>72</v>
      </c>
      <c r="M1247" s="5">
        <f>IFERROR(__xludf.DUMMYFUNCTION("""COMPUTED_VALUE"""),15.0)</f>
        <v>15</v>
      </c>
      <c r="N1247" s="5">
        <f>IFERROR(__xludf.DUMMYFUNCTION("""COMPUTED_VALUE"""),8.0)</f>
        <v>8</v>
      </c>
      <c r="O1247" s="5">
        <f>IFERROR(__xludf.DUMMYFUNCTION("""COMPUTED_VALUE"""),1.0)</f>
        <v>1</v>
      </c>
    </row>
    <row r="1248">
      <c r="A1248" s="1" t="s">
        <v>509</v>
      </c>
      <c r="B1248" s="4">
        <v>30.0</v>
      </c>
      <c r="C1248" s="1" t="s">
        <v>37</v>
      </c>
      <c r="D1248" s="4">
        <v>12.0</v>
      </c>
      <c r="E1248" s="4">
        <v>8.0</v>
      </c>
      <c r="F1248" s="4">
        <v>6.0</v>
      </c>
      <c r="G1248" s="4">
        <v>2.0</v>
      </c>
      <c r="H1248" s="4">
        <v>0.0</v>
      </c>
      <c r="I1248" s="4">
        <v>38.0</v>
      </c>
      <c r="J1248" s="4">
        <v>27.0</v>
      </c>
      <c r="K1248" s="4">
        <v>11.0</v>
      </c>
      <c r="L1248" s="2" t="s">
        <v>17</v>
      </c>
      <c r="M1248" s="5">
        <f>IFERROR(__xludf.DUMMYFUNCTION("""COMPUTED_VALUE"""),18.0)</f>
        <v>18</v>
      </c>
      <c r="N1248" s="5">
        <f>IFERROR(__xludf.DUMMYFUNCTION("""COMPUTED_VALUE"""),5.0)</f>
        <v>5</v>
      </c>
      <c r="O1248" s="5">
        <f>IFERROR(__xludf.DUMMYFUNCTION("""COMPUTED_VALUE"""),0.0)</f>
        <v>0</v>
      </c>
    </row>
    <row r="1249">
      <c r="A1249" s="1" t="s">
        <v>509</v>
      </c>
      <c r="B1249" s="4">
        <v>31.0</v>
      </c>
      <c r="C1249" s="1" t="s">
        <v>123</v>
      </c>
      <c r="D1249" s="4">
        <v>12.0</v>
      </c>
      <c r="E1249" s="4">
        <v>12.0</v>
      </c>
      <c r="F1249" s="4">
        <v>6.0</v>
      </c>
      <c r="G1249" s="4">
        <v>6.0</v>
      </c>
      <c r="H1249" s="4">
        <v>0.0</v>
      </c>
      <c r="I1249" s="4">
        <v>56.0</v>
      </c>
      <c r="J1249" s="4">
        <v>45.0</v>
      </c>
      <c r="K1249" s="4">
        <v>11.0</v>
      </c>
      <c r="L1249" s="2" t="s">
        <v>427</v>
      </c>
      <c r="M1249" s="5">
        <f>IFERROR(__xludf.DUMMYFUNCTION("""COMPUTED_VALUE"""),9.0)</f>
        <v>9</v>
      </c>
      <c r="N1249" s="5">
        <f>IFERROR(__xludf.DUMMYFUNCTION("""COMPUTED_VALUE"""),12.0)</f>
        <v>12</v>
      </c>
      <c r="O1249" s="5">
        <f>IFERROR(__xludf.DUMMYFUNCTION("""COMPUTED_VALUE"""),2000.0)</f>
        <v>2000</v>
      </c>
    </row>
    <row r="1250">
      <c r="A1250" s="1" t="s">
        <v>509</v>
      </c>
      <c r="B1250" s="4">
        <v>32.0</v>
      </c>
      <c r="C1250" s="1" t="s">
        <v>64</v>
      </c>
      <c r="D1250" s="4">
        <v>12.0</v>
      </c>
      <c r="E1250" s="4">
        <v>14.0</v>
      </c>
      <c r="F1250" s="4">
        <v>6.0</v>
      </c>
      <c r="G1250" s="4">
        <v>8.0</v>
      </c>
      <c r="H1250" s="4">
        <v>0.0</v>
      </c>
      <c r="I1250" s="4">
        <v>63.0</v>
      </c>
      <c r="J1250" s="4">
        <v>53.0</v>
      </c>
      <c r="K1250" s="4">
        <v>10.0</v>
      </c>
      <c r="L1250" s="2" t="s">
        <v>219</v>
      </c>
      <c r="M1250" s="5">
        <f>IFERROR(__xludf.DUMMYFUNCTION("""COMPUTED_VALUE"""),11.0)</f>
        <v>11</v>
      </c>
      <c r="N1250" s="5">
        <f>IFERROR(__xludf.DUMMYFUNCTION("""COMPUTED_VALUE"""),12.0)</f>
        <v>12</v>
      </c>
      <c r="O1250" s="5">
        <f>IFERROR(__xludf.DUMMYFUNCTION("""COMPUTED_VALUE"""),2000.0)</f>
        <v>2000</v>
      </c>
    </row>
    <row r="1251">
      <c r="A1251" s="1" t="s">
        <v>509</v>
      </c>
      <c r="B1251" s="4">
        <v>33.0</v>
      </c>
      <c r="C1251" s="1" t="s">
        <v>371</v>
      </c>
      <c r="D1251" s="4">
        <v>12.0</v>
      </c>
      <c r="E1251" s="4">
        <v>8.0</v>
      </c>
      <c r="F1251" s="4">
        <v>6.0</v>
      </c>
      <c r="G1251" s="4">
        <v>2.0</v>
      </c>
      <c r="H1251" s="4">
        <v>0.0</v>
      </c>
      <c r="I1251" s="4">
        <v>31.0</v>
      </c>
      <c r="J1251" s="4">
        <v>24.0</v>
      </c>
      <c r="K1251" s="4">
        <v>7.0</v>
      </c>
      <c r="L1251" s="2" t="s">
        <v>313</v>
      </c>
      <c r="M1251" s="5">
        <f>IFERROR(__xludf.DUMMYFUNCTION("""COMPUTED_VALUE"""),16.0)</f>
        <v>16</v>
      </c>
      <c r="N1251" s="5">
        <f>IFERROR(__xludf.DUMMYFUNCTION("""COMPUTED_VALUE"""),4.0)</f>
        <v>4</v>
      </c>
      <c r="O1251" s="5">
        <f>IFERROR(__xludf.DUMMYFUNCTION("""COMPUTED_VALUE"""),1.0)</f>
        <v>1</v>
      </c>
    </row>
    <row r="1252">
      <c r="A1252" s="1" t="s">
        <v>509</v>
      </c>
      <c r="B1252" s="4">
        <v>34.0</v>
      </c>
      <c r="C1252" s="1" t="s">
        <v>138</v>
      </c>
      <c r="D1252" s="4">
        <v>12.0</v>
      </c>
      <c r="E1252" s="4">
        <v>12.0</v>
      </c>
      <c r="F1252" s="4">
        <v>6.0</v>
      </c>
      <c r="G1252" s="4">
        <v>6.0</v>
      </c>
      <c r="H1252" s="4">
        <v>0.0</v>
      </c>
      <c r="I1252" s="4">
        <v>56.0</v>
      </c>
      <c r="J1252" s="4">
        <v>50.0</v>
      </c>
      <c r="K1252" s="4">
        <v>6.0</v>
      </c>
      <c r="L1252" s="2" t="s">
        <v>221</v>
      </c>
      <c r="M1252" s="5">
        <f>IFERROR(__xludf.DUMMYFUNCTION("""COMPUTED_VALUE"""),14.0)</f>
        <v>14</v>
      </c>
      <c r="N1252" s="5">
        <f>IFERROR(__xludf.DUMMYFUNCTION("""COMPUTED_VALUE"""),8.0)</f>
        <v>8</v>
      </c>
      <c r="O1252" s="5">
        <f>IFERROR(__xludf.DUMMYFUNCTION("""COMPUTED_VALUE"""),0.0)</f>
        <v>0</v>
      </c>
    </row>
    <row r="1253">
      <c r="A1253" s="1" t="s">
        <v>509</v>
      </c>
      <c r="B1253" s="4">
        <v>35.0</v>
      </c>
      <c r="C1253" s="1" t="s">
        <v>58</v>
      </c>
      <c r="D1253" s="4">
        <v>12.0</v>
      </c>
      <c r="E1253" s="4">
        <v>14.0</v>
      </c>
      <c r="F1253" s="4">
        <v>6.0</v>
      </c>
      <c r="G1253" s="4">
        <v>8.0</v>
      </c>
      <c r="H1253" s="4">
        <v>0.0</v>
      </c>
      <c r="I1253" s="4">
        <v>41.0</v>
      </c>
      <c r="J1253" s="4">
        <v>48.0</v>
      </c>
      <c r="K1253" s="4">
        <v>-7.0</v>
      </c>
      <c r="L1253" s="2" t="s">
        <v>124</v>
      </c>
      <c r="M1253" s="5">
        <f>IFERROR(__xludf.DUMMYFUNCTION("""COMPUTED_VALUE"""),7.0)</f>
        <v>7</v>
      </c>
      <c r="N1253" s="5">
        <f>IFERROR(__xludf.DUMMYFUNCTION("""COMPUTED_VALUE"""),14.0)</f>
        <v>14</v>
      </c>
      <c r="O1253" s="5">
        <f>IFERROR(__xludf.DUMMYFUNCTION("""COMPUTED_VALUE"""),2001.0)</f>
        <v>2001</v>
      </c>
    </row>
    <row r="1254">
      <c r="A1254" s="1" t="s">
        <v>509</v>
      </c>
      <c r="B1254" s="4">
        <v>36.0</v>
      </c>
      <c r="C1254" s="1" t="s">
        <v>92</v>
      </c>
      <c r="D1254" s="4">
        <v>11.0</v>
      </c>
      <c r="E1254" s="4">
        <v>10.0</v>
      </c>
      <c r="F1254" s="4">
        <v>5.0</v>
      </c>
      <c r="G1254" s="4">
        <v>4.0</v>
      </c>
      <c r="H1254" s="4">
        <v>1.0</v>
      </c>
      <c r="I1254" s="4">
        <v>38.0</v>
      </c>
      <c r="J1254" s="4">
        <v>41.0</v>
      </c>
      <c r="K1254" s="4">
        <v>-3.0</v>
      </c>
      <c r="L1254" s="2" t="s">
        <v>182</v>
      </c>
      <c r="M1254" s="5">
        <f>IFERROR(__xludf.DUMMYFUNCTION("""COMPUTED_VALUE"""),12.0)</f>
        <v>12</v>
      </c>
      <c r="N1254" s="5">
        <f>IFERROR(__xludf.DUMMYFUNCTION("""COMPUTED_VALUE"""),11.0)</f>
        <v>11</v>
      </c>
      <c r="O1254" s="5">
        <f>IFERROR(__xludf.DUMMYFUNCTION("""COMPUTED_VALUE"""),2001.0)</f>
        <v>2001</v>
      </c>
    </row>
    <row r="1255">
      <c r="A1255" s="1" t="s">
        <v>509</v>
      </c>
      <c r="B1255" s="4">
        <v>37.0</v>
      </c>
      <c r="C1255" s="1" t="s">
        <v>88</v>
      </c>
      <c r="D1255" s="4">
        <v>11.0</v>
      </c>
      <c r="E1255" s="4">
        <v>14.0</v>
      </c>
      <c r="F1255" s="4">
        <v>5.0</v>
      </c>
      <c r="G1255" s="4">
        <v>8.0</v>
      </c>
      <c r="H1255" s="4">
        <v>1.0</v>
      </c>
      <c r="I1255" s="4">
        <v>49.0</v>
      </c>
      <c r="J1255" s="4">
        <v>65.0</v>
      </c>
      <c r="K1255" s="4">
        <v>-16.0</v>
      </c>
      <c r="L1255" s="2" t="s">
        <v>200</v>
      </c>
      <c r="M1255" s="5">
        <f>IFERROR(__xludf.DUMMYFUNCTION("""COMPUTED_VALUE"""),6.0)</f>
        <v>6</v>
      </c>
      <c r="N1255" s="5">
        <f>IFERROR(__xludf.DUMMYFUNCTION("""COMPUTED_VALUE"""),16.0)</f>
        <v>16</v>
      </c>
      <c r="O1255" s="5">
        <f>IFERROR(__xludf.DUMMYFUNCTION("""COMPUTED_VALUE"""),2001.0)</f>
        <v>2001</v>
      </c>
    </row>
    <row r="1256">
      <c r="A1256" s="1" t="s">
        <v>509</v>
      </c>
      <c r="B1256" s="4">
        <v>38.0</v>
      </c>
      <c r="C1256" s="1" t="s">
        <v>96</v>
      </c>
      <c r="D1256" s="4">
        <v>10.0</v>
      </c>
      <c r="E1256" s="4">
        <v>7.0</v>
      </c>
      <c r="F1256" s="4">
        <v>5.0</v>
      </c>
      <c r="G1256" s="4">
        <v>2.0</v>
      </c>
      <c r="H1256" s="4">
        <v>0.0</v>
      </c>
      <c r="I1256" s="4">
        <v>39.0</v>
      </c>
      <c r="J1256" s="4">
        <v>20.0</v>
      </c>
      <c r="K1256" s="4">
        <v>19.0</v>
      </c>
      <c r="L1256" s="2" t="s">
        <v>97</v>
      </c>
      <c r="M1256" s="5">
        <f>IFERROR(__xludf.DUMMYFUNCTION("""COMPUTED_VALUE"""),10.0)</f>
        <v>10</v>
      </c>
      <c r="N1256" s="5">
        <f>IFERROR(__xludf.DUMMYFUNCTION("""COMPUTED_VALUE"""),13.0)</f>
        <v>13</v>
      </c>
      <c r="O1256" s="5">
        <f>IFERROR(__xludf.DUMMYFUNCTION("""COMPUTED_VALUE"""),2000.0)</f>
        <v>2000</v>
      </c>
    </row>
    <row r="1257">
      <c r="A1257" s="1" t="s">
        <v>509</v>
      </c>
      <c r="B1257" s="4">
        <v>39.0</v>
      </c>
      <c r="C1257" s="1" t="s">
        <v>36</v>
      </c>
      <c r="D1257" s="4">
        <v>10.0</v>
      </c>
      <c r="E1257" s="4">
        <v>7.0</v>
      </c>
      <c r="F1257" s="4">
        <v>5.0</v>
      </c>
      <c r="G1257" s="4">
        <v>2.0</v>
      </c>
      <c r="H1257" s="4">
        <v>0.0</v>
      </c>
      <c r="I1257" s="4">
        <v>29.0</v>
      </c>
      <c r="J1257" s="4">
        <v>14.0</v>
      </c>
      <c r="K1257" s="4">
        <v>15.0</v>
      </c>
      <c r="L1257" s="2" t="s">
        <v>179</v>
      </c>
      <c r="M1257" s="5">
        <f>IFERROR(__xludf.DUMMYFUNCTION("""COMPUTED_VALUE"""),10.0)</f>
        <v>10</v>
      </c>
      <c r="N1257" s="5">
        <f>IFERROR(__xludf.DUMMYFUNCTION("""COMPUTED_VALUE"""),13.0)</f>
        <v>13</v>
      </c>
      <c r="O1257" s="5">
        <f>IFERROR(__xludf.DUMMYFUNCTION("""COMPUTED_VALUE"""),2001.0)</f>
        <v>2001</v>
      </c>
    </row>
    <row r="1258">
      <c r="A1258" s="1" t="s">
        <v>509</v>
      </c>
      <c r="B1258" s="4">
        <v>40.0</v>
      </c>
      <c r="C1258" s="1" t="s">
        <v>496</v>
      </c>
      <c r="D1258" s="4">
        <v>10.0</v>
      </c>
      <c r="E1258" s="4">
        <v>8.0</v>
      </c>
      <c r="F1258" s="4">
        <v>5.0</v>
      </c>
      <c r="G1258" s="4">
        <v>3.0</v>
      </c>
      <c r="H1258" s="4">
        <v>0.0</v>
      </c>
      <c r="I1258" s="4">
        <v>37.0</v>
      </c>
      <c r="J1258" s="4">
        <v>23.0</v>
      </c>
      <c r="K1258" s="4">
        <v>14.0</v>
      </c>
      <c r="L1258" s="2" t="s">
        <v>183</v>
      </c>
      <c r="M1258" s="5">
        <f>IFERROR(__xludf.DUMMYFUNCTION("""COMPUTED_VALUE"""),14.0)</f>
        <v>14</v>
      </c>
      <c r="N1258" s="5">
        <f>IFERROR(__xludf.DUMMYFUNCTION("""COMPUTED_VALUE"""),8.0)</f>
        <v>8</v>
      </c>
      <c r="O1258" s="5">
        <f>IFERROR(__xludf.DUMMYFUNCTION("""COMPUTED_VALUE"""),1.0)</f>
        <v>1</v>
      </c>
    </row>
    <row r="1259">
      <c r="A1259" s="1" t="s">
        <v>509</v>
      </c>
      <c r="B1259" s="4">
        <v>41.0</v>
      </c>
      <c r="C1259" s="1" t="s">
        <v>128</v>
      </c>
      <c r="D1259" s="4">
        <v>10.0</v>
      </c>
      <c r="E1259" s="4">
        <v>14.0</v>
      </c>
      <c r="F1259" s="4">
        <v>5.0</v>
      </c>
      <c r="G1259" s="4">
        <v>9.0</v>
      </c>
      <c r="H1259" s="4">
        <v>0.0</v>
      </c>
      <c r="I1259" s="4">
        <v>46.0</v>
      </c>
      <c r="J1259" s="4">
        <v>61.0</v>
      </c>
      <c r="K1259" s="4">
        <v>-15.0</v>
      </c>
      <c r="L1259" s="2" t="s">
        <v>186</v>
      </c>
      <c r="M1259" s="5">
        <f>IFERROR(__xludf.DUMMYFUNCTION("""COMPUTED_VALUE"""),10.0)</f>
        <v>10</v>
      </c>
      <c r="N1259" s="5">
        <f>IFERROR(__xludf.DUMMYFUNCTION("""COMPUTED_VALUE"""),14.0)</f>
        <v>14</v>
      </c>
      <c r="O1259" s="5">
        <f>IFERROR(__xludf.DUMMYFUNCTION("""COMPUTED_VALUE"""),2000.0)</f>
        <v>2000</v>
      </c>
    </row>
    <row r="1260">
      <c r="A1260" s="1" t="s">
        <v>509</v>
      </c>
      <c r="B1260" s="4">
        <v>42.0</v>
      </c>
      <c r="C1260" s="1" t="s">
        <v>377</v>
      </c>
      <c r="D1260" s="4">
        <v>9.0</v>
      </c>
      <c r="E1260" s="4">
        <v>8.0</v>
      </c>
      <c r="F1260" s="4">
        <v>4.0</v>
      </c>
      <c r="G1260" s="4">
        <v>3.0</v>
      </c>
      <c r="H1260" s="4">
        <v>1.0</v>
      </c>
      <c r="I1260" s="4">
        <v>24.0</v>
      </c>
      <c r="J1260" s="4">
        <v>14.0</v>
      </c>
      <c r="K1260" s="4">
        <v>10.0</v>
      </c>
      <c r="L1260" s="2" t="s">
        <v>512</v>
      </c>
      <c r="M1260" s="5">
        <f>IFERROR(__xludf.DUMMYFUNCTION("""COMPUTED_VALUE"""),13.0)</f>
        <v>13</v>
      </c>
      <c r="N1260" s="5">
        <f>IFERROR(__xludf.DUMMYFUNCTION("""COMPUTED_VALUE"""),7.0)</f>
        <v>7</v>
      </c>
      <c r="O1260" s="5">
        <f>IFERROR(__xludf.DUMMYFUNCTION("""COMPUTED_VALUE"""),1.0)</f>
        <v>1</v>
      </c>
    </row>
    <row r="1261">
      <c r="A1261" s="1" t="s">
        <v>509</v>
      </c>
      <c r="B1261" s="4">
        <v>43.0</v>
      </c>
      <c r="C1261" s="1" t="s">
        <v>159</v>
      </c>
      <c r="D1261" s="4">
        <v>9.0</v>
      </c>
      <c r="E1261" s="4">
        <v>10.0</v>
      </c>
      <c r="F1261" s="4">
        <v>4.0</v>
      </c>
      <c r="G1261" s="4">
        <v>5.0</v>
      </c>
      <c r="H1261" s="4">
        <v>1.0</v>
      </c>
      <c r="I1261" s="4">
        <v>35.0</v>
      </c>
      <c r="J1261" s="4">
        <v>34.0</v>
      </c>
      <c r="K1261" s="4">
        <v>1.0</v>
      </c>
      <c r="L1261" s="2" t="s">
        <v>44</v>
      </c>
      <c r="M1261" s="5">
        <f>IFERROR(__xludf.DUMMYFUNCTION("""COMPUTED_VALUE"""),15.0)</f>
        <v>15</v>
      </c>
      <c r="N1261" s="5">
        <f>IFERROR(__xludf.DUMMYFUNCTION("""COMPUTED_VALUE"""),7.0)</f>
        <v>7</v>
      </c>
      <c r="O1261" s="5">
        <f>IFERROR(__xludf.DUMMYFUNCTION("""COMPUTED_VALUE"""),1.0)</f>
        <v>1</v>
      </c>
    </row>
    <row r="1262">
      <c r="A1262" s="1" t="s">
        <v>509</v>
      </c>
      <c r="B1262" s="4">
        <v>44.0</v>
      </c>
      <c r="C1262" s="1" t="s">
        <v>161</v>
      </c>
      <c r="D1262" s="4">
        <v>8.0</v>
      </c>
      <c r="E1262" s="4">
        <v>8.0</v>
      </c>
      <c r="F1262" s="4">
        <v>4.0</v>
      </c>
      <c r="G1262" s="4">
        <v>4.0</v>
      </c>
      <c r="H1262" s="4">
        <v>0.0</v>
      </c>
      <c r="I1262" s="4">
        <v>27.0</v>
      </c>
      <c r="J1262" s="4">
        <v>22.0</v>
      </c>
      <c r="K1262" s="4">
        <v>5.0</v>
      </c>
      <c r="L1262" s="2" t="s">
        <v>63</v>
      </c>
      <c r="M1262" s="5">
        <f>IFERROR(__xludf.DUMMYFUNCTION("""COMPUTED_VALUE"""),16.0)</f>
        <v>16</v>
      </c>
      <c r="N1262" s="5">
        <f>IFERROR(__xludf.DUMMYFUNCTION("""COMPUTED_VALUE"""),7.0)</f>
        <v>7</v>
      </c>
      <c r="O1262" s="5">
        <f>IFERROR(__xludf.DUMMYFUNCTION("""COMPUTED_VALUE"""),1.0)</f>
        <v>1</v>
      </c>
    </row>
    <row r="1263">
      <c r="A1263" s="1" t="s">
        <v>509</v>
      </c>
      <c r="B1263" s="4">
        <v>45.0</v>
      </c>
      <c r="C1263" s="1" t="s">
        <v>41</v>
      </c>
      <c r="D1263" s="4">
        <v>8.0</v>
      </c>
      <c r="E1263" s="4">
        <v>10.0</v>
      </c>
      <c r="F1263" s="4">
        <v>4.0</v>
      </c>
      <c r="G1263" s="4">
        <v>6.0</v>
      </c>
      <c r="H1263" s="4">
        <v>0.0</v>
      </c>
      <c r="I1263" s="4">
        <v>38.0</v>
      </c>
      <c r="J1263" s="4">
        <v>37.0</v>
      </c>
      <c r="K1263" s="4">
        <v>1.0</v>
      </c>
      <c r="L1263" s="2" t="s">
        <v>129</v>
      </c>
      <c r="M1263" s="5">
        <f>IFERROR(__xludf.DUMMYFUNCTION("""COMPUTED_VALUE"""),12.0)</f>
        <v>12</v>
      </c>
      <c r="N1263" s="5">
        <f>IFERROR(__xludf.DUMMYFUNCTION("""COMPUTED_VALUE"""),10.0)</f>
        <v>10</v>
      </c>
      <c r="O1263" s="5">
        <f>IFERROR(__xludf.DUMMYFUNCTION("""COMPUTED_VALUE"""),2000.0)</f>
        <v>2000</v>
      </c>
    </row>
    <row r="1264">
      <c r="A1264" s="1" t="s">
        <v>509</v>
      </c>
      <c r="B1264" s="4">
        <v>46.0</v>
      </c>
      <c r="C1264" s="1" t="s">
        <v>54</v>
      </c>
      <c r="D1264" s="4">
        <v>8.0</v>
      </c>
      <c r="E1264" s="4">
        <v>7.0</v>
      </c>
      <c r="F1264" s="4">
        <v>4.0</v>
      </c>
      <c r="G1264" s="4">
        <v>3.0</v>
      </c>
      <c r="H1264" s="4">
        <v>0.0</v>
      </c>
      <c r="I1264" s="4">
        <v>19.0</v>
      </c>
      <c r="J1264" s="4">
        <v>24.0</v>
      </c>
      <c r="K1264" s="4">
        <v>-5.0</v>
      </c>
      <c r="L1264" s="2" t="s">
        <v>231</v>
      </c>
      <c r="M1264" s="5">
        <f>IFERROR(__xludf.DUMMYFUNCTION("""COMPUTED_VALUE"""),8.0)</f>
        <v>8</v>
      </c>
      <c r="N1264" s="5">
        <f>IFERROR(__xludf.DUMMYFUNCTION("""COMPUTED_VALUE"""),14.0)</f>
        <v>14</v>
      </c>
      <c r="O1264" s="5">
        <f>IFERROR(__xludf.DUMMYFUNCTION("""COMPUTED_VALUE"""),2000.0)</f>
        <v>2000</v>
      </c>
    </row>
    <row r="1265">
      <c r="A1265" s="1" t="s">
        <v>509</v>
      </c>
      <c r="B1265" s="4">
        <v>47.0</v>
      </c>
      <c r="C1265" s="1" t="s">
        <v>105</v>
      </c>
      <c r="D1265" s="4">
        <v>8.0</v>
      </c>
      <c r="E1265" s="4">
        <v>12.0</v>
      </c>
      <c r="F1265" s="4">
        <v>4.0</v>
      </c>
      <c r="G1265" s="4">
        <v>8.0</v>
      </c>
      <c r="H1265" s="4">
        <v>0.0</v>
      </c>
      <c r="I1265" s="4">
        <v>25.0</v>
      </c>
      <c r="J1265" s="4">
        <v>67.0</v>
      </c>
      <c r="K1265" s="4">
        <v>-42.0</v>
      </c>
      <c r="L1265" s="2" t="s">
        <v>153</v>
      </c>
      <c r="M1265" s="5">
        <f>IFERROR(__xludf.DUMMYFUNCTION("""COMPUTED_VALUE"""),5.0)</f>
        <v>5</v>
      </c>
      <c r="N1265" s="5">
        <f>IFERROR(__xludf.DUMMYFUNCTION("""COMPUTED_VALUE"""),18.0)</f>
        <v>18</v>
      </c>
      <c r="O1265" s="5">
        <f>IFERROR(__xludf.DUMMYFUNCTION("""COMPUTED_VALUE"""),2000.0)</f>
        <v>2000</v>
      </c>
    </row>
    <row r="1266">
      <c r="A1266" s="1" t="s">
        <v>509</v>
      </c>
      <c r="B1266" s="4">
        <v>48.0</v>
      </c>
      <c r="C1266" s="1" t="s">
        <v>101</v>
      </c>
      <c r="D1266" s="4">
        <v>7.0</v>
      </c>
      <c r="E1266" s="4">
        <v>4.0</v>
      </c>
      <c r="F1266" s="4">
        <v>3.0</v>
      </c>
      <c r="G1266" s="4">
        <v>0.0</v>
      </c>
      <c r="H1266" s="4">
        <v>1.0</v>
      </c>
      <c r="I1266" s="4">
        <v>23.0</v>
      </c>
      <c r="J1266" s="4">
        <v>7.0</v>
      </c>
      <c r="K1266" s="4">
        <v>16.0</v>
      </c>
      <c r="L1266" s="2" t="s">
        <v>342</v>
      </c>
      <c r="M1266" s="5">
        <f>IFERROR(__xludf.DUMMYFUNCTION("""COMPUTED_VALUE"""),17.0)</f>
        <v>17</v>
      </c>
      <c r="N1266" s="5">
        <f>IFERROR(__xludf.DUMMYFUNCTION("""COMPUTED_VALUE"""),4.0)</f>
        <v>4</v>
      </c>
      <c r="O1266" s="5">
        <f>IFERROR(__xludf.DUMMYFUNCTION("""COMPUTED_VALUE"""),2.0)</f>
        <v>2</v>
      </c>
    </row>
    <row r="1267">
      <c r="A1267" s="1" t="s">
        <v>509</v>
      </c>
      <c r="B1267" s="4">
        <v>49.0</v>
      </c>
      <c r="C1267" s="1" t="s">
        <v>141</v>
      </c>
      <c r="D1267" s="4">
        <v>7.0</v>
      </c>
      <c r="E1267" s="4">
        <v>4.0</v>
      </c>
      <c r="F1267" s="4">
        <v>3.0</v>
      </c>
      <c r="G1267" s="4">
        <v>0.0</v>
      </c>
      <c r="H1267" s="4">
        <v>1.0</v>
      </c>
      <c r="I1267" s="4">
        <v>22.0</v>
      </c>
      <c r="J1267" s="4">
        <v>8.0</v>
      </c>
      <c r="K1267" s="4">
        <v>14.0</v>
      </c>
      <c r="L1267" s="2" t="s">
        <v>180</v>
      </c>
      <c r="M1267" s="5">
        <f>IFERROR(__xludf.DUMMYFUNCTION("""COMPUTED_VALUE"""),12.0)</f>
        <v>12</v>
      </c>
      <c r="N1267" s="5">
        <f>IFERROR(__xludf.DUMMYFUNCTION("""COMPUTED_VALUE"""),10.0)</f>
        <v>10</v>
      </c>
      <c r="O1267" s="5">
        <f>IFERROR(__xludf.DUMMYFUNCTION("""COMPUTED_VALUE"""),2002.0)</f>
        <v>2002</v>
      </c>
    </row>
    <row r="1268">
      <c r="A1268" s="1" t="s">
        <v>509</v>
      </c>
      <c r="B1268" s="4">
        <v>50.0</v>
      </c>
      <c r="C1268" s="1" t="s">
        <v>122</v>
      </c>
      <c r="D1268" s="4">
        <v>7.0</v>
      </c>
      <c r="E1268" s="4">
        <v>8.0</v>
      </c>
      <c r="F1268" s="4">
        <v>3.0</v>
      </c>
      <c r="G1268" s="4">
        <v>4.0</v>
      </c>
      <c r="H1268" s="4">
        <v>1.0</v>
      </c>
      <c r="I1268" s="4">
        <v>38.0</v>
      </c>
      <c r="J1268" s="4">
        <v>41.0</v>
      </c>
      <c r="K1268" s="4">
        <v>-3.0</v>
      </c>
      <c r="L1268" s="2" t="s">
        <v>433</v>
      </c>
      <c r="M1268" s="5">
        <f>IFERROR(__xludf.DUMMYFUNCTION("""COMPUTED_VALUE"""),11.0)</f>
        <v>11</v>
      </c>
      <c r="N1268" s="5">
        <f>IFERROR(__xludf.DUMMYFUNCTION("""COMPUTED_VALUE"""),10.0)</f>
        <v>10</v>
      </c>
      <c r="O1268" s="5">
        <f>IFERROR(__xludf.DUMMYFUNCTION("""COMPUTED_VALUE"""),2001.0)</f>
        <v>2001</v>
      </c>
    </row>
    <row r="1269">
      <c r="A1269" s="1" t="s">
        <v>509</v>
      </c>
      <c r="B1269" s="4">
        <v>51.0</v>
      </c>
      <c r="C1269" s="1" t="s">
        <v>50</v>
      </c>
      <c r="D1269" s="4">
        <v>7.0</v>
      </c>
      <c r="E1269" s="4">
        <v>8.0</v>
      </c>
      <c r="F1269" s="4">
        <v>3.0</v>
      </c>
      <c r="G1269" s="4">
        <v>4.0</v>
      </c>
      <c r="H1269" s="4">
        <v>1.0</v>
      </c>
      <c r="I1269" s="4">
        <v>24.0</v>
      </c>
      <c r="J1269" s="4">
        <v>27.0</v>
      </c>
      <c r="K1269" s="4">
        <v>-3.0</v>
      </c>
      <c r="L1269" s="2" t="s">
        <v>513</v>
      </c>
      <c r="M1269" s="5">
        <f>IFERROR(__xludf.DUMMYFUNCTION("""COMPUTED_VALUE"""),13.0)</f>
        <v>13</v>
      </c>
      <c r="N1269" s="5">
        <f>IFERROR(__xludf.DUMMYFUNCTION("""COMPUTED_VALUE"""),6.0)</f>
        <v>6</v>
      </c>
      <c r="O1269" s="5">
        <f>IFERROR(__xludf.DUMMYFUNCTION("""COMPUTED_VALUE"""),3.0)</f>
        <v>3</v>
      </c>
    </row>
    <row r="1270">
      <c r="A1270" s="1" t="s">
        <v>509</v>
      </c>
      <c r="B1270" s="4">
        <v>52.0</v>
      </c>
      <c r="C1270" s="1" t="s">
        <v>66</v>
      </c>
      <c r="D1270" s="4">
        <v>7.0</v>
      </c>
      <c r="E1270" s="4">
        <v>12.0</v>
      </c>
      <c r="F1270" s="4">
        <v>3.0</v>
      </c>
      <c r="G1270" s="4">
        <v>8.0</v>
      </c>
      <c r="H1270" s="4">
        <v>1.0</v>
      </c>
      <c r="I1270" s="4">
        <v>31.0</v>
      </c>
      <c r="J1270" s="4">
        <v>55.0</v>
      </c>
      <c r="K1270" s="4">
        <v>-24.0</v>
      </c>
      <c r="L1270" s="2" t="s">
        <v>331</v>
      </c>
      <c r="M1270" s="5">
        <f>IFERROR(__xludf.DUMMYFUNCTION("""COMPUTED_VALUE"""),8.0)</f>
        <v>8</v>
      </c>
      <c r="N1270" s="5">
        <f>IFERROR(__xludf.DUMMYFUNCTION("""COMPUTED_VALUE"""),13.0)</f>
        <v>13</v>
      </c>
      <c r="O1270" s="5">
        <f>IFERROR(__xludf.DUMMYFUNCTION("""COMPUTED_VALUE"""),2001.0)</f>
        <v>2001</v>
      </c>
    </row>
    <row r="1271">
      <c r="A1271" s="1" t="s">
        <v>509</v>
      </c>
      <c r="B1271" s="4">
        <v>53.0</v>
      </c>
      <c r="C1271" s="1" t="s">
        <v>86</v>
      </c>
      <c r="D1271" s="4">
        <v>7.0</v>
      </c>
      <c r="E1271" s="4">
        <v>14.0</v>
      </c>
      <c r="F1271" s="4">
        <v>3.0</v>
      </c>
      <c r="G1271" s="4">
        <v>10.0</v>
      </c>
      <c r="H1271" s="4">
        <v>1.0</v>
      </c>
      <c r="I1271" s="4">
        <v>29.0</v>
      </c>
      <c r="J1271" s="4">
        <v>73.0</v>
      </c>
      <c r="K1271" s="4">
        <v>-44.0</v>
      </c>
      <c r="L1271" s="2" t="s">
        <v>514</v>
      </c>
      <c r="M1271" s="5">
        <f>IFERROR(__xludf.DUMMYFUNCTION("""COMPUTED_VALUE"""),4.0)</f>
        <v>4</v>
      </c>
      <c r="N1271" s="5">
        <f>IFERROR(__xludf.DUMMYFUNCTION("""COMPUTED_VALUE"""),16.0)</f>
        <v>16</v>
      </c>
      <c r="O1271" s="5">
        <f>IFERROR(__xludf.DUMMYFUNCTION("""COMPUTED_VALUE"""),2003.0)</f>
        <v>2003</v>
      </c>
    </row>
    <row r="1272">
      <c r="A1272" s="1" t="s">
        <v>509</v>
      </c>
      <c r="B1272" s="4">
        <v>54.0</v>
      </c>
      <c r="C1272" s="1" t="s">
        <v>39</v>
      </c>
      <c r="D1272" s="4">
        <v>6.0</v>
      </c>
      <c r="E1272" s="4">
        <v>6.0</v>
      </c>
      <c r="F1272" s="4">
        <v>3.0</v>
      </c>
      <c r="G1272" s="4">
        <v>3.0</v>
      </c>
      <c r="H1272" s="4">
        <v>0.0</v>
      </c>
      <c r="I1272" s="4">
        <v>14.0</v>
      </c>
      <c r="J1272" s="4">
        <v>19.0</v>
      </c>
      <c r="K1272" s="4">
        <v>-5.0</v>
      </c>
      <c r="L1272" s="2" t="s">
        <v>218</v>
      </c>
      <c r="M1272" s="5">
        <f>IFERROR(__xludf.DUMMYFUNCTION("""COMPUTED_VALUE"""),12.0)</f>
        <v>12</v>
      </c>
      <c r="N1272" s="5">
        <f>IFERROR(__xludf.DUMMYFUNCTION("""COMPUTED_VALUE"""),11.0)</f>
        <v>11</v>
      </c>
      <c r="O1272" s="5">
        <f>IFERROR(__xludf.DUMMYFUNCTION("""COMPUTED_VALUE"""),2000.0)</f>
        <v>2000</v>
      </c>
    </row>
    <row r="1273">
      <c r="A1273" s="1" t="s">
        <v>509</v>
      </c>
      <c r="B1273" s="4">
        <v>55.0</v>
      </c>
      <c r="C1273" s="1" t="s">
        <v>103</v>
      </c>
      <c r="D1273" s="4">
        <v>6.0</v>
      </c>
      <c r="E1273" s="4">
        <v>9.0</v>
      </c>
      <c r="F1273" s="4">
        <v>3.0</v>
      </c>
      <c r="G1273" s="4">
        <v>6.0</v>
      </c>
      <c r="H1273" s="4">
        <v>0.0</v>
      </c>
      <c r="I1273" s="4">
        <v>21.0</v>
      </c>
      <c r="J1273" s="4">
        <v>38.0</v>
      </c>
      <c r="K1273" s="4">
        <v>-17.0</v>
      </c>
      <c r="L1273" s="2" t="s">
        <v>372</v>
      </c>
      <c r="M1273" s="5">
        <f>IFERROR(__xludf.DUMMYFUNCTION("""COMPUTED_VALUE"""),6.0)</f>
        <v>6</v>
      </c>
      <c r="N1273" s="5">
        <f>IFERROR(__xludf.DUMMYFUNCTION("""COMPUTED_VALUE"""),11.0)</f>
        <v>11</v>
      </c>
      <c r="O1273" s="5">
        <f>IFERROR(__xludf.DUMMYFUNCTION("""COMPUTED_VALUE"""),2001.0)</f>
        <v>2001</v>
      </c>
    </row>
    <row r="1274">
      <c r="A1274" s="1" t="s">
        <v>509</v>
      </c>
      <c r="B1274" s="4">
        <v>56.0</v>
      </c>
      <c r="C1274" s="1" t="s">
        <v>156</v>
      </c>
      <c r="D1274" s="4">
        <v>6.0</v>
      </c>
      <c r="E1274" s="4">
        <v>14.0</v>
      </c>
      <c r="F1274" s="4">
        <v>3.0</v>
      </c>
      <c r="G1274" s="4">
        <v>11.0</v>
      </c>
      <c r="H1274" s="4">
        <v>0.0</v>
      </c>
      <c r="I1274" s="4">
        <v>38.0</v>
      </c>
      <c r="J1274" s="4">
        <v>91.0</v>
      </c>
      <c r="K1274" s="4">
        <v>-53.0</v>
      </c>
      <c r="L1274" s="2" t="s">
        <v>515</v>
      </c>
      <c r="M1274" s="5">
        <f>IFERROR(__xludf.DUMMYFUNCTION("""COMPUTED_VALUE"""),3.0)</f>
        <v>3</v>
      </c>
      <c r="N1274" s="5">
        <f>IFERROR(__xludf.DUMMYFUNCTION("""COMPUTED_VALUE"""),15.0)</f>
        <v>15</v>
      </c>
      <c r="O1274" s="5">
        <f>IFERROR(__xludf.DUMMYFUNCTION("""COMPUTED_VALUE"""),2000.0)</f>
        <v>2000</v>
      </c>
    </row>
    <row r="1275">
      <c r="A1275" s="1" t="s">
        <v>509</v>
      </c>
      <c r="B1275" s="4">
        <v>57.0</v>
      </c>
      <c r="C1275" s="1" t="s">
        <v>130</v>
      </c>
      <c r="D1275" s="4">
        <v>5.0</v>
      </c>
      <c r="E1275" s="4">
        <v>8.0</v>
      </c>
      <c r="F1275" s="4">
        <v>2.0</v>
      </c>
      <c r="G1275" s="4">
        <v>5.0</v>
      </c>
      <c r="H1275" s="4">
        <v>1.0</v>
      </c>
      <c r="I1275" s="4">
        <v>15.0</v>
      </c>
      <c r="J1275" s="4">
        <v>25.0</v>
      </c>
      <c r="K1275" s="4">
        <v>-10.0</v>
      </c>
      <c r="L1275" s="2" t="s">
        <v>516</v>
      </c>
      <c r="M1275" s="5">
        <f>IFERROR(__xludf.DUMMYFUNCTION("""COMPUTED_VALUE"""),12.0)</f>
        <v>12</v>
      </c>
      <c r="N1275" s="5">
        <f>IFERROR(__xludf.DUMMYFUNCTION("""COMPUTED_VALUE"""),7.0)</f>
        <v>7</v>
      </c>
      <c r="O1275" s="5">
        <f>IFERROR(__xludf.DUMMYFUNCTION("""COMPUTED_VALUE"""),2002.0)</f>
        <v>2002</v>
      </c>
    </row>
    <row r="1276">
      <c r="A1276" s="1" t="s">
        <v>509</v>
      </c>
      <c r="B1276" s="4">
        <v>58.0</v>
      </c>
      <c r="C1276" s="1" t="s">
        <v>73</v>
      </c>
      <c r="D1276" s="4">
        <v>5.0</v>
      </c>
      <c r="E1276" s="4">
        <v>8.0</v>
      </c>
      <c r="F1276" s="4">
        <v>2.0</v>
      </c>
      <c r="G1276" s="4">
        <v>5.0</v>
      </c>
      <c r="H1276" s="4">
        <v>1.0</v>
      </c>
      <c r="I1276" s="4">
        <v>28.0</v>
      </c>
      <c r="J1276" s="4">
        <v>39.0</v>
      </c>
      <c r="K1276" s="4">
        <v>-11.0</v>
      </c>
      <c r="L1276" s="2" t="s">
        <v>182</v>
      </c>
      <c r="M1276" s="5">
        <f>IFERROR(__xludf.DUMMYFUNCTION("""COMPUTED_VALUE"""),12.0)</f>
        <v>12</v>
      </c>
      <c r="N1276" s="5">
        <f>IFERROR(__xludf.DUMMYFUNCTION("""COMPUTED_VALUE"""),11.0)</f>
        <v>11</v>
      </c>
      <c r="O1276" s="5">
        <f>IFERROR(__xludf.DUMMYFUNCTION("""COMPUTED_VALUE"""),2001.0)</f>
        <v>2001</v>
      </c>
    </row>
    <row r="1277">
      <c r="A1277" s="1" t="s">
        <v>509</v>
      </c>
      <c r="B1277" s="4">
        <v>59.0</v>
      </c>
      <c r="C1277" s="1" t="s">
        <v>233</v>
      </c>
      <c r="D1277" s="4">
        <v>5.0</v>
      </c>
      <c r="E1277" s="4">
        <v>14.0</v>
      </c>
      <c r="F1277" s="4">
        <v>2.0</v>
      </c>
      <c r="G1277" s="4">
        <v>11.0</v>
      </c>
      <c r="H1277" s="4">
        <v>1.0</v>
      </c>
      <c r="I1277" s="4">
        <v>42.0</v>
      </c>
      <c r="J1277" s="4">
        <v>81.0</v>
      </c>
      <c r="K1277" s="4">
        <v>-39.0</v>
      </c>
      <c r="L1277" s="2" t="s">
        <v>505</v>
      </c>
      <c r="M1277" s="5">
        <f>IFERROR(__xludf.DUMMYFUNCTION("""COMPUTED_VALUE"""),5.0)</f>
        <v>5</v>
      </c>
      <c r="N1277" s="5">
        <f>IFERROR(__xludf.DUMMYFUNCTION("""COMPUTED_VALUE"""),14.0)</f>
        <v>14</v>
      </c>
      <c r="O1277" s="5">
        <f>IFERROR(__xludf.DUMMYFUNCTION("""COMPUTED_VALUE"""),2002.0)</f>
        <v>2002</v>
      </c>
    </row>
    <row r="1278">
      <c r="A1278" s="1" t="s">
        <v>509</v>
      </c>
      <c r="B1278" s="4">
        <v>60.0</v>
      </c>
      <c r="C1278" s="1" t="s">
        <v>154</v>
      </c>
      <c r="D1278" s="4">
        <v>5.0</v>
      </c>
      <c r="E1278" s="4">
        <v>15.0</v>
      </c>
      <c r="F1278" s="4">
        <v>2.0</v>
      </c>
      <c r="G1278" s="4">
        <v>12.0</v>
      </c>
      <c r="H1278" s="4">
        <v>1.0</v>
      </c>
      <c r="I1278" s="4">
        <v>32.0</v>
      </c>
      <c r="J1278" s="4">
        <v>121.0</v>
      </c>
      <c r="K1278" s="4">
        <v>-89.0</v>
      </c>
      <c r="L1278" s="2" t="s">
        <v>517</v>
      </c>
      <c r="M1278" s="5">
        <f>IFERROR(__xludf.DUMMYFUNCTION("""COMPUTED_VALUE"""),2.0)</f>
        <v>2</v>
      </c>
      <c r="N1278" s="5">
        <f>IFERROR(__xludf.DUMMYFUNCTION("""COMPUTED_VALUE"""),17.0)</f>
        <v>17</v>
      </c>
      <c r="O1278" s="5">
        <f>IFERROR(__xludf.DUMMYFUNCTION("""COMPUTED_VALUE"""),2001.0)</f>
        <v>2001</v>
      </c>
    </row>
    <row r="1279">
      <c r="A1279" s="1" t="s">
        <v>509</v>
      </c>
      <c r="B1279" s="4">
        <v>61.0</v>
      </c>
      <c r="C1279" s="1" t="s">
        <v>518</v>
      </c>
      <c r="D1279" s="4">
        <v>4.0</v>
      </c>
      <c r="E1279" s="4">
        <v>2.0</v>
      </c>
      <c r="F1279" s="4">
        <v>2.0</v>
      </c>
      <c r="G1279" s="4">
        <v>0.0</v>
      </c>
      <c r="H1279" s="4">
        <v>0.0</v>
      </c>
      <c r="I1279" s="4">
        <v>11.0</v>
      </c>
      <c r="J1279" s="4">
        <v>2.0</v>
      </c>
      <c r="K1279" s="4">
        <v>9.0</v>
      </c>
      <c r="L1279" s="2" t="s">
        <v>42</v>
      </c>
      <c r="M1279" s="5">
        <f>IFERROR(__xludf.DUMMYFUNCTION("""COMPUTED_VALUE"""),19.0)</f>
        <v>19</v>
      </c>
      <c r="N1279" s="5">
        <f>IFERROR(__xludf.DUMMYFUNCTION("""COMPUTED_VALUE"""),4.0)</f>
        <v>4</v>
      </c>
      <c r="O1279" s="5">
        <f>IFERROR(__xludf.DUMMYFUNCTION("""COMPUTED_VALUE"""),1.0)</f>
        <v>1</v>
      </c>
    </row>
    <row r="1280">
      <c r="A1280" s="1" t="s">
        <v>509</v>
      </c>
      <c r="B1280" s="4">
        <v>62.0</v>
      </c>
      <c r="C1280" s="1" t="s">
        <v>416</v>
      </c>
      <c r="D1280" s="4">
        <v>4.0</v>
      </c>
      <c r="E1280" s="4">
        <v>2.0</v>
      </c>
      <c r="F1280" s="4">
        <v>2.0</v>
      </c>
      <c r="G1280" s="4">
        <v>0.0</v>
      </c>
      <c r="H1280" s="4">
        <v>0.0</v>
      </c>
      <c r="I1280" s="4">
        <v>11.0</v>
      </c>
      <c r="J1280" s="4">
        <v>3.0</v>
      </c>
      <c r="K1280" s="4">
        <v>8.0</v>
      </c>
      <c r="L1280" s="2" t="s">
        <v>470</v>
      </c>
      <c r="M1280" s="5">
        <f>IFERROR(__xludf.DUMMYFUNCTION("""COMPUTED_VALUE"""),10.0)</f>
        <v>10</v>
      </c>
      <c r="N1280" s="5">
        <f>IFERROR(__xludf.DUMMYFUNCTION("""COMPUTED_VALUE"""),9.0)</f>
        <v>9</v>
      </c>
      <c r="O1280" s="5">
        <f>IFERROR(__xludf.DUMMYFUNCTION("""COMPUTED_VALUE"""),2002.0)</f>
        <v>2002</v>
      </c>
    </row>
    <row r="1281">
      <c r="A1281" s="1" t="s">
        <v>509</v>
      </c>
      <c r="B1281" s="4">
        <v>63.0</v>
      </c>
      <c r="C1281" s="1" t="s">
        <v>98</v>
      </c>
      <c r="D1281" s="4">
        <v>4.0</v>
      </c>
      <c r="E1281" s="4">
        <v>2.0</v>
      </c>
      <c r="F1281" s="4">
        <v>2.0</v>
      </c>
      <c r="G1281" s="4">
        <v>0.0</v>
      </c>
      <c r="H1281" s="4">
        <v>0.0</v>
      </c>
      <c r="I1281" s="4">
        <v>7.0</v>
      </c>
      <c r="J1281" s="4">
        <v>4.0</v>
      </c>
      <c r="K1281" s="4">
        <v>3.0</v>
      </c>
      <c r="L1281" s="2" t="s">
        <v>519</v>
      </c>
      <c r="M1281" s="5">
        <f>IFERROR(__xludf.DUMMYFUNCTION("""COMPUTED_VALUE"""),22.0)</f>
        <v>22</v>
      </c>
      <c r="N1281" s="5">
        <f>IFERROR(__xludf.DUMMYFUNCTION("""COMPUTED_VALUE"""),1.0)</f>
        <v>1</v>
      </c>
      <c r="O1281" s="5">
        <f>IFERROR(__xludf.DUMMYFUNCTION("""COMPUTED_VALUE"""),0.0)</f>
        <v>0</v>
      </c>
    </row>
    <row r="1282">
      <c r="A1282" s="1" t="s">
        <v>509</v>
      </c>
      <c r="B1282" s="4">
        <v>64.0</v>
      </c>
      <c r="C1282" s="1" t="s">
        <v>481</v>
      </c>
      <c r="D1282" s="4">
        <v>4.0</v>
      </c>
      <c r="E1282" s="4">
        <v>4.0</v>
      </c>
      <c r="F1282" s="4">
        <v>2.0</v>
      </c>
      <c r="G1282" s="4">
        <v>2.0</v>
      </c>
      <c r="H1282" s="4">
        <v>0.0</v>
      </c>
      <c r="I1282" s="4">
        <v>17.0</v>
      </c>
      <c r="J1282" s="4">
        <v>18.0</v>
      </c>
      <c r="K1282" s="4">
        <v>-1.0</v>
      </c>
      <c r="L1282" s="2" t="s">
        <v>436</v>
      </c>
      <c r="M1282" s="5">
        <f>IFERROR(__xludf.DUMMYFUNCTION("""COMPUTED_VALUE"""),5.0)</f>
        <v>5</v>
      </c>
      <c r="N1282" s="5">
        <f>IFERROR(__xludf.DUMMYFUNCTION("""COMPUTED_VALUE"""),14.0)</f>
        <v>14</v>
      </c>
      <c r="O1282" s="5">
        <f>IFERROR(__xludf.DUMMYFUNCTION("""COMPUTED_VALUE"""),2000.0)</f>
        <v>2000</v>
      </c>
    </row>
    <row r="1283">
      <c r="A1283" s="1" t="s">
        <v>509</v>
      </c>
      <c r="B1283" s="4">
        <v>65.0</v>
      </c>
      <c r="C1283" s="1" t="s">
        <v>62</v>
      </c>
      <c r="D1283" s="4">
        <v>4.0</v>
      </c>
      <c r="E1283" s="4">
        <v>6.0</v>
      </c>
      <c r="F1283" s="4">
        <v>2.0</v>
      </c>
      <c r="G1283" s="4">
        <v>4.0</v>
      </c>
      <c r="H1283" s="4">
        <v>0.0</v>
      </c>
      <c r="I1283" s="4">
        <v>18.0</v>
      </c>
      <c r="J1283" s="4">
        <v>20.0</v>
      </c>
      <c r="K1283" s="4">
        <v>-2.0</v>
      </c>
      <c r="L1283" s="2" t="s">
        <v>176</v>
      </c>
      <c r="M1283" s="5">
        <f>IFERROR(__xludf.DUMMYFUNCTION("""COMPUTED_VALUE"""),11.0)</f>
        <v>11</v>
      </c>
      <c r="N1283" s="5">
        <f>IFERROR(__xludf.DUMMYFUNCTION("""COMPUTED_VALUE"""),11.0)</f>
        <v>11</v>
      </c>
      <c r="O1283" s="5">
        <f>IFERROR(__xludf.DUMMYFUNCTION("""COMPUTED_VALUE"""),2001.0)</f>
        <v>2001</v>
      </c>
    </row>
    <row r="1284">
      <c r="A1284" s="1" t="s">
        <v>509</v>
      </c>
      <c r="B1284" s="4">
        <v>66.0</v>
      </c>
      <c r="C1284" s="1" t="s">
        <v>158</v>
      </c>
      <c r="D1284" s="4">
        <v>3.0</v>
      </c>
      <c r="E1284" s="4">
        <v>12.0</v>
      </c>
      <c r="F1284" s="4">
        <v>1.0</v>
      </c>
      <c r="G1284" s="4">
        <v>10.0</v>
      </c>
      <c r="H1284" s="4">
        <v>1.0</v>
      </c>
      <c r="I1284" s="4">
        <v>20.0</v>
      </c>
      <c r="J1284" s="4">
        <v>54.0</v>
      </c>
      <c r="K1284" s="4">
        <v>-34.0</v>
      </c>
      <c r="L1284" s="2" t="s">
        <v>456</v>
      </c>
      <c r="M1284" s="5">
        <f>IFERROR(__xludf.DUMMYFUNCTION("""COMPUTED_VALUE"""),6.0)</f>
        <v>6</v>
      </c>
      <c r="N1284" s="5">
        <f>IFERROR(__xludf.DUMMYFUNCTION("""COMPUTED_VALUE"""),15.0)</f>
        <v>15</v>
      </c>
      <c r="O1284" s="5">
        <f>IFERROR(__xludf.DUMMYFUNCTION("""COMPUTED_VALUE"""),2001.0)</f>
        <v>2001</v>
      </c>
    </row>
    <row r="1285">
      <c r="A1285" s="1" t="s">
        <v>509</v>
      </c>
      <c r="B1285" s="4">
        <v>67.0</v>
      </c>
      <c r="C1285" s="1" t="s">
        <v>83</v>
      </c>
      <c r="D1285" s="4">
        <v>2.0</v>
      </c>
      <c r="E1285" s="4">
        <v>1.0</v>
      </c>
      <c r="F1285" s="4">
        <v>1.0</v>
      </c>
      <c r="G1285" s="4">
        <v>0.0</v>
      </c>
      <c r="H1285" s="4">
        <v>0.0</v>
      </c>
      <c r="I1285" s="4">
        <v>3.0</v>
      </c>
      <c r="J1285" s="4">
        <v>2.0</v>
      </c>
      <c r="K1285" s="4">
        <v>1.0</v>
      </c>
      <c r="L1285" s="2" t="s">
        <v>391</v>
      </c>
      <c r="M1285" s="5">
        <f>IFERROR(__xludf.DUMMYFUNCTION("""COMPUTED_VALUE"""),6.0)</f>
        <v>6</v>
      </c>
      <c r="N1285" s="5">
        <f>IFERROR(__xludf.DUMMYFUNCTION("""COMPUTED_VALUE"""),13.0)</f>
        <v>13</v>
      </c>
      <c r="O1285" s="5">
        <f>IFERROR(__xludf.DUMMYFUNCTION("""COMPUTED_VALUE"""),2002.0)</f>
        <v>2002</v>
      </c>
    </row>
    <row r="1286">
      <c r="A1286" s="1" t="s">
        <v>509</v>
      </c>
      <c r="B1286" s="4">
        <v>68.0</v>
      </c>
      <c r="C1286" s="1" t="s">
        <v>110</v>
      </c>
      <c r="D1286" s="4">
        <v>2.0</v>
      </c>
      <c r="E1286" s="4">
        <v>1.0</v>
      </c>
      <c r="F1286" s="4">
        <v>1.0</v>
      </c>
      <c r="G1286" s="4">
        <v>0.0</v>
      </c>
      <c r="H1286" s="4">
        <v>0.0</v>
      </c>
      <c r="I1286" s="4">
        <v>3.0</v>
      </c>
      <c r="J1286" s="4">
        <v>2.0</v>
      </c>
      <c r="K1286" s="4">
        <v>1.0</v>
      </c>
      <c r="L1286" s="2" t="s">
        <v>434</v>
      </c>
      <c r="M1286" s="5">
        <f>IFERROR(__xludf.DUMMYFUNCTION("""COMPUTED_VALUE"""),8.0)</f>
        <v>8</v>
      </c>
      <c r="N1286" s="5">
        <f>IFERROR(__xludf.DUMMYFUNCTION("""COMPUTED_VALUE"""),13.0)</f>
        <v>13</v>
      </c>
      <c r="O1286" s="5">
        <f>IFERROR(__xludf.DUMMYFUNCTION("""COMPUTED_VALUE"""),2000.0)</f>
        <v>2000</v>
      </c>
    </row>
    <row r="1287">
      <c r="A1287" s="1" t="s">
        <v>509</v>
      </c>
      <c r="B1287" s="4">
        <v>69.0</v>
      </c>
      <c r="C1287" s="1" t="s">
        <v>152</v>
      </c>
      <c r="D1287" s="4">
        <v>2.0</v>
      </c>
      <c r="E1287" s="4">
        <v>1.0</v>
      </c>
      <c r="F1287" s="4">
        <v>1.0</v>
      </c>
      <c r="G1287" s="4">
        <v>0.0</v>
      </c>
      <c r="H1287" s="4">
        <v>0.0</v>
      </c>
      <c r="I1287" s="4">
        <v>3.0</v>
      </c>
      <c r="J1287" s="4">
        <v>2.0</v>
      </c>
      <c r="K1287" s="4">
        <v>1.0</v>
      </c>
      <c r="L1287" s="2" t="s">
        <v>520</v>
      </c>
      <c r="M1287" s="5">
        <f>IFERROR(__xludf.DUMMYFUNCTION("""COMPUTED_VALUE"""),6.0)</f>
        <v>6</v>
      </c>
      <c r="N1287" s="5">
        <f>IFERROR(__xludf.DUMMYFUNCTION("""COMPUTED_VALUE"""),9.0)</f>
        <v>9</v>
      </c>
      <c r="O1287" s="5">
        <f>IFERROR(__xludf.DUMMYFUNCTION("""COMPUTED_VALUE"""),2001.0)</f>
        <v>2001</v>
      </c>
    </row>
    <row r="1288">
      <c r="A1288" s="1" t="s">
        <v>509</v>
      </c>
      <c r="B1288" s="4">
        <v>70.0</v>
      </c>
      <c r="C1288" s="1" t="s">
        <v>147</v>
      </c>
      <c r="D1288" s="4">
        <v>2.0</v>
      </c>
      <c r="E1288" s="4">
        <v>4.0</v>
      </c>
      <c r="F1288" s="4">
        <v>1.0</v>
      </c>
      <c r="G1288" s="4">
        <v>3.0</v>
      </c>
      <c r="H1288" s="4">
        <v>0.0</v>
      </c>
      <c r="I1288" s="4">
        <v>12.0</v>
      </c>
      <c r="J1288" s="4">
        <v>20.0</v>
      </c>
      <c r="K1288" s="4">
        <v>-8.0</v>
      </c>
      <c r="L1288" s="2" t="s">
        <v>80</v>
      </c>
      <c r="M1288" s="5">
        <f>IFERROR(__xludf.DUMMYFUNCTION("""COMPUTED_VALUE"""),12.0)</f>
        <v>12</v>
      </c>
      <c r="N1288" s="5">
        <f>IFERROR(__xludf.DUMMYFUNCTION("""COMPUTED_VALUE"""),12.0)</f>
        <v>12</v>
      </c>
      <c r="O1288" s="5">
        <f>IFERROR(__xludf.DUMMYFUNCTION("""COMPUTED_VALUE"""),2000.0)</f>
        <v>2000</v>
      </c>
    </row>
    <row r="1289">
      <c r="A1289" s="1" t="s">
        <v>509</v>
      </c>
      <c r="B1289" s="4">
        <v>71.0</v>
      </c>
      <c r="C1289" s="1" t="s">
        <v>421</v>
      </c>
      <c r="D1289" s="4">
        <v>2.0</v>
      </c>
      <c r="E1289" s="4">
        <v>3.0</v>
      </c>
      <c r="F1289" s="4">
        <v>1.0</v>
      </c>
      <c r="G1289" s="4">
        <v>2.0</v>
      </c>
      <c r="H1289" s="4">
        <v>0.0</v>
      </c>
      <c r="I1289" s="4">
        <v>6.0</v>
      </c>
      <c r="J1289" s="4">
        <v>15.0</v>
      </c>
      <c r="K1289" s="4">
        <v>-9.0</v>
      </c>
      <c r="L1289" s="2" t="s">
        <v>521</v>
      </c>
      <c r="M1289" s="5">
        <f>IFERROR(__xludf.DUMMYFUNCTION("""COMPUTED_VALUE"""),13.0)</f>
        <v>13</v>
      </c>
      <c r="N1289" s="5">
        <f>IFERROR(__xludf.DUMMYFUNCTION("""COMPUTED_VALUE"""),6.0)</f>
        <v>6</v>
      </c>
      <c r="O1289" s="5">
        <f>IFERROR(__xludf.DUMMYFUNCTION("""COMPUTED_VALUE"""),2.0)</f>
        <v>2</v>
      </c>
    </row>
    <row r="1290">
      <c r="A1290" s="1" t="s">
        <v>509</v>
      </c>
      <c r="B1290" s="4">
        <v>72.0</v>
      </c>
      <c r="C1290" s="1" t="s">
        <v>69</v>
      </c>
      <c r="D1290" s="4">
        <v>2.0</v>
      </c>
      <c r="E1290" s="4">
        <v>8.0</v>
      </c>
      <c r="F1290" s="4">
        <v>1.0</v>
      </c>
      <c r="G1290" s="4">
        <v>7.0</v>
      </c>
      <c r="H1290" s="4">
        <v>0.0</v>
      </c>
      <c r="I1290" s="4">
        <v>25.0</v>
      </c>
      <c r="J1290" s="4">
        <v>37.0</v>
      </c>
      <c r="K1290" s="4">
        <v>-12.0</v>
      </c>
      <c r="L1290" s="2" t="s">
        <v>419</v>
      </c>
      <c r="M1290" s="5">
        <f>IFERROR(__xludf.DUMMYFUNCTION("""COMPUTED_VALUE"""),4.0)</f>
        <v>4</v>
      </c>
      <c r="N1290" s="5">
        <f>IFERROR(__xludf.DUMMYFUNCTION("""COMPUTED_VALUE"""),15.0)</f>
        <v>15</v>
      </c>
      <c r="O1290" s="5">
        <f>IFERROR(__xludf.DUMMYFUNCTION("""COMPUTED_VALUE"""),2001.0)</f>
        <v>2001</v>
      </c>
    </row>
    <row r="1291">
      <c r="A1291" s="1" t="s">
        <v>509</v>
      </c>
      <c r="B1291" s="4">
        <v>73.0</v>
      </c>
      <c r="C1291" s="1" t="s">
        <v>68</v>
      </c>
      <c r="D1291" s="4">
        <v>2.0</v>
      </c>
      <c r="E1291" s="4">
        <v>6.0</v>
      </c>
      <c r="F1291" s="4">
        <v>1.0</v>
      </c>
      <c r="G1291" s="4">
        <v>5.0</v>
      </c>
      <c r="H1291" s="4">
        <v>0.0</v>
      </c>
      <c r="I1291" s="4">
        <v>13.0</v>
      </c>
      <c r="J1291" s="4">
        <v>29.0</v>
      </c>
      <c r="K1291" s="4">
        <v>-16.0</v>
      </c>
      <c r="L1291" s="2" t="s">
        <v>247</v>
      </c>
      <c r="M1291" s="5">
        <f>IFERROR(__xludf.DUMMYFUNCTION("""COMPUTED_VALUE"""),9.0)</f>
        <v>9</v>
      </c>
      <c r="N1291" s="5">
        <f>IFERROR(__xludf.DUMMYFUNCTION("""COMPUTED_VALUE"""),13.0)</f>
        <v>13</v>
      </c>
      <c r="O1291" s="5">
        <f>IFERROR(__xludf.DUMMYFUNCTION("""COMPUTED_VALUE"""),2001.0)</f>
        <v>2001</v>
      </c>
    </row>
    <row r="1292">
      <c r="A1292" s="1" t="s">
        <v>509</v>
      </c>
      <c r="B1292" s="4">
        <v>74.0</v>
      </c>
      <c r="C1292" s="1" t="s">
        <v>116</v>
      </c>
      <c r="D1292" s="4">
        <v>2.0</v>
      </c>
      <c r="E1292" s="4">
        <v>11.0</v>
      </c>
      <c r="F1292" s="4">
        <v>1.0</v>
      </c>
      <c r="G1292" s="4">
        <v>10.0</v>
      </c>
      <c r="H1292" s="4">
        <v>0.0</v>
      </c>
      <c r="I1292" s="4">
        <v>23.0</v>
      </c>
      <c r="J1292" s="4">
        <v>57.0</v>
      </c>
      <c r="K1292" s="4">
        <v>-34.0</v>
      </c>
      <c r="L1292" s="2" t="s">
        <v>414</v>
      </c>
      <c r="M1292" s="5">
        <f>IFERROR(__xludf.DUMMYFUNCTION("""COMPUTED_VALUE"""),2.0)</f>
        <v>2</v>
      </c>
      <c r="N1292" s="5">
        <f>IFERROR(__xludf.DUMMYFUNCTION("""COMPUTED_VALUE"""),20.0)</f>
        <v>20</v>
      </c>
      <c r="O1292" s="5">
        <f>IFERROR(__xludf.DUMMYFUNCTION("""COMPUTED_VALUE"""),2000.0)</f>
        <v>2000</v>
      </c>
    </row>
    <row r="1293">
      <c r="A1293" s="1" t="s">
        <v>509</v>
      </c>
      <c r="B1293" s="4">
        <v>75.0</v>
      </c>
      <c r="C1293" s="1" t="s">
        <v>119</v>
      </c>
      <c r="D1293" s="4">
        <v>2.0</v>
      </c>
      <c r="E1293" s="4">
        <v>8.0</v>
      </c>
      <c r="F1293" s="4">
        <v>1.0</v>
      </c>
      <c r="G1293" s="4">
        <v>7.0</v>
      </c>
      <c r="H1293" s="4">
        <v>0.0</v>
      </c>
      <c r="I1293" s="4">
        <v>26.0</v>
      </c>
      <c r="J1293" s="4">
        <v>63.0</v>
      </c>
      <c r="K1293" s="4">
        <v>-37.0</v>
      </c>
      <c r="L1293" s="2" t="s">
        <v>189</v>
      </c>
      <c r="M1293" s="5">
        <f>IFERROR(__xludf.DUMMYFUNCTION("""COMPUTED_VALUE"""),7.0)</f>
        <v>7</v>
      </c>
      <c r="N1293" s="5">
        <f>IFERROR(__xludf.DUMMYFUNCTION("""COMPUTED_VALUE"""),17.0)</f>
        <v>17</v>
      </c>
      <c r="O1293" s="5">
        <f>IFERROR(__xludf.DUMMYFUNCTION("""COMPUTED_VALUE"""),2000.0)</f>
        <v>2000</v>
      </c>
    </row>
    <row r="1294">
      <c r="A1294" s="1" t="s">
        <v>509</v>
      </c>
      <c r="B1294" s="4">
        <v>76.0</v>
      </c>
      <c r="C1294" s="1" t="s">
        <v>99</v>
      </c>
      <c r="D1294" s="4">
        <v>2.0</v>
      </c>
      <c r="E1294" s="4">
        <v>11.0</v>
      </c>
      <c r="F1294" s="4">
        <v>1.0</v>
      </c>
      <c r="G1294" s="4">
        <v>10.0</v>
      </c>
      <c r="H1294" s="4">
        <v>0.0</v>
      </c>
      <c r="I1294" s="4">
        <v>19.0</v>
      </c>
      <c r="J1294" s="4">
        <v>73.0</v>
      </c>
      <c r="K1294" s="4">
        <v>-54.0</v>
      </c>
      <c r="L1294" s="2" t="s">
        <v>414</v>
      </c>
      <c r="M1294" s="5">
        <f>IFERROR(__xludf.DUMMYFUNCTION("""COMPUTED_VALUE"""),2.0)</f>
        <v>2</v>
      </c>
      <c r="N1294" s="5">
        <f>IFERROR(__xludf.DUMMYFUNCTION("""COMPUTED_VALUE"""),20.0)</f>
        <v>20</v>
      </c>
      <c r="O1294" s="5">
        <f>IFERROR(__xludf.DUMMYFUNCTION("""COMPUTED_VALUE"""),2000.0)</f>
        <v>2000</v>
      </c>
    </row>
    <row r="1295">
      <c r="A1295" s="1" t="s">
        <v>509</v>
      </c>
      <c r="B1295" s="4">
        <v>77.0</v>
      </c>
      <c r="C1295" s="1" t="s">
        <v>94</v>
      </c>
      <c r="D1295" s="4">
        <v>2.0</v>
      </c>
      <c r="E1295" s="4">
        <v>14.0</v>
      </c>
      <c r="F1295" s="4">
        <v>1.0</v>
      </c>
      <c r="G1295" s="4">
        <v>13.0</v>
      </c>
      <c r="H1295" s="4">
        <v>0.0</v>
      </c>
      <c r="I1295" s="4">
        <v>20.0</v>
      </c>
      <c r="J1295" s="4">
        <v>85.0</v>
      </c>
      <c r="K1295" s="4">
        <v>-65.0</v>
      </c>
      <c r="L1295" s="2" t="s">
        <v>414</v>
      </c>
      <c r="M1295" s="5">
        <f>IFERROR(__xludf.DUMMYFUNCTION("""COMPUTED_VALUE"""),2.0)</f>
        <v>2</v>
      </c>
      <c r="N1295" s="5">
        <f>IFERROR(__xludf.DUMMYFUNCTION("""COMPUTED_VALUE"""),20.0)</f>
        <v>20</v>
      </c>
      <c r="O1295" s="5">
        <f>IFERROR(__xludf.DUMMYFUNCTION("""COMPUTED_VALUE"""),2000.0)</f>
        <v>2000</v>
      </c>
    </row>
    <row r="1296">
      <c r="A1296" s="1" t="s">
        <v>509</v>
      </c>
      <c r="B1296" s="4">
        <v>78.0</v>
      </c>
      <c r="C1296" s="1" t="s">
        <v>135</v>
      </c>
      <c r="D1296" s="4">
        <v>2.0</v>
      </c>
      <c r="E1296" s="4">
        <v>14.0</v>
      </c>
      <c r="F1296" s="4">
        <v>1.0</v>
      </c>
      <c r="G1296" s="4">
        <v>13.0</v>
      </c>
      <c r="H1296" s="4">
        <v>0.0</v>
      </c>
      <c r="I1296" s="4">
        <v>28.0</v>
      </c>
      <c r="J1296" s="4">
        <v>108.0</v>
      </c>
      <c r="K1296" s="4">
        <v>-80.0</v>
      </c>
      <c r="L1296" s="2" t="s">
        <v>201</v>
      </c>
      <c r="M1296" s="5">
        <f>IFERROR(__xludf.DUMMYFUNCTION("""COMPUTED_VALUE"""),2.0)</f>
        <v>2</v>
      </c>
      <c r="N1296" s="5">
        <f>IFERROR(__xludf.DUMMYFUNCTION("""COMPUTED_VALUE"""),18.0)</f>
        <v>18</v>
      </c>
      <c r="O1296" s="5">
        <f>IFERROR(__xludf.DUMMYFUNCTION("""COMPUTED_VALUE"""),2000.0)</f>
        <v>2000</v>
      </c>
    </row>
    <row r="1297">
      <c r="A1297" s="1" t="s">
        <v>509</v>
      </c>
      <c r="B1297" s="4">
        <v>79.0</v>
      </c>
      <c r="C1297" s="1" t="s">
        <v>140</v>
      </c>
      <c r="D1297" s="4">
        <v>1.0</v>
      </c>
      <c r="E1297" s="4">
        <v>12.0</v>
      </c>
      <c r="F1297" s="4">
        <v>0.0</v>
      </c>
      <c r="G1297" s="4">
        <v>11.0</v>
      </c>
      <c r="H1297" s="4">
        <v>1.0</v>
      </c>
      <c r="I1297" s="4">
        <v>11.0</v>
      </c>
      <c r="J1297" s="4">
        <v>85.0</v>
      </c>
      <c r="K1297" s="4">
        <v>-74.0</v>
      </c>
      <c r="L1297" s="2" t="s">
        <v>361</v>
      </c>
      <c r="M1297" s="5">
        <f>IFERROR(__xludf.DUMMYFUNCTION("""COMPUTED_VALUE"""),1.0)</f>
        <v>1</v>
      </c>
      <c r="N1297" s="5">
        <f>IFERROR(__xludf.DUMMYFUNCTION("""COMPUTED_VALUE"""),18.0)</f>
        <v>18</v>
      </c>
      <c r="O1297" s="5">
        <f>IFERROR(__xludf.DUMMYFUNCTION("""COMPUTED_VALUE"""),2001.0)</f>
        <v>2001</v>
      </c>
    </row>
    <row r="1298">
      <c r="A1298" s="1" t="s">
        <v>509</v>
      </c>
      <c r="B1298" s="4">
        <v>80.0</v>
      </c>
      <c r="C1298" s="1" t="s">
        <v>108</v>
      </c>
      <c r="D1298" s="4">
        <v>0.0</v>
      </c>
      <c r="E1298" s="4">
        <v>0.0</v>
      </c>
      <c r="F1298" s="4">
        <v>0.0</v>
      </c>
      <c r="G1298" s="4">
        <v>0.0</v>
      </c>
      <c r="H1298" s="4">
        <v>0.0</v>
      </c>
      <c r="I1298" s="4">
        <v>0.0</v>
      </c>
      <c r="J1298" s="4">
        <v>0.0</v>
      </c>
      <c r="K1298" s="4">
        <v>0.0</v>
      </c>
      <c r="L1298" s="2" t="s">
        <v>522</v>
      </c>
      <c r="M1298" s="5">
        <f>IFERROR(__xludf.DUMMYFUNCTION("""COMPUTED_VALUE"""),7.0)</f>
        <v>7</v>
      </c>
      <c r="N1298" s="5">
        <f>IFERROR(__xludf.DUMMYFUNCTION("""COMPUTED_VALUE"""),12.0)</f>
        <v>12</v>
      </c>
      <c r="O1298" s="5">
        <f>IFERROR(__xludf.DUMMYFUNCTION("""COMPUTED_VALUE"""),2003.0)</f>
        <v>2003</v>
      </c>
    </row>
    <row r="1299">
      <c r="A1299" s="1" t="s">
        <v>509</v>
      </c>
      <c r="B1299" s="4">
        <v>81.0</v>
      </c>
      <c r="C1299" s="1" t="s">
        <v>142</v>
      </c>
      <c r="D1299" s="4">
        <v>0.0</v>
      </c>
      <c r="E1299" s="4">
        <v>0.0</v>
      </c>
      <c r="F1299" s="4">
        <v>0.0</v>
      </c>
      <c r="G1299" s="4">
        <v>0.0</v>
      </c>
      <c r="H1299" s="4">
        <v>0.0</v>
      </c>
      <c r="I1299" s="4">
        <v>0.0</v>
      </c>
      <c r="J1299" s="4">
        <v>0.0</v>
      </c>
      <c r="K1299" s="4">
        <v>0.0</v>
      </c>
      <c r="L1299" s="2" t="s">
        <v>523</v>
      </c>
      <c r="M1299" s="5">
        <f>IFERROR(__xludf.DUMMYFUNCTION("""COMPUTED_VALUE"""),7.0)</f>
        <v>7</v>
      </c>
      <c r="N1299" s="5">
        <f>IFERROR(__xludf.DUMMYFUNCTION("""COMPUTED_VALUE"""),6.0)</f>
        <v>6</v>
      </c>
      <c r="O1299" s="5">
        <f>IFERROR(__xludf.DUMMYFUNCTION("""COMPUTED_VALUE"""),2000.0)</f>
        <v>2000</v>
      </c>
    </row>
    <row r="1300">
      <c r="A1300" s="1" t="s">
        <v>509</v>
      </c>
      <c r="B1300" s="4">
        <v>82.0</v>
      </c>
      <c r="C1300" s="1" t="s">
        <v>150</v>
      </c>
      <c r="D1300" s="4">
        <v>0.0</v>
      </c>
      <c r="E1300" s="4">
        <v>2.0</v>
      </c>
      <c r="F1300" s="4">
        <v>0.0</v>
      </c>
      <c r="G1300" s="4">
        <v>2.0</v>
      </c>
      <c r="H1300" s="4">
        <v>0.0</v>
      </c>
      <c r="I1300" s="4">
        <v>4.0</v>
      </c>
      <c r="J1300" s="4">
        <v>6.0</v>
      </c>
      <c r="K1300" s="4">
        <v>-2.0</v>
      </c>
      <c r="L1300" s="2" t="s">
        <v>44</v>
      </c>
      <c r="M1300" s="5">
        <f>IFERROR(__xludf.DUMMYFUNCTION("""COMPUTED_VALUE"""),15.0)</f>
        <v>15</v>
      </c>
      <c r="N1300" s="5">
        <f>IFERROR(__xludf.DUMMYFUNCTION("""COMPUTED_VALUE"""),7.0)</f>
        <v>7</v>
      </c>
      <c r="O1300" s="5">
        <f>IFERROR(__xludf.DUMMYFUNCTION("""COMPUTED_VALUE"""),1.0)</f>
        <v>1</v>
      </c>
    </row>
    <row r="1301">
      <c r="A1301" s="1" t="s">
        <v>509</v>
      </c>
      <c r="B1301" s="4">
        <v>83.0</v>
      </c>
      <c r="C1301" s="1" t="s">
        <v>85</v>
      </c>
      <c r="D1301" s="4">
        <v>0.0</v>
      </c>
      <c r="E1301" s="4">
        <v>2.0</v>
      </c>
      <c r="F1301" s="4">
        <v>0.0</v>
      </c>
      <c r="G1301" s="4">
        <v>2.0</v>
      </c>
      <c r="H1301" s="4">
        <v>0.0</v>
      </c>
      <c r="I1301" s="4">
        <v>4.0</v>
      </c>
      <c r="J1301" s="4">
        <v>7.0</v>
      </c>
      <c r="K1301" s="4">
        <v>-3.0</v>
      </c>
      <c r="L1301" s="2" t="s">
        <v>336</v>
      </c>
      <c r="M1301" s="5">
        <f>IFERROR(__xludf.DUMMYFUNCTION("""COMPUTED_VALUE"""),5.0)</f>
        <v>5</v>
      </c>
      <c r="N1301" s="5">
        <f>IFERROR(__xludf.DUMMYFUNCTION("""COMPUTED_VALUE"""),17.0)</f>
        <v>17</v>
      </c>
      <c r="O1301" s="5">
        <f>IFERROR(__xludf.DUMMYFUNCTION("""COMPUTED_VALUE"""),2001.0)</f>
        <v>2001</v>
      </c>
    </row>
    <row r="1302">
      <c r="A1302" s="1" t="s">
        <v>509</v>
      </c>
      <c r="B1302" s="4">
        <v>84.0</v>
      </c>
      <c r="C1302" s="1" t="s">
        <v>149</v>
      </c>
      <c r="D1302" s="4">
        <v>0.0</v>
      </c>
      <c r="E1302" s="4">
        <v>2.0</v>
      </c>
      <c r="F1302" s="4">
        <v>0.0</v>
      </c>
      <c r="G1302" s="4">
        <v>2.0</v>
      </c>
      <c r="H1302" s="4">
        <v>0.0</v>
      </c>
      <c r="I1302" s="4">
        <v>4.0</v>
      </c>
      <c r="J1302" s="4">
        <v>7.0</v>
      </c>
      <c r="K1302" s="4">
        <v>-3.0</v>
      </c>
      <c r="L1302" s="2" t="s">
        <v>353</v>
      </c>
      <c r="M1302" s="5">
        <f>IFERROR(__xludf.DUMMYFUNCTION("""COMPUTED_VALUE"""),13.0)</f>
        <v>13</v>
      </c>
      <c r="N1302" s="5">
        <f>IFERROR(__xludf.DUMMYFUNCTION("""COMPUTED_VALUE"""),8.0)</f>
        <v>8</v>
      </c>
      <c r="O1302" s="5">
        <f>IFERROR(__xludf.DUMMYFUNCTION("""COMPUTED_VALUE"""),3.0)</f>
        <v>3</v>
      </c>
    </row>
    <row r="1303">
      <c r="A1303" s="1" t="s">
        <v>509</v>
      </c>
      <c r="B1303" s="4">
        <v>85.0</v>
      </c>
      <c r="C1303" s="1" t="s">
        <v>524</v>
      </c>
      <c r="D1303" s="4">
        <v>0.0</v>
      </c>
      <c r="E1303" s="4">
        <v>1.0</v>
      </c>
      <c r="F1303" s="4">
        <v>0.0</v>
      </c>
      <c r="G1303" s="4">
        <v>1.0</v>
      </c>
      <c r="H1303" s="4">
        <v>0.0</v>
      </c>
      <c r="I1303" s="4">
        <v>3.0</v>
      </c>
      <c r="J1303" s="4">
        <v>7.0</v>
      </c>
      <c r="K1303" s="4">
        <v>-4.0</v>
      </c>
      <c r="L1303" s="2" t="s">
        <v>299</v>
      </c>
      <c r="M1303" s="5">
        <f>IFERROR(__xludf.DUMMYFUNCTION("""COMPUTED_VALUE"""),1.0)</f>
        <v>1</v>
      </c>
      <c r="N1303" s="5">
        <f>IFERROR(__xludf.DUMMYFUNCTION("""COMPUTED_VALUE"""),6.0)</f>
        <v>6</v>
      </c>
      <c r="O1303" s="5">
        <f>IFERROR(__xludf.DUMMYFUNCTION("""COMPUTED_VALUE"""),2000.0)</f>
        <v>2000</v>
      </c>
    </row>
    <row r="1304">
      <c r="A1304" s="1" t="s">
        <v>509</v>
      </c>
      <c r="B1304" s="4">
        <v>86.0</v>
      </c>
      <c r="C1304" s="1" t="s">
        <v>126</v>
      </c>
      <c r="D1304" s="4">
        <v>0.0</v>
      </c>
      <c r="E1304" s="4">
        <v>1.0</v>
      </c>
      <c r="F1304" s="4">
        <v>0.0</v>
      </c>
      <c r="G1304" s="4">
        <v>1.0</v>
      </c>
      <c r="H1304" s="4">
        <v>0.0</v>
      </c>
      <c r="I1304" s="4">
        <v>1.0</v>
      </c>
      <c r="J1304" s="4">
        <v>8.0</v>
      </c>
      <c r="K1304" s="4">
        <v>-7.0</v>
      </c>
      <c r="L1304" s="2" t="s">
        <v>525</v>
      </c>
      <c r="M1304" s="5">
        <f>IFERROR(__xludf.DUMMYFUNCTION("""COMPUTED_VALUE"""),0.0)</f>
        <v>0</v>
      </c>
      <c r="N1304" s="5">
        <f>IFERROR(__xludf.DUMMYFUNCTION("""COMPUTED_VALUE"""),18.0)</f>
        <v>18</v>
      </c>
      <c r="O1304" s="5">
        <f>IFERROR(__xludf.DUMMYFUNCTION("""COMPUTED_VALUE"""),3.0)</f>
        <v>3</v>
      </c>
    </row>
    <row r="1305">
      <c r="A1305" s="1" t="s">
        <v>509</v>
      </c>
      <c r="B1305" s="4">
        <v>87.0</v>
      </c>
      <c r="C1305" s="1" t="s">
        <v>56</v>
      </c>
      <c r="D1305" s="4">
        <v>0.0</v>
      </c>
      <c r="E1305" s="4">
        <v>3.0</v>
      </c>
      <c r="F1305" s="4">
        <v>0.0</v>
      </c>
      <c r="G1305" s="4">
        <v>3.0</v>
      </c>
      <c r="H1305" s="4">
        <v>0.0</v>
      </c>
      <c r="I1305" s="4">
        <v>6.0</v>
      </c>
      <c r="J1305" s="4">
        <v>19.0</v>
      </c>
      <c r="K1305" s="4">
        <v>-13.0</v>
      </c>
      <c r="L1305" s="2" t="s">
        <v>436</v>
      </c>
      <c r="M1305" s="5">
        <f>IFERROR(__xludf.DUMMYFUNCTION("""COMPUTED_VALUE"""),5.0)</f>
        <v>5</v>
      </c>
      <c r="N1305" s="5">
        <f>IFERROR(__xludf.DUMMYFUNCTION("""COMPUTED_VALUE"""),14.0)</f>
        <v>14</v>
      </c>
      <c r="O1305" s="5">
        <f>IFERROR(__xludf.DUMMYFUNCTION("""COMPUTED_VALUE"""),2000.0)</f>
        <v>2000</v>
      </c>
    </row>
    <row r="1306">
      <c r="A1306" s="1" t="s">
        <v>509</v>
      </c>
      <c r="B1306" s="4">
        <v>88.0</v>
      </c>
      <c r="C1306" s="1" t="s">
        <v>34</v>
      </c>
      <c r="D1306" s="4">
        <v>0.0</v>
      </c>
      <c r="E1306" s="4">
        <v>8.0</v>
      </c>
      <c r="F1306" s="4">
        <v>0.0</v>
      </c>
      <c r="G1306" s="4">
        <v>8.0</v>
      </c>
      <c r="H1306" s="4">
        <v>0.0</v>
      </c>
      <c r="I1306" s="4">
        <v>8.0</v>
      </c>
      <c r="J1306" s="4">
        <v>40.0</v>
      </c>
      <c r="K1306" s="4">
        <v>-32.0</v>
      </c>
      <c r="L1306" s="2" t="s">
        <v>229</v>
      </c>
      <c r="M1306" s="5">
        <f>IFERROR(__xludf.DUMMYFUNCTION("""COMPUTED_VALUE"""),6.0)</f>
        <v>6</v>
      </c>
      <c r="N1306" s="5">
        <f>IFERROR(__xludf.DUMMYFUNCTION("""COMPUTED_VALUE"""),17.0)</f>
        <v>17</v>
      </c>
      <c r="O1306" s="5">
        <f>IFERROR(__xludf.DUMMYFUNCTION("""COMPUTED_VALUE"""),2000.0)</f>
        <v>2000</v>
      </c>
    </row>
    <row r="1307">
      <c r="A1307" s="1" t="s">
        <v>509</v>
      </c>
      <c r="B1307" s="4">
        <v>89.0</v>
      </c>
      <c r="C1307" s="1" t="s">
        <v>368</v>
      </c>
      <c r="D1307" s="4">
        <v>0.0</v>
      </c>
      <c r="E1307" s="4">
        <v>8.0</v>
      </c>
      <c r="F1307" s="4">
        <v>0.0</v>
      </c>
      <c r="G1307" s="4">
        <v>8.0</v>
      </c>
      <c r="H1307" s="4">
        <v>0.0</v>
      </c>
      <c r="I1307" s="4">
        <v>7.0</v>
      </c>
      <c r="J1307" s="4">
        <v>42.0</v>
      </c>
      <c r="K1307" s="4">
        <v>-35.0</v>
      </c>
      <c r="L1307" s="2" t="s">
        <v>503</v>
      </c>
      <c r="M1307" s="5">
        <f>IFERROR(__xludf.DUMMYFUNCTION("""COMPUTED_VALUE"""),3.0)</f>
        <v>3</v>
      </c>
      <c r="N1307" s="5">
        <f>IFERROR(__xludf.DUMMYFUNCTION("""COMPUTED_VALUE"""),17.0)</f>
        <v>17</v>
      </c>
      <c r="O1307" s="5">
        <f>IFERROR(__xludf.DUMMYFUNCTION("""COMPUTED_VALUE"""),2002.0)</f>
        <v>2002</v>
      </c>
    </row>
    <row r="1308">
      <c r="A1308" s="1" t="s">
        <v>509</v>
      </c>
      <c r="B1308" s="4">
        <v>90.0</v>
      </c>
      <c r="C1308" s="1" t="s">
        <v>526</v>
      </c>
      <c r="D1308" s="4">
        <v>0.0</v>
      </c>
      <c r="E1308" s="4">
        <v>7.0</v>
      </c>
      <c r="F1308" s="4">
        <v>0.0</v>
      </c>
      <c r="G1308" s="4">
        <v>7.0</v>
      </c>
      <c r="H1308" s="4">
        <v>0.0</v>
      </c>
      <c r="I1308" s="4">
        <v>12.0</v>
      </c>
      <c r="J1308" s="4">
        <v>61.0</v>
      </c>
      <c r="K1308" s="4">
        <v>-49.0</v>
      </c>
      <c r="L1308" s="2" t="s">
        <v>464</v>
      </c>
      <c r="M1308" s="5">
        <f>IFERROR(__xludf.DUMMYFUNCTION("""COMPUTED_VALUE"""),0.0)</f>
        <v>0</v>
      </c>
      <c r="N1308" s="5">
        <f>IFERROR(__xludf.DUMMYFUNCTION("""COMPUTED_VALUE"""),20.0)</f>
        <v>20</v>
      </c>
      <c r="O1308" s="5">
        <f>IFERROR(__xludf.DUMMYFUNCTION("""COMPUTED_VALUE"""),0.0)</f>
        <v>0</v>
      </c>
    </row>
    <row r="1309">
      <c r="A1309" s="1" t="s">
        <v>509</v>
      </c>
      <c r="B1309" s="4">
        <v>91.0</v>
      </c>
      <c r="C1309" s="1" t="s">
        <v>134</v>
      </c>
      <c r="D1309" s="4">
        <v>0.0</v>
      </c>
      <c r="E1309" s="4">
        <v>12.0</v>
      </c>
      <c r="F1309" s="4">
        <v>0.0</v>
      </c>
      <c r="G1309" s="4">
        <v>12.0</v>
      </c>
      <c r="H1309" s="4">
        <v>0.0</v>
      </c>
      <c r="I1309" s="4">
        <v>12.0</v>
      </c>
      <c r="J1309" s="4">
        <v>94.0</v>
      </c>
      <c r="K1309" s="4">
        <v>-82.0</v>
      </c>
      <c r="L1309" s="2" t="s">
        <v>527</v>
      </c>
      <c r="M1309" s="5">
        <f>IFERROR(__xludf.DUMMYFUNCTION("""COMPUTED_VALUE"""),0.0)</f>
        <v>0</v>
      </c>
      <c r="N1309" s="5">
        <f>IFERROR(__xludf.DUMMYFUNCTION("""COMPUTED_VALUE"""),23.0)</f>
        <v>23</v>
      </c>
      <c r="O1309" s="5">
        <f>IFERROR(__xludf.DUMMYFUNCTION("""COMPUTED_VALUE"""),0.0)</f>
        <v>0</v>
      </c>
    </row>
    <row r="1310">
      <c r="A1310" s="1" t="s">
        <v>509</v>
      </c>
      <c r="B1310" s="4">
        <v>92.0</v>
      </c>
      <c r="C1310" s="1" t="s">
        <v>112</v>
      </c>
      <c r="D1310" s="4">
        <v>0.0</v>
      </c>
      <c r="E1310" s="4">
        <v>14.0</v>
      </c>
      <c r="F1310" s="4">
        <v>0.0</v>
      </c>
      <c r="G1310" s="4">
        <v>14.0</v>
      </c>
      <c r="H1310" s="4">
        <v>0.0</v>
      </c>
      <c r="I1310" s="4">
        <v>13.0</v>
      </c>
      <c r="J1310" s="4">
        <v>159.0</v>
      </c>
      <c r="K1310" s="4">
        <v>-146.0</v>
      </c>
      <c r="L1310" s="2" t="s">
        <v>464</v>
      </c>
      <c r="M1310" s="5">
        <f>IFERROR(__xludf.DUMMYFUNCTION("""COMPUTED_VALUE"""),0.0)</f>
        <v>0</v>
      </c>
      <c r="N1310" s="5">
        <f>IFERROR(__xludf.DUMMYFUNCTION("""COMPUTED_VALUE"""),20.0)</f>
        <v>20</v>
      </c>
      <c r="O1310" s="5">
        <f>IFERROR(__xludf.DUMMYFUNCTION("""COMPUTED_VALUE"""),0.0)</f>
        <v>0</v>
      </c>
    </row>
    <row r="1311">
      <c r="A1311" s="1" t="s">
        <v>528</v>
      </c>
      <c r="B1311" s="4">
        <v>1.0</v>
      </c>
      <c r="C1311" s="1" t="s">
        <v>92</v>
      </c>
      <c r="D1311" s="4">
        <v>16.0</v>
      </c>
      <c r="E1311" s="4">
        <v>7.0</v>
      </c>
      <c r="F1311" s="4">
        <v>9.0</v>
      </c>
      <c r="G1311" s="4">
        <v>0.0</v>
      </c>
      <c r="H1311" s="4">
        <v>0.0</v>
      </c>
      <c r="I1311" s="4">
        <v>14.0</v>
      </c>
      <c r="J1311" s="4">
        <v>62.0</v>
      </c>
      <c r="K1311" s="4">
        <v>-48.0</v>
      </c>
      <c r="L1311" s="2" t="s">
        <v>529</v>
      </c>
      <c r="M1311" s="5">
        <f>IFERROR(__xludf.DUMMYFUNCTION("""COMPUTED_VALUE"""),71.0)</f>
        <v>71</v>
      </c>
      <c r="N1311" s="5">
        <f>IFERROR(__xludf.DUMMYFUNCTION("""COMPUTED_VALUE"""),0.0)</f>
        <v>0</v>
      </c>
      <c r="O1311" s="5">
        <f>IFERROR(__xludf.DUMMYFUNCTION("""COMPUTED_VALUE"""),0.0)</f>
        <v>0</v>
      </c>
    </row>
    <row r="1312">
      <c r="A1312" s="1" t="s">
        <v>528</v>
      </c>
      <c r="B1312" s="4">
        <v>2.0</v>
      </c>
      <c r="C1312" s="1" t="s">
        <v>86</v>
      </c>
      <c r="D1312" s="4">
        <v>15.0</v>
      </c>
      <c r="E1312" s="4">
        <v>1.0</v>
      </c>
      <c r="F1312" s="4">
        <v>14.0</v>
      </c>
      <c r="G1312" s="4">
        <v>0.0</v>
      </c>
      <c r="H1312" s="4">
        <v>0.0</v>
      </c>
      <c r="I1312" s="4">
        <v>2.0</v>
      </c>
      <c r="J1312" s="4">
        <v>25.0</v>
      </c>
      <c r="K1312" s="4">
        <v>-23.0</v>
      </c>
      <c r="L1312" s="2" t="s">
        <v>530</v>
      </c>
      <c r="M1312" s="5">
        <f>IFERROR(__xludf.DUMMYFUNCTION("""COMPUTED_VALUE"""),91.0)</f>
        <v>91</v>
      </c>
      <c r="N1312" s="5">
        <f>IFERROR(__xludf.DUMMYFUNCTION("""COMPUTED_VALUE"""),0.0)</f>
        <v>0</v>
      </c>
      <c r="O1312" s="5">
        <f>IFERROR(__xludf.DUMMYFUNCTION("""COMPUTED_VALUE"""),0.0)</f>
        <v>0</v>
      </c>
    </row>
    <row r="1313">
      <c r="A1313" s="1" t="s">
        <v>528</v>
      </c>
      <c r="B1313" s="4">
        <v>3.0</v>
      </c>
      <c r="C1313" s="1" t="s">
        <v>22</v>
      </c>
      <c r="D1313" s="4">
        <v>15.0</v>
      </c>
      <c r="E1313" s="4">
        <v>14.0</v>
      </c>
      <c r="F1313" s="4">
        <v>1.0</v>
      </c>
      <c r="G1313" s="4">
        <v>0.0</v>
      </c>
      <c r="H1313" s="4">
        <v>0.0</v>
      </c>
      <c r="I1313" s="4">
        <v>28.0</v>
      </c>
      <c r="J1313" s="4">
        <v>57.0</v>
      </c>
      <c r="K1313" s="4">
        <v>-29.0</v>
      </c>
      <c r="L1313" s="2" t="s">
        <v>531</v>
      </c>
      <c r="M1313" s="5">
        <f>IFERROR(__xludf.DUMMYFUNCTION("""COMPUTED_VALUE"""),21.0)</f>
        <v>21</v>
      </c>
      <c r="N1313" s="5">
        <f>IFERROR(__xludf.DUMMYFUNCTION("""COMPUTED_VALUE"""),0.0)</f>
        <v>0</v>
      </c>
      <c r="O1313" s="5">
        <f>IFERROR(__xludf.DUMMYFUNCTION("""COMPUTED_VALUE"""),0.0)</f>
        <v>0</v>
      </c>
    </row>
    <row r="1314">
      <c r="A1314" s="1" t="s">
        <v>528</v>
      </c>
      <c r="B1314" s="4">
        <v>4.0</v>
      </c>
      <c r="C1314" s="1" t="s">
        <v>24</v>
      </c>
      <c r="D1314" s="4">
        <v>15.0</v>
      </c>
      <c r="E1314" s="4">
        <v>10.0</v>
      </c>
      <c r="F1314" s="4">
        <v>4.0</v>
      </c>
      <c r="G1314" s="4">
        <v>1.0</v>
      </c>
      <c r="H1314" s="4">
        <v>0.0</v>
      </c>
      <c r="I1314" s="4">
        <v>21.0</v>
      </c>
      <c r="J1314" s="4">
        <v>58.0</v>
      </c>
      <c r="K1314" s="4">
        <v>-37.0</v>
      </c>
      <c r="L1314" s="2" t="s">
        <v>532</v>
      </c>
      <c r="M1314" s="5">
        <f>IFERROR(__xludf.DUMMYFUNCTION("""COMPUTED_VALUE"""),23.0)</f>
        <v>23</v>
      </c>
      <c r="N1314" s="5">
        <f>IFERROR(__xludf.DUMMYFUNCTION("""COMPUTED_VALUE"""),0.0)</f>
        <v>0</v>
      </c>
      <c r="O1314" s="5">
        <f>IFERROR(__xludf.DUMMYFUNCTION("""COMPUTED_VALUE"""),0.0)</f>
        <v>0</v>
      </c>
    </row>
    <row r="1315">
      <c r="A1315" s="1" t="s">
        <v>528</v>
      </c>
      <c r="B1315" s="4">
        <v>5.0</v>
      </c>
      <c r="C1315" s="1" t="s">
        <v>79</v>
      </c>
      <c r="D1315" s="4">
        <v>15.0</v>
      </c>
      <c r="E1315" s="4">
        <v>9.0</v>
      </c>
      <c r="F1315" s="4">
        <v>6.0</v>
      </c>
      <c r="G1315" s="4">
        <v>0.0</v>
      </c>
      <c r="H1315" s="4">
        <v>0.0</v>
      </c>
      <c r="I1315" s="4">
        <v>18.0</v>
      </c>
      <c r="J1315" s="4">
        <v>63.0</v>
      </c>
      <c r="K1315" s="4">
        <v>-45.0</v>
      </c>
      <c r="L1315" s="2" t="s">
        <v>533</v>
      </c>
      <c r="M1315" s="5">
        <f>IFERROR(__xludf.DUMMYFUNCTION("""COMPUTED_VALUE"""),46.0)</f>
        <v>46</v>
      </c>
      <c r="N1315" s="5">
        <f>IFERROR(__xludf.DUMMYFUNCTION("""COMPUTED_VALUE"""),0.0)</f>
        <v>0</v>
      </c>
      <c r="O1315" s="5">
        <f>IFERROR(__xludf.DUMMYFUNCTION("""COMPUTED_VALUE"""),0.0)</f>
        <v>0</v>
      </c>
    </row>
    <row r="1316">
      <c r="A1316" s="1" t="s">
        <v>528</v>
      </c>
      <c r="B1316" s="4">
        <v>6.0</v>
      </c>
      <c r="C1316" s="1" t="s">
        <v>58</v>
      </c>
      <c r="D1316" s="4">
        <v>15.0</v>
      </c>
      <c r="E1316" s="4">
        <v>9.0</v>
      </c>
      <c r="F1316" s="4">
        <v>5.0</v>
      </c>
      <c r="G1316" s="4">
        <v>1.0</v>
      </c>
      <c r="H1316" s="4">
        <v>0.0</v>
      </c>
      <c r="I1316" s="4">
        <v>19.0</v>
      </c>
      <c r="J1316" s="4">
        <v>71.0</v>
      </c>
      <c r="K1316" s="4">
        <v>-52.0</v>
      </c>
      <c r="L1316" s="2" t="s">
        <v>534</v>
      </c>
      <c r="M1316" s="5">
        <f>IFERROR(__xludf.DUMMYFUNCTION("""COMPUTED_VALUE"""),35.0)</f>
        <v>35</v>
      </c>
      <c r="N1316" s="5">
        <f>IFERROR(__xludf.DUMMYFUNCTION("""COMPUTED_VALUE"""),0.0)</f>
        <v>0</v>
      </c>
      <c r="O1316" s="5">
        <f>IFERROR(__xludf.DUMMYFUNCTION("""COMPUTED_VALUE"""),0.0)</f>
        <v>0</v>
      </c>
    </row>
    <row r="1317">
      <c r="A1317" s="1" t="s">
        <v>528</v>
      </c>
      <c r="B1317" s="4">
        <v>7.0</v>
      </c>
      <c r="C1317" s="1" t="s">
        <v>233</v>
      </c>
      <c r="D1317" s="4">
        <v>14.0</v>
      </c>
      <c r="E1317" s="4">
        <v>1.0</v>
      </c>
      <c r="F1317" s="4">
        <v>13.0</v>
      </c>
      <c r="G1317" s="4">
        <v>0.0</v>
      </c>
      <c r="H1317" s="4">
        <v>0.0</v>
      </c>
      <c r="I1317" s="4">
        <v>2.0</v>
      </c>
      <c r="J1317" s="4">
        <v>31.0</v>
      </c>
      <c r="K1317" s="4">
        <v>-29.0</v>
      </c>
      <c r="L1317" s="2" t="s">
        <v>535</v>
      </c>
      <c r="M1317" s="5">
        <f>IFERROR(__xludf.DUMMYFUNCTION("""COMPUTED_VALUE"""),93.0)</f>
        <v>93</v>
      </c>
      <c r="N1317" s="5">
        <f>IFERROR(__xludf.DUMMYFUNCTION("""COMPUTED_VALUE"""),0.0)</f>
        <v>0</v>
      </c>
      <c r="O1317" s="5">
        <f>IFERROR(__xludf.DUMMYFUNCTION("""COMPUTED_VALUE"""),0.0)</f>
        <v>0</v>
      </c>
    </row>
    <row r="1318">
      <c r="A1318" s="1" t="s">
        <v>528</v>
      </c>
      <c r="B1318" s="4">
        <v>8.0</v>
      </c>
      <c r="C1318" s="1" t="s">
        <v>66</v>
      </c>
      <c r="D1318" s="4">
        <v>14.0</v>
      </c>
      <c r="E1318" s="4">
        <v>4.0</v>
      </c>
      <c r="F1318" s="4">
        <v>8.0</v>
      </c>
      <c r="G1318" s="4">
        <v>2.0</v>
      </c>
      <c r="H1318" s="4">
        <v>0.0</v>
      </c>
      <c r="I1318" s="4">
        <v>10.0</v>
      </c>
      <c r="J1318" s="4">
        <v>39.0</v>
      </c>
      <c r="K1318" s="4">
        <v>-29.0</v>
      </c>
      <c r="L1318" s="2" t="s">
        <v>536</v>
      </c>
      <c r="M1318" s="5">
        <f>IFERROR(__xludf.DUMMYFUNCTION("""COMPUTED_VALUE"""),51.0)</f>
        <v>51</v>
      </c>
      <c r="N1318" s="5">
        <f>IFERROR(__xludf.DUMMYFUNCTION("""COMPUTED_VALUE"""),0.0)</f>
        <v>0</v>
      </c>
      <c r="O1318" s="5">
        <f>IFERROR(__xludf.DUMMYFUNCTION("""COMPUTED_VALUE"""),0.0)</f>
        <v>0</v>
      </c>
    </row>
    <row r="1319">
      <c r="A1319" s="1" t="s">
        <v>528</v>
      </c>
      <c r="B1319" s="4">
        <v>9.0</v>
      </c>
      <c r="C1319" s="1" t="s">
        <v>41</v>
      </c>
      <c r="D1319" s="4">
        <v>14.0</v>
      </c>
      <c r="E1319" s="4">
        <v>6.0</v>
      </c>
      <c r="F1319" s="4">
        <v>7.0</v>
      </c>
      <c r="G1319" s="4">
        <v>1.0</v>
      </c>
      <c r="H1319" s="4">
        <v>0.0</v>
      </c>
      <c r="I1319" s="4">
        <v>13.0</v>
      </c>
      <c r="J1319" s="4">
        <v>42.0</v>
      </c>
      <c r="K1319" s="4">
        <v>-29.0</v>
      </c>
      <c r="L1319" s="2" t="s">
        <v>537</v>
      </c>
      <c r="M1319" s="5">
        <f>IFERROR(__xludf.DUMMYFUNCTION("""COMPUTED_VALUE"""),45.0)</f>
        <v>45</v>
      </c>
      <c r="N1319" s="5">
        <f>IFERROR(__xludf.DUMMYFUNCTION("""COMPUTED_VALUE"""),0.0)</f>
        <v>0</v>
      </c>
      <c r="O1319" s="5">
        <f>IFERROR(__xludf.DUMMYFUNCTION("""COMPUTED_VALUE"""),0.0)</f>
        <v>0</v>
      </c>
    </row>
    <row r="1320">
      <c r="A1320" s="1" t="s">
        <v>528</v>
      </c>
      <c r="B1320" s="4">
        <v>10.0</v>
      </c>
      <c r="C1320" s="1" t="s">
        <v>146</v>
      </c>
      <c r="D1320" s="4">
        <v>14.0</v>
      </c>
      <c r="E1320" s="4">
        <v>8.0</v>
      </c>
      <c r="F1320" s="4">
        <v>5.0</v>
      </c>
      <c r="G1320" s="4">
        <v>1.0</v>
      </c>
      <c r="H1320" s="4">
        <v>0.0</v>
      </c>
      <c r="I1320" s="4">
        <v>17.0</v>
      </c>
      <c r="J1320" s="4">
        <v>46.0</v>
      </c>
      <c r="K1320" s="4">
        <v>-29.0</v>
      </c>
      <c r="L1320" s="2" t="s">
        <v>538</v>
      </c>
      <c r="M1320" s="5">
        <f>IFERROR(__xludf.DUMMYFUNCTION("""COMPUTED_VALUE"""),34.0)</f>
        <v>34</v>
      </c>
      <c r="N1320" s="5">
        <f>IFERROR(__xludf.DUMMYFUNCTION("""COMPUTED_VALUE"""),0.0)</f>
        <v>0</v>
      </c>
      <c r="O1320" s="5">
        <f>IFERROR(__xludf.DUMMYFUNCTION("""COMPUTED_VALUE"""),0.0)</f>
        <v>0</v>
      </c>
    </row>
    <row r="1321">
      <c r="A1321" s="1" t="s">
        <v>528</v>
      </c>
      <c r="B1321" s="4">
        <v>11.0</v>
      </c>
      <c r="C1321" s="1" t="s">
        <v>94</v>
      </c>
      <c r="D1321" s="4">
        <v>14.0</v>
      </c>
      <c r="E1321" s="4">
        <v>4.0</v>
      </c>
      <c r="F1321" s="4">
        <v>9.0</v>
      </c>
      <c r="G1321" s="4">
        <v>1.0</v>
      </c>
      <c r="H1321" s="4">
        <v>0.0</v>
      </c>
      <c r="I1321" s="4">
        <v>9.0</v>
      </c>
      <c r="J1321" s="4">
        <v>41.0</v>
      </c>
      <c r="K1321" s="4">
        <v>-32.0</v>
      </c>
      <c r="L1321" s="2" t="s">
        <v>539</v>
      </c>
      <c r="M1321" s="5">
        <f>IFERROR(__xludf.DUMMYFUNCTION("""COMPUTED_VALUE"""),47.0)</f>
        <v>47</v>
      </c>
      <c r="N1321" s="5">
        <f>IFERROR(__xludf.DUMMYFUNCTION("""COMPUTED_VALUE"""),0.0)</f>
        <v>0</v>
      </c>
      <c r="O1321" s="5">
        <f>IFERROR(__xludf.DUMMYFUNCTION("""COMPUTED_VALUE"""),0.0)</f>
        <v>0</v>
      </c>
    </row>
    <row r="1322">
      <c r="A1322" s="1" t="s">
        <v>528</v>
      </c>
      <c r="B1322" s="4">
        <v>12.0</v>
      </c>
      <c r="C1322" s="1" t="s">
        <v>29</v>
      </c>
      <c r="D1322" s="4">
        <v>14.0</v>
      </c>
      <c r="E1322" s="4">
        <v>5.0</v>
      </c>
      <c r="F1322" s="4">
        <v>8.0</v>
      </c>
      <c r="G1322" s="4">
        <v>1.0</v>
      </c>
      <c r="H1322" s="4">
        <v>0.0</v>
      </c>
      <c r="I1322" s="4">
        <v>11.0</v>
      </c>
      <c r="J1322" s="4">
        <v>49.0</v>
      </c>
      <c r="K1322" s="4">
        <v>-38.0</v>
      </c>
      <c r="L1322" s="2" t="s">
        <v>540</v>
      </c>
      <c r="M1322" s="5">
        <f>IFERROR(__xludf.DUMMYFUNCTION("""COMPUTED_VALUE"""),72.0)</f>
        <v>72</v>
      </c>
      <c r="N1322" s="5">
        <f>IFERROR(__xludf.DUMMYFUNCTION("""COMPUTED_VALUE"""),0.0)</f>
        <v>0</v>
      </c>
      <c r="O1322" s="5">
        <f>IFERROR(__xludf.DUMMYFUNCTION("""COMPUTED_VALUE"""),0.0)</f>
        <v>0</v>
      </c>
    </row>
    <row r="1323">
      <c r="A1323" s="1" t="s">
        <v>528</v>
      </c>
      <c r="B1323" s="4">
        <v>13.0</v>
      </c>
      <c r="C1323" s="1" t="s">
        <v>106</v>
      </c>
      <c r="D1323" s="4">
        <v>14.0</v>
      </c>
      <c r="E1323" s="4">
        <v>9.0</v>
      </c>
      <c r="F1323" s="4">
        <v>5.0</v>
      </c>
      <c r="G1323" s="4">
        <v>0.0</v>
      </c>
      <c r="H1323" s="4">
        <v>0.0</v>
      </c>
      <c r="I1323" s="4">
        <v>18.0</v>
      </c>
      <c r="J1323" s="4">
        <v>61.0</v>
      </c>
      <c r="K1323" s="4">
        <v>-43.0</v>
      </c>
      <c r="L1323" s="2" t="s">
        <v>533</v>
      </c>
      <c r="M1323" s="5">
        <f>IFERROR(__xludf.DUMMYFUNCTION("""COMPUTED_VALUE"""),46.0)</f>
        <v>46</v>
      </c>
      <c r="N1323" s="5">
        <f>IFERROR(__xludf.DUMMYFUNCTION("""COMPUTED_VALUE"""),0.0)</f>
        <v>0</v>
      </c>
      <c r="O1323" s="5">
        <f>IFERROR(__xludf.DUMMYFUNCTION("""COMPUTED_VALUE"""),0.0)</f>
        <v>0</v>
      </c>
    </row>
    <row r="1324">
      <c r="A1324" s="1" t="s">
        <v>528</v>
      </c>
      <c r="B1324" s="4">
        <v>14.0</v>
      </c>
      <c r="C1324" s="1" t="s">
        <v>377</v>
      </c>
      <c r="D1324" s="4">
        <v>14.0</v>
      </c>
      <c r="E1324" s="4">
        <v>7.0</v>
      </c>
      <c r="F1324" s="4">
        <v>5.0</v>
      </c>
      <c r="G1324" s="4">
        <v>2.0</v>
      </c>
      <c r="H1324" s="4">
        <v>0.0</v>
      </c>
      <c r="I1324" s="4">
        <v>16.0</v>
      </c>
      <c r="J1324" s="4">
        <v>59.0</v>
      </c>
      <c r="K1324" s="4">
        <v>-43.0</v>
      </c>
      <c r="L1324" s="2" t="s">
        <v>534</v>
      </c>
      <c r="M1324" s="5">
        <f>IFERROR(__xludf.DUMMYFUNCTION("""COMPUTED_VALUE"""),35.0)</f>
        <v>35</v>
      </c>
      <c r="N1324" s="5">
        <f>IFERROR(__xludf.DUMMYFUNCTION("""COMPUTED_VALUE"""),0.0)</f>
        <v>0</v>
      </c>
      <c r="O1324" s="5">
        <f>IFERROR(__xludf.DUMMYFUNCTION("""COMPUTED_VALUE"""),0.0)</f>
        <v>0</v>
      </c>
    </row>
    <row r="1325">
      <c r="A1325" s="1" t="s">
        <v>528</v>
      </c>
      <c r="B1325" s="4">
        <v>15.0</v>
      </c>
      <c r="C1325" s="1" t="s">
        <v>64</v>
      </c>
      <c r="D1325" s="4">
        <v>14.0</v>
      </c>
      <c r="E1325" s="4">
        <v>4.0</v>
      </c>
      <c r="F1325" s="4">
        <v>9.0</v>
      </c>
      <c r="G1325" s="4">
        <v>1.0</v>
      </c>
      <c r="H1325" s="4">
        <v>0.0</v>
      </c>
      <c r="I1325" s="4">
        <v>9.0</v>
      </c>
      <c r="J1325" s="4">
        <v>53.0</v>
      </c>
      <c r="K1325" s="4">
        <v>-44.0</v>
      </c>
      <c r="L1325" s="2" t="s">
        <v>541</v>
      </c>
      <c r="M1325" s="5">
        <f>IFERROR(__xludf.DUMMYFUNCTION("""COMPUTED_VALUE"""),68.0)</f>
        <v>68</v>
      </c>
      <c r="N1325" s="5">
        <f>IFERROR(__xludf.DUMMYFUNCTION("""COMPUTED_VALUE"""),0.0)</f>
        <v>0</v>
      </c>
      <c r="O1325" s="5">
        <f>IFERROR(__xludf.DUMMYFUNCTION("""COMPUTED_VALUE"""),0.0)</f>
        <v>0</v>
      </c>
    </row>
    <row r="1326">
      <c r="A1326" s="1" t="s">
        <v>528</v>
      </c>
      <c r="B1326" s="4">
        <v>16.0</v>
      </c>
      <c r="C1326" s="1" t="s">
        <v>134</v>
      </c>
      <c r="D1326" s="4">
        <v>13.0</v>
      </c>
      <c r="E1326" s="4">
        <v>5.0</v>
      </c>
      <c r="F1326" s="4">
        <v>8.0</v>
      </c>
      <c r="G1326" s="4">
        <v>0.0</v>
      </c>
      <c r="H1326" s="4">
        <v>0.0</v>
      </c>
      <c r="I1326" s="4">
        <v>10.0</v>
      </c>
      <c r="J1326" s="4">
        <v>31.0</v>
      </c>
      <c r="K1326" s="4">
        <v>-21.0</v>
      </c>
      <c r="L1326" s="2" t="s">
        <v>542</v>
      </c>
      <c r="M1326" s="5">
        <f>IFERROR(__xludf.DUMMYFUNCTION("""COMPUTED_VALUE"""),49.0)</f>
        <v>49</v>
      </c>
      <c r="N1326" s="5">
        <f>IFERROR(__xludf.DUMMYFUNCTION("""COMPUTED_VALUE"""),0.0)</f>
        <v>0</v>
      </c>
      <c r="O1326" s="5">
        <f>IFERROR(__xludf.DUMMYFUNCTION("""COMPUTED_VALUE"""),0.0)</f>
        <v>0</v>
      </c>
    </row>
    <row r="1327">
      <c r="A1327" s="1" t="s">
        <v>528</v>
      </c>
      <c r="B1327" s="4">
        <v>17.0</v>
      </c>
      <c r="C1327" s="1" t="s">
        <v>159</v>
      </c>
      <c r="D1327" s="4">
        <v>13.0</v>
      </c>
      <c r="E1327" s="4">
        <v>1.0</v>
      </c>
      <c r="F1327" s="4">
        <v>12.0</v>
      </c>
      <c r="G1327" s="4">
        <v>0.0</v>
      </c>
      <c r="H1327" s="4">
        <v>0.0</v>
      </c>
      <c r="I1327" s="4">
        <v>2.0</v>
      </c>
      <c r="J1327" s="4">
        <v>24.0</v>
      </c>
      <c r="K1327" s="4">
        <v>-22.0</v>
      </c>
      <c r="L1327" s="2" t="s">
        <v>543</v>
      </c>
      <c r="M1327" s="5">
        <f>IFERROR(__xludf.DUMMYFUNCTION("""COMPUTED_VALUE"""),83.0)</f>
        <v>83</v>
      </c>
      <c r="N1327" s="5">
        <f>IFERROR(__xludf.DUMMYFUNCTION("""COMPUTED_VALUE"""),0.0)</f>
        <v>0</v>
      </c>
      <c r="O1327" s="5">
        <f>IFERROR(__xludf.DUMMYFUNCTION("""COMPUTED_VALUE"""),0.0)</f>
        <v>0</v>
      </c>
    </row>
    <row r="1328">
      <c r="A1328" s="1" t="s">
        <v>528</v>
      </c>
      <c r="B1328" s="4">
        <v>18.0</v>
      </c>
      <c r="C1328" s="1" t="s">
        <v>27</v>
      </c>
      <c r="D1328" s="4">
        <v>13.0</v>
      </c>
      <c r="E1328" s="4">
        <v>7.0</v>
      </c>
      <c r="F1328" s="4">
        <v>4.0</v>
      </c>
      <c r="G1328" s="4">
        <v>2.0</v>
      </c>
      <c r="H1328" s="4">
        <v>0.0</v>
      </c>
      <c r="I1328" s="4">
        <v>16.0</v>
      </c>
      <c r="J1328" s="4">
        <v>43.0</v>
      </c>
      <c r="K1328" s="4">
        <v>-27.0</v>
      </c>
      <c r="L1328" s="2" t="s">
        <v>539</v>
      </c>
      <c r="M1328" s="5">
        <f>IFERROR(__xludf.DUMMYFUNCTION("""COMPUTED_VALUE"""),47.0)</f>
        <v>47</v>
      </c>
      <c r="N1328" s="5">
        <f>IFERROR(__xludf.DUMMYFUNCTION("""COMPUTED_VALUE"""),0.0)</f>
        <v>0</v>
      </c>
      <c r="O1328" s="5">
        <f>IFERROR(__xludf.DUMMYFUNCTION("""COMPUTED_VALUE"""),0.0)</f>
        <v>0</v>
      </c>
    </row>
    <row r="1329">
      <c r="A1329" s="1" t="s">
        <v>528</v>
      </c>
      <c r="B1329" s="4">
        <v>19.0</v>
      </c>
      <c r="C1329" s="1" t="s">
        <v>99</v>
      </c>
      <c r="D1329" s="4">
        <v>13.0</v>
      </c>
      <c r="E1329" s="4">
        <v>3.0</v>
      </c>
      <c r="F1329" s="4">
        <v>10.0</v>
      </c>
      <c r="G1329" s="4">
        <v>0.0</v>
      </c>
      <c r="H1329" s="4">
        <v>0.0</v>
      </c>
      <c r="I1329" s="4">
        <v>6.0</v>
      </c>
      <c r="J1329" s="4">
        <v>46.0</v>
      </c>
      <c r="K1329" s="4">
        <v>-40.0</v>
      </c>
      <c r="L1329" s="2" t="s">
        <v>544</v>
      </c>
      <c r="M1329" s="5">
        <f>IFERROR(__xludf.DUMMYFUNCTION("""COMPUTED_VALUE"""),65.0)</f>
        <v>65</v>
      </c>
      <c r="N1329" s="5">
        <f>IFERROR(__xludf.DUMMYFUNCTION("""COMPUTED_VALUE"""),0.0)</f>
        <v>0</v>
      </c>
      <c r="O1329" s="5">
        <f>IFERROR(__xludf.DUMMYFUNCTION("""COMPUTED_VALUE"""),0.0)</f>
        <v>0</v>
      </c>
    </row>
    <row r="1330">
      <c r="A1330" s="1" t="s">
        <v>528</v>
      </c>
      <c r="B1330" s="4">
        <v>20.0</v>
      </c>
      <c r="C1330" s="1" t="s">
        <v>131</v>
      </c>
      <c r="D1330" s="4">
        <v>13.0</v>
      </c>
      <c r="E1330" s="4">
        <v>10.0</v>
      </c>
      <c r="F1330" s="4">
        <v>2.0</v>
      </c>
      <c r="G1330" s="4">
        <v>1.0</v>
      </c>
      <c r="H1330" s="4">
        <v>0.0</v>
      </c>
      <c r="I1330" s="4">
        <v>21.0</v>
      </c>
      <c r="J1330" s="4">
        <v>63.0</v>
      </c>
      <c r="K1330" s="4">
        <v>-42.0</v>
      </c>
      <c r="L1330" s="2" t="s">
        <v>545</v>
      </c>
      <c r="M1330" s="5">
        <f>IFERROR(__xludf.DUMMYFUNCTION("""COMPUTED_VALUE"""),26.0)</f>
        <v>26</v>
      </c>
      <c r="N1330" s="5">
        <f>IFERROR(__xludf.DUMMYFUNCTION("""COMPUTED_VALUE"""),0.0)</f>
        <v>0</v>
      </c>
      <c r="O1330" s="5">
        <f>IFERROR(__xludf.DUMMYFUNCTION("""COMPUTED_VALUE"""),0.0)</f>
        <v>0</v>
      </c>
    </row>
    <row r="1331">
      <c r="A1331" s="1" t="s">
        <v>528</v>
      </c>
      <c r="B1331" s="4">
        <v>21.0</v>
      </c>
      <c r="C1331" s="1" t="s">
        <v>150</v>
      </c>
      <c r="D1331" s="4">
        <v>13.0</v>
      </c>
      <c r="E1331" s="4">
        <v>11.0</v>
      </c>
      <c r="F1331" s="4">
        <v>2.0</v>
      </c>
      <c r="G1331" s="4">
        <v>0.0</v>
      </c>
      <c r="H1331" s="4">
        <v>0.0</v>
      </c>
      <c r="I1331" s="4">
        <v>22.0</v>
      </c>
      <c r="J1331" s="4">
        <v>66.0</v>
      </c>
      <c r="K1331" s="4">
        <v>-44.0</v>
      </c>
      <c r="L1331" s="2" t="s">
        <v>546</v>
      </c>
      <c r="M1331" s="5">
        <f>IFERROR(__xludf.DUMMYFUNCTION("""COMPUTED_VALUE"""),31.0)</f>
        <v>31</v>
      </c>
      <c r="N1331" s="5">
        <f>IFERROR(__xludf.DUMMYFUNCTION("""COMPUTED_VALUE"""),0.0)</f>
        <v>0</v>
      </c>
      <c r="O1331" s="5">
        <f>IFERROR(__xludf.DUMMYFUNCTION("""COMPUTED_VALUE"""),0.0)</f>
        <v>0</v>
      </c>
    </row>
    <row r="1332">
      <c r="A1332" s="1" t="s">
        <v>528</v>
      </c>
      <c r="B1332" s="4">
        <v>22.0</v>
      </c>
      <c r="C1332" s="1" t="s">
        <v>45</v>
      </c>
      <c r="D1332" s="4">
        <v>13.0</v>
      </c>
      <c r="E1332" s="4">
        <v>13.0</v>
      </c>
      <c r="F1332" s="4">
        <v>0.0</v>
      </c>
      <c r="G1332" s="4">
        <v>0.0</v>
      </c>
      <c r="H1332" s="4">
        <v>0.0</v>
      </c>
      <c r="I1332" s="4">
        <v>26.0</v>
      </c>
      <c r="J1332" s="4">
        <v>72.0</v>
      </c>
      <c r="K1332" s="4">
        <v>-46.0</v>
      </c>
      <c r="L1332" s="2" t="s">
        <v>547</v>
      </c>
      <c r="M1332" s="5">
        <f>IFERROR(__xludf.DUMMYFUNCTION("""COMPUTED_VALUE"""),18.0)</f>
        <v>18</v>
      </c>
      <c r="N1332" s="5">
        <f>IFERROR(__xludf.DUMMYFUNCTION("""COMPUTED_VALUE"""),0.0)</f>
        <v>0</v>
      </c>
      <c r="O1332" s="5">
        <f>IFERROR(__xludf.DUMMYFUNCTION("""COMPUTED_VALUE"""),0.0)</f>
        <v>0</v>
      </c>
    </row>
    <row r="1333">
      <c r="A1333" s="1" t="s">
        <v>528</v>
      </c>
      <c r="B1333" s="4">
        <v>23.0</v>
      </c>
      <c r="C1333" s="1" t="s">
        <v>121</v>
      </c>
      <c r="D1333" s="4">
        <v>13.0</v>
      </c>
      <c r="E1333" s="4">
        <v>11.0</v>
      </c>
      <c r="F1333" s="4">
        <v>0.0</v>
      </c>
      <c r="G1333" s="4">
        <v>2.0</v>
      </c>
      <c r="H1333" s="4">
        <v>0.0</v>
      </c>
      <c r="I1333" s="4">
        <v>24.0</v>
      </c>
      <c r="J1333" s="4">
        <v>75.0</v>
      </c>
      <c r="K1333" s="4">
        <v>-51.0</v>
      </c>
      <c r="L1333" s="2" t="s">
        <v>531</v>
      </c>
      <c r="M1333" s="5">
        <f>IFERROR(__xludf.DUMMYFUNCTION("""COMPUTED_VALUE"""),21.0)</f>
        <v>21</v>
      </c>
      <c r="N1333" s="5">
        <f>IFERROR(__xludf.DUMMYFUNCTION("""COMPUTED_VALUE"""),0.0)</f>
        <v>0</v>
      </c>
      <c r="O1333" s="5">
        <f>IFERROR(__xludf.DUMMYFUNCTION("""COMPUTED_VALUE"""),0.0)</f>
        <v>0</v>
      </c>
    </row>
    <row r="1334">
      <c r="A1334" s="1" t="s">
        <v>528</v>
      </c>
      <c r="B1334" s="4">
        <v>24.0</v>
      </c>
      <c r="C1334" s="1" t="s">
        <v>25</v>
      </c>
      <c r="D1334" s="4">
        <v>13.0</v>
      </c>
      <c r="E1334" s="4">
        <v>13.0</v>
      </c>
      <c r="F1334" s="4">
        <v>0.0</v>
      </c>
      <c r="G1334" s="4">
        <v>0.0</v>
      </c>
      <c r="H1334" s="4">
        <v>0.0</v>
      </c>
      <c r="I1334" s="4">
        <v>26.0</v>
      </c>
      <c r="J1334" s="4">
        <v>81.0</v>
      </c>
      <c r="K1334" s="4">
        <v>-55.0</v>
      </c>
      <c r="L1334" s="2" t="s">
        <v>548</v>
      </c>
      <c r="M1334" s="5">
        <f>IFERROR(__xludf.DUMMYFUNCTION("""COMPUTED_VALUE"""),9.0)</f>
        <v>9</v>
      </c>
      <c r="N1334" s="5">
        <f>IFERROR(__xludf.DUMMYFUNCTION("""COMPUTED_VALUE"""),0.0)</f>
        <v>0</v>
      </c>
      <c r="O1334" s="5">
        <f>IFERROR(__xludf.DUMMYFUNCTION("""COMPUTED_VALUE"""),0.0)</f>
        <v>0</v>
      </c>
    </row>
    <row r="1335">
      <c r="A1335" s="1" t="s">
        <v>528</v>
      </c>
      <c r="B1335" s="4">
        <v>25.0</v>
      </c>
      <c r="C1335" s="1" t="s">
        <v>75</v>
      </c>
      <c r="D1335" s="4">
        <v>13.0</v>
      </c>
      <c r="E1335" s="4">
        <v>9.0</v>
      </c>
      <c r="F1335" s="4">
        <v>4.0</v>
      </c>
      <c r="G1335" s="4">
        <v>0.0</v>
      </c>
      <c r="H1335" s="4">
        <v>0.0</v>
      </c>
      <c r="I1335" s="4">
        <v>18.0</v>
      </c>
      <c r="J1335" s="4">
        <v>83.0</v>
      </c>
      <c r="K1335" s="4">
        <v>-65.0</v>
      </c>
      <c r="L1335" s="2" t="s">
        <v>549</v>
      </c>
      <c r="M1335" s="5">
        <f>IFERROR(__xludf.DUMMYFUNCTION("""COMPUTED_VALUE"""),42.0)</f>
        <v>42</v>
      </c>
      <c r="N1335" s="5">
        <f>IFERROR(__xludf.DUMMYFUNCTION("""COMPUTED_VALUE"""),0.0)</f>
        <v>0</v>
      </c>
      <c r="O1335" s="5">
        <f>IFERROR(__xludf.DUMMYFUNCTION("""COMPUTED_VALUE"""),0.0)</f>
        <v>0</v>
      </c>
    </row>
    <row r="1336">
      <c r="A1336" s="1" t="s">
        <v>528</v>
      </c>
      <c r="B1336" s="4">
        <v>26.0</v>
      </c>
      <c r="C1336" s="1" t="s">
        <v>20</v>
      </c>
      <c r="D1336" s="4">
        <v>12.0</v>
      </c>
      <c r="E1336" s="4">
        <v>4.0</v>
      </c>
      <c r="F1336" s="4">
        <v>8.0</v>
      </c>
      <c r="G1336" s="4">
        <v>0.0</v>
      </c>
      <c r="H1336" s="4">
        <v>0.0</v>
      </c>
      <c r="I1336" s="4">
        <v>8.0</v>
      </c>
      <c r="J1336" s="4">
        <v>24.0</v>
      </c>
      <c r="K1336" s="4">
        <v>-16.0</v>
      </c>
      <c r="L1336" s="2" t="s">
        <v>550</v>
      </c>
      <c r="M1336" s="5">
        <f>IFERROR(__xludf.DUMMYFUNCTION("""COMPUTED_VALUE"""),39.0)</f>
        <v>39</v>
      </c>
      <c r="N1336" s="5">
        <f>IFERROR(__xludf.DUMMYFUNCTION("""COMPUTED_VALUE"""),0.0)</f>
        <v>0</v>
      </c>
      <c r="O1336" s="5">
        <f>IFERROR(__xludf.DUMMYFUNCTION("""COMPUTED_VALUE"""),0.0)</f>
        <v>0</v>
      </c>
    </row>
    <row r="1337">
      <c r="A1337" s="1" t="s">
        <v>528</v>
      </c>
      <c r="B1337" s="4">
        <v>27.0</v>
      </c>
      <c r="C1337" s="1" t="s">
        <v>481</v>
      </c>
      <c r="D1337" s="4">
        <v>12.0</v>
      </c>
      <c r="E1337" s="4">
        <v>2.0</v>
      </c>
      <c r="F1337" s="4">
        <v>10.0</v>
      </c>
      <c r="G1337" s="4">
        <v>0.0</v>
      </c>
      <c r="H1337" s="4">
        <v>0.0</v>
      </c>
      <c r="I1337" s="4">
        <v>4.0</v>
      </c>
      <c r="J1337" s="4">
        <v>24.0</v>
      </c>
      <c r="K1337" s="4">
        <v>-20.0</v>
      </c>
      <c r="L1337" s="2" t="s">
        <v>551</v>
      </c>
      <c r="M1337" s="5">
        <f>IFERROR(__xludf.DUMMYFUNCTION("""COMPUTED_VALUE"""),58.0)</f>
        <v>58</v>
      </c>
      <c r="N1337" s="5">
        <f>IFERROR(__xludf.DUMMYFUNCTION("""COMPUTED_VALUE"""),0.0)</f>
        <v>0</v>
      </c>
      <c r="O1337" s="5">
        <f>IFERROR(__xludf.DUMMYFUNCTION("""COMPUTED_VALUE"""),0.0)</f>
        <v>0</v>
      </c>
    </row>
    <row r="1338">
      <c r="A1338" s="1" t="s">
        <v>528</v>
      </c>
      <c r="B1338" s="4">
        <v>28.0</v>
      </c>
      <c r="C1338" s="1" t="s">
        <v>123</v>
      </c>
      <c r="D1338" s="4">
        <v>12.0</v>
      </c>
      <c r="E1338" s="4">
        <v>2.0</v>
      </c>
      <c r="F1338" s="4">
        <v>9.0</v>
      </c>
      <c r="G1338" s="4">
        <v>1.0</v>
      </c>
      <c r="H1338" s="4">
        <v>0.0</v>
      </c>
      <c r="I1338" s="4">
        <v>5.0</v>
      </c>
      <c r="J1338" s="4">
        <v>27.0</v>
      </c>
      <c r="K1338" s="4">
        <v>-22.0</v>
      </c>
      <c r="L1338" s="2" t="s">
        <v>551</v>
      </c>
      <c r="M1338" s="5">
        <f>IFERROR(__xludf.DUMMYFUNCTION("""COMPUTED_VALUE"""),58.0)</f>
        <v>58</v>
      </c>
      <c r="N1338" s="5">
        <f>IFERROR(__xludf.DUMMYFUNCTION("""COMPUTED_VALUE"""),0.0)</f>
        <v>0</v>
      </c>
      <c r="O1338" s="5">
        <f>IFERROR(__xludf.DUMMYFUNCTION("""COMPUTED_VALUE"""),0.0)</f>
        <v>0</v>
      </c>
    </row>
    <row r="1339">
      <c r="A1339" s="1" t="s">
        <v>528</v>
      </c>
      <c r="B1339" s="4">
        <v>29.0</v>
      </c>
      <c r="C1339" s="1" t="s">
        <v>135</v>
      </c>
      <c r="D1339" s="4">
        <v>12.0</v>
      </c>
      <c r="E1339" s="4">
        <v>0.0</v>
      </c>
      <c r="F1339" s="4">
        <v>12.0</v>
      </c>
      <c r="G1339" s="4">
        <v>0.0</v>
      </c>
      <c r="H1339" s="4">
        <v>0.0</v>
      </c>
      <c r="I1339" s="4">
        <v>0.0</v>
      </c>
      <c r="J1339" s="4">
        <v>24.0</v>
      </c>
      <c r="K1339" s="4">
        <v>-24.0</v>
      </c>
      <c r="L1339" s="2" t="s">
        <v>552</v>
      </c>
      <c r="M1339" s="5">
        <f>IFERROR(__xludf.DUMMYFUNCTION("""COMPUTED_VALUE"""),116.0)</f>
        <v>116</v>
      </c>
      <c r="N1339" s="5">
        <f>IFERROR(__xludf.DUMMYFUNCTION("""COMPUTED_VALUE"""),0.0)</f>
        <v>0</v>
      </c>
      <c r="O1339" s="5">
        <f>IFERROR(__xludf.DUMMYFUNCTION("""COMPUTED_VALUE"""),0.0)</f>
        <v>0</v>
      </c>
    </row>
    <row r="1340">
      <c r="A1340" s="1" t="s">
        <v>528</v>
      </c>
      <c r="B1340" s="4">
        <v>30.0</v>
      </c>
      <c r="C1340" s="1" t="s">
        <v>88</v>
      </c>
      <c r="D1340" s="4">
        <v>12.0</v>
      </c>
      <c r="E1340" s="4">
        <v>3.0</v>
      </c>
      <c r="F1340" s="4">
        <v>7.0</v>
      </c>
      <c r="G1340" s="4">
        <v>2.0</v>
      </c>
      <c r="H1340" s="4">
        <v>0.0</v>
      </c>
      <c r="I1340" s="4">
        <v>8.0</v>
      </c>
      <c r="J1340" s="4">
        <v>32.0</v>
      </c>
      <c r="K1340" s="4">
        <v>-24.0</v>
      </c>
      <c r="L1340" s="2" t="s">
        <v>553</v>
      </c>
      <c r="M1340" s="5">
        <f>IFERROR(__xludf.DUMMYFUNCTION("""COMPUTED_VALUE"""),55.0)</f>
        <v>55</v>
      </c>
      <c r="N1340" s="5">
        <f>IFERROR(__xludf.DUMMYFUNCTION("""COMPUTED_VALUE"""),0.0)</f>
        <v>0</v>
      </c>
      <c r="O1340" s="5">
        <f>IFERROR(__xludf.DUMMYFUNCTION("""COMPUTED_VALUE"""),0.0)</f>
        <v>0</v>
      </c>
    </row>
    <row r="1341">
      <c r="A1341" s="1" t="s">
        <v>528</v>
      </c>
      <c r="B1341" s="4">
        <v>31.0</v>
      </c>
      <c r="C1341" s="1" t="s">
        <v>52</v>
      </c>
      <c r="D1341" s="4">
        <v>12.0</v>
      </c>
      <c r="E1341" s="4">
        <v>5.0</v>
      </c>
      <c r="F1341" s="4">
        <v>5.0</v>
      </c>
      <c r="G1341" s="4">
        <v>2.0</v>
      </c>
      <c r="H1341" s="4">
        <v>0.0</v>
      </c>
      <c r="I1341" s="4">
        <v>12.0</v>
      </c>
      <c r="J1341" s="4">
        <v>36.0</v>
      </c>
      <c r="K1341" s="4">
        <v>-24.0</v>
      </c>
      <c r="L1341" s="2" t="s">
        <v>554</v>
      </c>
      <c r="M1341" s="5">
        <f>IFERROR(__xludf.DUMMYFUNCTION("""COMPUTED_VALUE"""),32.0)</f>
        <v>32</v>
      </c>
      <c r="N1341" s="5">
        <f>IFERROR(__xludf.DUMMYFUNCTION("""COMPUTED_VALUE"""),0.0)</f>
        <v>0</v>
      </c>
      <c r="O1341" s="5">
        <f>IFERROR(__xludf.DUMMYFUNCTION("""COMPUTED_VALUE"""),0.0)</f>
        <v>0</v>
      </c>
    </row>
    <row r="1342">
      <c r="A1342" s="1" t="s">
        <v>528</v>
      </c>
      <c r="B1342" s="4">
        <v>32.0</v>
      </c>
      <c r="C1342" s="1" t="s">
        <v>71</v>
      </c>
      <c r="D1342" s="4">
        <v>12.0</v>
      </c>
      <c r="E1342" s="4">
        <v>3.0</v>
      </c>
      <c r="F1342" s="4">
        <v>7.0</v>
      </c>
      <c r="G1342" s="4">
        <v>2.0</v>
      </c>
      <c r="H1342" s="4">
        <v>0.0</v>
      </c>
      <c r="I1342" s="4">
        <v>8.0</v>
      </c>
      <c r="J1342" s="4">
        <v>33.0</v>
      </c>
      <c r="K1342" s="4">
        <v>-25.0</v>
      </c>
      <c r="L1342" s="2" t="s">
        <v>555</v>
      </c>
      <c r="M1342" s="5">
        <f>IFERROR(__xludf.DUMMYFUNCTION("""COMPUTED_VALUE"""),36.0)</f>
        <v>36</v>
      </c>
      <c r="N1342" s="5">
        <f>IFERROR(__xludf.DUMMYFUNCTION("""COMPUTED_VALUE"""),0.0)</f>
        <v>0</v>
      </c>
      <c r="O1342" s="5">
        <f>IFERROR(__xludf.DUMMYFUNCTION("""COMPUTED_VALUE"""),0.0)</f>
        <v>0</v>
      </c>
    </row>
    <row r="1343">
      <c r="A1343" s="1" t="s">
        <v>528</v>
      </c>
      <c r="B1343" s="4">
        <v>33.0</v>
      </c>
      <c r="C1343" s="1" t="s">
        <v>138</v>
      </c>
      <c r="D1343" s="4">
        <v>12.0</v>
      </c>
      <c r="E1343" s="4">
        <v>8.0</v>
      </c>
      <c r="F1343" s="4">
        <v>3.0</v>
      </c>
      <c r="G1343" s="4">
        <v>1.0</v>
      </c>
      <c r="H1343" s="4">
        <v>0.0</v>
      </c>
      <c r="I1343" s="4">
        <v>17.0</v>
      </c>
      <c r="J1343" s="4">
        <v>44.0</v>
      </c>
      <c r="K1343" s="4">
        <v>-27.0</v>
      </c>
      <c r="L1343" s="2" t="s">
        <v>556</v>
      </c>
      <c r="M1343" s="5">
        <f>IFERROR(__xludf.DUMMYFUNCTION("""COMPUTED_VALUE"""),44.0)</f>
        <v>44</v>
      </c>
      <c r="N1343" s="5">
        <f>IFERROR(__xludf.DUMMYFUNCTION("""COMPUTED_VALUE"""),0.0)</f>
        <v>0</v>
      </c>
      <c r="O1343" s="5">
        <f>IFERROR(__xludf.DUMMYFUNCTION("""COMPUTED_VALUE"""),0.0)</f>
        <v>0</v>
      </c>
    </row>
    <row r="1344">
      <c r="A1344" s="1" t="s">
        <v>528</v>
      </c>
      <c r="B1344" s="4">
        <v>34.0</v>
      </c>
      <c r="C1344" s="1" t="s">
        <v>116</v>
      </c>
      <c r="D1344" s="4">
        <v>12.0</v>
      </c>
      <c r="E1344" s="4">
        <v>8.0</v>
      </c>
      <c r="F1344" s="4">
        <v>3.0</v>
      </c>
      <c r="G1344" s="4">
        <v>1.0</v>
      </c>
      <c r="H1344" s="4">
        <v>0.0</v>
      </c>
      <c r="I1344" s="4">
        <v>17.0</v>
      </c>
      <c r="J1344" s="4">
        <v>46.0</v>
      </c>
      <c r="K1344" s="4">
        <v>-29.0</v>
      </c>
      <c r="L1344" s="2" t="s">
        <v>557</v>
      </c>
      <c r="M1344" s="5">
        <f>IFERROR(__xludf.DUMMYFUNCTION("""COMPUTED_VALUE"""),38.0)</f>
        <v>38</v>
      </c>
      <c r="N1344" s="5">
        <f>IFERROR(__xludf.DUMMYFUNCTION("""COMPUTED_VALUE"""),0.0)</f>
        <v>0</v>
      </c>
      <c r="O1344" s="5">
        <f>IFERROR(__xludf.DUMMYFUNCTION("""COMPUTED_VALUE"""),0.0)</f>
        <v>0</v>
      </c>
    </row>
    <row r="1345">
      <c r="A1345" s="1" t="s">
        <v>528</v>
      </c>
      <c r="B1345" s="4">
        <v>35.0</v>
      </c>
      <c r="C1345" s="1" t="s">
        <v>130</v>
      </c>
      <c r="D1345" s="4">
        <v>12.0</v>
      </c>
      <c r="E1345" s="4">
        <v>7.0</v>
      </c>
      <c r="F1345" s="4">
        <v>5.0</v>
      </c>
      <c r="G1345" s="4">
        <v>0.0</v>
      </c>
      <c r="H1345" s="4">
        <v>0.0</v>
      </c>
      <c r="I1345" s="4">
        <v>14.0</v>
      </c>
      <c r="J1345" s="4">
        <v>46.0</v>
      </c>
      <c r="K1345" s="4">
        <v>-32.0</v>
      </c>
      <c r="L1345" s="2" t="s">
        <v>558</v>
      </c>
      <c r="M1345" s="5">
        <f>IFERROR(__xludf.DUMMYFUNCTION("""COMPUTED_VALUE"""),27.0)</f>
        <v>27</v>
      </c>
      <c r="N1345" s="5">
        <f>IFERROR(__xludf.DUMMYFUNCTION("""COMPUTED_VALUE"""),0.0)</f>
        <v>0</v>
      </c>
      <c r="O1345" s="5">
        <f>IFERROR(__xludf.DUMMYFUNCTION("""COMPUTED_VALUE"""),0.0)</f>
        <v>0</v>
      </c>
    </row>
    <row r="1346">
      <c r="A1346" s="1" t="s">
        <v>528</v>
      </c>
      <c r="B1346" s="4">
        <v>36.0</v>
      </c>
      <c r="C1346" s="1" t="s">
        <v>90</v>
      </c>
      <c r="D1346" s="4">
        <v>12.0</v>
      </c>
      <c r="E1346" s="4">
        <v>6.0</v>
      </c>
      <c r="F1346" s="4">
        <v>5.0</v>
      </c>
      <c r="G1346" s="4">
        <v>1.0</v>
      </c>
      <c r="H1346" s="4">
        <v>0.0</v>
      </c>
      <c r="I1346" s="4">
        <v>13.0</v>
      </c>
      <c r="J1346" s="4">
        <v>47.0</v>
      </c>
      <c r="K1346" s="4">
        <v>-34.0</v>
      </c>
      <c r="L1346" s="2" t="s">
        <v>550</v>
      </c>
      <c r="M1346" s="5">
        <f>IFERROR(__xludf.DUMMYFUNCTION("""COMPUTED_VALUE"""),39.0)</f>
        <v>39</v>
      </c>
      <c r="N1346" s="5">
        <f>IFERROR(__xludf.DUMMYFUNCTION("""COMPUTED_VALUE"""),0.0)</f>
        <v>0</v>
      </c>
      <c r="O1346" s="5">
        <f>IFERROR(__xludf.DUMMYFUNCTION("""COMPUTED_VALUE"""),0.0)</f>
        <v>0</v>
      </c>
    </row>
    <row r="1347">
      <c r="A1347" s="1" t="s">
        <v>528</v>
      </c>
      <c r="B1347" s="4">
        <v>37.0</v>
      </c>
      <c r="C1347" s="1" t="s">
        <v>81</v>
      </c>
      <c r="D1347" s="4">
        <v>12.0</v>
      </c>
      <c r="E1347" s="4">
        <v>8.0</v>
      </c>
      <c r="F1347" s="4">
        <v>4.0</v>
      </c>
      <c r="G1347" s="4">
        <v>0.0</v>
      </c>
      <c r="H1347" s="4">
        <v>0.0</v>
      </c>
      <c r="I1347" s="4">
        <v>16.0</v>
      </c>
      <c r="J1347" s="4">
        <v>50.0</v>
      </c>
      <c r="K1347" s="4">
        <v>-34.0</v>
      </c>
      <c r="L1347" s="2" t="s">
        <v>559</v>
      </c>
      <c r="M1347" s="5">
        <f>IFERROR(__xludf.DUMMYFUNCTION("""COMPUTED_VALUE"""),29.0)</f>
        <v>29</v>
      </c>
      <c r="N1347" s="5">
        <f>IFERROR(__xludf.DUMMYFUNCTION("""COMPUTED_VALUE"""),0.0)</f>
        <v>0</v>
      </c>
      <c r="O1347" s="5">
        <f>IFERROR(__xludf.DUMMYFUNCTION("""COMPUTED_VALUE"""),0.0)</f>
        <v>0</v>
      </c>
    </row>
    <row r="1348">
      <c r="A1348" s="1" t="s">
        <v>528</v>
      </c>
      <c r="B1348" s="4">
        <v>38.0</v>
      </c>
      <c r="C1348" s="1" t="s">
        <v>371</v>
      </c>
      <c r="D1348" s="4">
        <v>12.0</v>
      </c>
      <c r="E1348" s="4">
        <v>9.0</v>
      </c>
      <c r="F1348" s="4">
        <v>1.0</v>
      </c>
      <c r="G1348" s="4">
        <v>2.0</v>
      </c>
      <c r="H1348" s="4">
        <v>0.0</v>
      </c>
      <c r="I1348" s="4">
        <v>20.0</v>
      </c>
      <c r="J1348" s="4">
        <v>63.0</v>
      </c>
      <c r="K1348" s="4">
        <v>-43.0</v>
      </c>
      <c r="L1348" s="2" t="s">
        <v>560</v>
      </c>
      <c r="M1348" s="5">
        <f>IFERROR(__xludf.DUMMYFUNCTION("""COMPUTED_VALUE"""),33.0)</f>
        <v>33</v>
      </c>
      <c r="N1348" s="5">
        <f>IFERROR(__xludf.DUMMYFUNCTION("""COMPUTED_VALUE"""),0.0)</f>
        <v>0</v>
      </c>
      <c r="O1348" s="5">
        <f>IFERROR(__xludf.DUMMYFUNCTION("""COMPUTED_VALUE"""),0.0)</f>
        <v>0</v>
      </c>
    </row>
    <row r="1349">
      <c r="A1349" s="1" t="s">
        <v>528</v>
      </c>
      <c r="B1349" s="4">
        <v>39.0</v>
      </c>
      <c r="C1349" s="1" t="s">
        <v>398</v>
      </c>
      <c r="D1349" s="4">
        <v>12.0</v>
      </c>
      <c r="E1349" s="4">
        <v>7.0</v>
      </c>
      <c r="F1349" s="4">
        <v>4.0</v>
      </c>
      <c r="G1349" s="4">
        <v>1.0</v>
      </c>
      <c r="H1349" s="4">
        <v>0.0</v>
      </c>
      <c r="I1349" s="4">
        <v>15.0</v>
      </c>
      <c r="J1349" s="4">
        <v>60.0</v>
      </c>
      <c r="K1349" s="4">
        <v>-45.0</v>
      </c>
      <c r="L1349" s="2" t="s">
        <v>561</v>
      </c>
      <c r="M1349" s="5">
        <f>IFERROR(__xludf.DUMMYFUNCTION("""COMPUTED_VALUE"""),43.0)</f>
        <v>43</v>
      </c>
      <c r="N1349" s="5">
        <f>IFERROR(__xludf.DUMMYFUNCTION("""COMPUTED_VALUE"""),0.0)</f>
        <v>0</v>
      </c>
      <c r="O1349" s="5">
        <f>IFERROR(__xludf.DUMMYFUNCTION("""COMPUTED_VALUE"""),0.0)</f>
        <v>0</v>
      </c>
    </row>
    <row r="1350">
      <c r="A1350" s="1" t="s">
        <v>528</v>
      </c>
      <c r="B1350" s="4">
        <v>40.0</v>
      </c>
      <c r="C1350" s="1" t="s">
        <v>46</v>
      </c>
      <c r="D1350" s="4">
        <v>12.0</v>
      </c>
      <c r="E1350" s="4">
        <v>9.0</v>
      </c>
      <c r="F1350" s="4">
        <v>3.0</v>
      </c>
      <c r="G1350" s="4">
        <v>0.0</v>
      </c>
      <c r="H1350" s="4">
        <v>0.0</v>
      </c>
      <c r="I1350" s="4">
        <v>18.0</v>
      </c>
      <c r="J1350" s="4">
        <v>63.0</v>
      </c>
      <c r="K1350" s="4">
        <v>-45.0</v>
      </c>
      <c r="L1350" s="2" t="s">
        <v>562</v>
      </c>
      <c r="M1350" s="5">
        <f>IFERROR(__xludf.DUMMYFUNCTION("""COMPUTED_VALUE"""),30.0)</f>
        <v>30</v>
      </c>
      <c r="N1350" s="5">
        <f>IFERROR(__xludf.DUMMYFUNCTION("""COMPUTED_VALUE"""),0.0)</f>
        <v>0</v>
      </c>
      <c r="O1350" s="5">
        <f>IFERROR(__xludf.DUMMYFUNCTION("""COMPUTED_VALUE"""),0.0)</f>
        <v>0</v>
      </c>
    </row>
    <row r="1351">
      <c r="A1351" s="1" t="s">
        <v>528</v>
      </c>
      <c r="B1351" s="4">
        <v>41.0</v>
      </c>
      <c r="C1351" s="1" t="s">
        <v>117</v>
      </c>
      <c r="D1351" s="4">
        <v>12.0</v>
      </c>
      <c r="E1351" s="4">
        <v>11.0</v>
      </c>
      <c r="F1351" s="4">
        <v>1.0</v>
      </c>
      <c r="G1351" s="4">
        <v>0.0</v>
      </c>
      <c r="H1351" s="4">
        <v>0.0</v>
      </c>
      <c r="I1351" s="4">
        <v>22.0</v>
      </c>
      <c r="J1351" s="4">
        <v>89.0</v>
      </c>
      <c r="K1351" s="4">
        <v>-67.0</v>
      </c>
      <c r="L1351" s="2" t="s">
        <v>557</v>
      </c>
      <c r="M1351" s="5">
        <f>IFERROR(__xludf.DUMMYFUNCTION("""COMPUTED_VALUE"""),38.0)</f>
        <v>38</v>
      </c>
      <c r="N1351" s="5">
        <f>IFERROR(__xludf.DUMMYFUNCTION("""COMPUTED_VALUE"""),0.0)</f>
        <v>0</v>
      </c>
      <c r="O1351" s="5">
        <f>IFERROR(__xludf.DUMMYFUNCTION("""COMPUTED_VALUE"""),0.0)</f>
        <v>0</v>
      </c>
    </row>
    <row r="1352">
      <c r="A1352" s="1" t="s">
        <v>528</v>
      </c>
      <c r="B1352" s="4">
        <v>42.0</v>
      </c>
      <c r="C1352" s="1" t="s">
        <v>126</v>
      </c>
      <c r="D1352" s="4">
        <v>11.0</v>
      </c>
      <c r="E1352" s="4">
        <v>0.0</v>
      </c>
      <c r="F1352" s="4">
        <v>11.0</v>
      </c>
      <c r="G1352" s="4">
        <v>0.0</v>
      </c>
      <c r="H1352" s="4">
        <v>0.0</v>
      </c>
      <c r="I1352" s="4">
        <v>0.0</v>
      </c>
      <c r="J1352" s="4">
        <v>3.0</v>
      </c>
      <c r="K1352" s="4">
        <v>-3.0</v>
      </c>
      <c r="L1352" s="2" t="s">
        <v>543</v>
      </c>
      <c r="M1352" s="5">
        <f>IFERROR(__xludf.DUMMYFUNCTION("""COMPUTED_VALUE"""),83.0)</f>
        <v>83</v>
      </c>
      <c r="N1352" s="5">
        <f>IFERROR(__xludf.DUMMYFUNCTION("""COMPUTED_VALUE"""),0.0)</f>
        <v>0</v>
      </c>
      <c r="O1352" s="5">
        <f>IFERROR(__xludf.DUMMYFUNCTION("""COMPUTED_VALUE"""),0.0)</f>
        <v>0</v>
      </c>
    </row>
    <row r="1353">
      <c r="A1353" s="1" t="s">
        <v>528</v>
      </c>
      <c r="B1353" s="4">
        <v>43.0</v>
      </c>
      <c r="C1353" s="1" t="s">
        <v>158</v>
      </c>
      <c r="D1353" s="4">
        <v>11.0</v>
      </c>
      <c r="E1353" s="4">
        <v>2.0</v>
      </c>
      <c r="F1353" s="4">
        <v>9.0</v>
      </c>
      <c r="G1353" s="4">
        <v>0.0</v>
      </c>
      <c r="H1353" s="4">
        <v>0.0</v>
      </c>
      <c r="I1353" s="4">
        <v>4.0</v>
      </c>
      <c r="J1353" s="4">
        <v>19.0</v>
      </c>
      <c r="K1353" s="4">
        <v>-15.0</v>
      </c>
      <c r="L1353" s="2" t="s">
        <v>563</v>
      </c>
      <c r="M1353" s="5">
        <f>IFERROR(__xludf.DUMMYFUNCTION("""COMPUTED_VALUE"""),52.0)</f>
        <v>52</v>
      </c>
      <c r="N1353" s="5">
        <f>IFERROR(__xludf.DUMMYFUNCTION("""COMPUTED_VALUE"""),0.0)</f>
        <v>0</v>
      </c>
      <c r="O1353" s="5">
        <f>IFERROR(__xludf.DUMMYFUNCTION("""COMPUTED_VALUE"""),0.0)</f>
        <v>0</v>
      </c>
    </row>
    <row r="1354">
      <c r="A1354" s="1" t="s">
        <v>528</v>
      </c>
      <c r="B1354" s="4">
        <v>44.0</v>
      </c>
      <c r="C1354" s="1" t="s">
        <v>85</v>
      </c>
      <c r="D1354" s="4">
        <v>11.0</v>
      </c>
      <c r="E1354" s="4">
        <v>2.0</v>
      </c>
      <c r="F1354" s="4">
        <v>8.0</v>
      </c>
      <c r="G1354" s="4">
        <v>1.0</v>
      </c>
      <c r="H1354" s="4">
        <v>0.0</v>
      </c>
      <c r="I1354" s="4">
        <v>5.0</v>
      </c>
      <c r="J1354" s="4">
        <v>28.0</v>
      </c>
      <c r="K1354" s="4">
        <v>-23.0</v>
      </c>
      <c r="L1354" s="2" t="s">
        <v>564</v>
      </c>
      <c r="M1354" s="5">
        <f>IFERROR(__xludf.DUMMYFUNCTION("""COMPUTED_VALUE"""),60.0)</f>
        <v>60</v>
      </c>
      <c r="N1354" s="5">
        <f>IFERROR(__xludf.DUMMYFUNCTION("""COMPUTED_VALUE"""),0.0)</f>
        <v>0</v>
      </c>
      <c r="O1354" s="5">
        <f>IFERROR(__xludf.DUMMYFUNCTION("""COMPUTED_VALUE"""),0.0)</f>
        <v>0</v>
      </c>
    </row>
    <row r="1355">
      <c r="A1355" s="1" t="s">
        <v>528</v>
      </c>
      <c r="B1355" s="4">
        <v>45.0</v>
      </c>
      <c r="C1355" s="1" t="s">
        <v>54</v>
      </c>
      <c r="D1355" s="4">
        <v>11.0</v>
      </c>
      <c r="E1355" s="4">
        <v>5.0</v>
      </c>
      <c r="F1355" s="4">
        <v>5.0</v>
      </c>
      <c r="G1355" s="4">
        <v>1.0</v>
      </c>
      <c r="H1355" s="4">
        <v>0.0</v>
      </c>
      <c r="I1355" s="4">
        <v>11.0</v>
      </c>
      <c r="J1355" s="4">
        <v>37.0</v>
      </c>
      <c r="K1355" s="4">
        <v>-26.0</v>
      </c>
      <c r="L1355" s="2" t="s">
        <v>557</v>
      </c>
      <c r="M1355" s="5">
        <f>IFERROR(__xludf.DUMMYFUNCTION("""COMPUTED_VALUE"""),38.0)</f>
        <v>38</v>
      </c>
      <c r="N1355" s="5">
        <f>IFERROR(__xludf.DUMMYFUNCTION("""COMPUTED_VALUE"""),0.0)</f>
        <v>0</v>
      </c>
      <c r="O1355" s="5">
        <f>IFERROR(__xludf.DUMMYFUNCTION("""COMPUTED_VALUE"""),0.0)</f>
        <v>0</v>
      </c>
    </row>
    <row r="1356">
      <c r="A1356" s="1" t="s">
        <v>528</v>
      </c>
      <c r="B1356" s="4">
        <v>46.0</v>
      </c>
      <c r="C1356" s="1" t="s">
        <v>113</v>
      </c>
      <c r="D1356" s="4">
        <v>11.0</v>
      </c>
      <c r="E1356" s="4">
        <v>6.0</v>
      </c>
      <c r="F1356" s="4">
        <v>5.0</v>
      </c>
      <c r="G1356" s="4">
        <v>0.0</v>
      </c>
      <c r="H1356" s="4">
        <v>0.0</v>
      </c>
      <c r="I1356" s="4">
        <v>12.0</v>
      </c>
      <c r="J1356" s="4">
        <v>38.0</v>
      </c>
      <c r="K1356" s="4">
        <v>-26.0</v>
      </c>
      <c r="L1356" s="2" t="s">
        <v>539</v>
      </c>
      <c r="M1356" s="5">
        <f>IFERROR(__xludf.DUMMYFUNCTION("""COMPUTED_VALUE"""),47.0)</f>
        <v>47</v>
      </c>
      <c r="N1356" s="5">
        <f>IFERROR(__xludf.DUMMYFUNCTION("""COMPUTED_VALUE"""),0.0)</f>
        <v>0</v>
      </c>
      <c r="O1356" s="5">
        <f>IFERROR(__xludf.DUMMYFUNCTION("""COMPUTED_VALUE"""),0.0)</f>
        <v>0</v>
      </c>
    </row>
    <row r="1357">
      <c r="A1357" s="1" t="s">
        <v>528</v>
      </c>
      <c r="B1357" s="4">
        <v>47.0</v>
      </c>
      <c r="C1357" s="1" t="s">
        <v>105</v>
      </c>
      <c r="D1357" s="4">
        <v>11.0</v>
      </c>
      <c r="E1357" s="4">
        <v>4.0</v>
      </c>
      <c r="F1357" s="4">
        <v>6.0</v>
      </c>
      <c r="G1357" s="4">
        <v>1.0</v>
      </c>
      <c r="H1357" s="4">
        <v>0.0</v>
      </c>
      <c r="I1357" s="4">
        <v>9.0</v>
      </c>
      <c r="J1357" s="4">
        <v>37.0</v>
      </c>
      <c r="K1357" s="4">
        <v>-28.0</v>
      </c>
      <c r="L1357" s="2" t="s">
        <v>534</v>
      </c>
      <c r="M1357" s="5">
        <f>IFERROR(__xludf.DUMMYFUNCTION("""COMPUTED_VALUE"""),35.0)</f>
        <v>35</v>
      </c>
      <c r="N1357" s="5">
        <f>IFERROR(__xludf.DUMMYFUNCTION("""COMPUTED_VALUE"""),0.0)</f>
        <v>0</v>
      </c>
      <c r="O1357" s="5">
        <f>IFERROR(__xludf.DUMMYFUNCTION("""COMPUTED_VALUE"""),0.0)</f>
        <v>0</v>
      </c>
    </row>
    <row r="1358">
      <c r="A1358" s="1" t="s">
        <v>528</v>
      </c>
      <c r="B1358" s="4">
        <v>48.0</v>
      </c>
      <c r="C1358" s="1" t="s">
        <v>128</v>
      </c>
      <c r="D1358" s="4">
        <v>11.0</v>
      </c>
      <c r="E1358" s="4">
        <v>1.0</v>
      </c>
      <c r="F1358" s="4">
        <v>9.0</v>
      </c>
      <c r="G1358" s="4">
        <v>1.0</v>
      </c>
      <c r="H1358" s="4">
        <v>0.0</v>
      </c>
      <c r="I1358" s="4">
        <v>3.0</v>
      </c>
      <c r="J1358" s="4">
        <v>34.0</v>
      </c>
      <c r="K1358" s="4">
        <v>-31.0</v>
      </c>
      <c r="L1358" s="2" t="s">
        <v>565</v>
      </c>
      <c r="M1358" s="5">
        <f>IFERROR(__xludf.DUMMYFUNCTION("""COMPUTED_VALUE"""),63.0)</f>
        <v>63</v>
      </c>
      <c r="N1358" s="5">
        <f>IFERROR(__xludf.DUMMYFUNCTION("""COMPUTED_VALUE"""),0.0)</f>
        <v>0</v>
      </c>
      <c r="O1358" s="5">
        <f>IFERROR(__xludf.DUMMYFUNCTION("""COMPUTED_VALUE"""),0.0)</f>
        <v>0</v>
      </c>
    </row>
    <row r="1359">
      <c r="A1359" s="1" t="s">
        <v>528</v>
      </c>
      <c r="B1359" s="4">
        <v>49.0</v>
      </c>
      <c r="C1359" s="1" t="s">
        <v>368</v>
      </c>
      <c r="D1359" s="4">
        <v>11.0</v>
      </c>
      <c r="E1359" s="4">
        <v>3.0</v>
      </c>
      <c r="F1359" s="4">
        <v>7.0</v>
      </c>
      <c r="G1359" s="4">
        <v>1.0</v>
      </c>
      <c r="H1359" s="4">
        <v>0.0</v>
      </c>
      <c r="I1359" s="4">
        <v>7.0</v>
      </c>
      <c r="J1359" s="4">
        <v>42.0</v>
      </c>
      <c r="K1359" s="4">
        <v>-35.0</v>
      </c>
      <c r="L1359" s="2" t="s">
        <v>566</v>
      </c>
      <c r="M1359" s="5">
        <f>IFERROR(__xludf.DUMMYFUNCTION("""COMPUTED_VALUE"""),64.0)</f>
        <v>64</v>
      </c>
      <c r="N1359" s="5">
        <f>IFERROR(__xludf.DUMMYFUNCTION("""COMPUTED_VALUE"""),0.0)</f>
        <v>0</v>
      </c>
      <c r="O1359" s="5">
        <f>IFERROR(__xludf.DUMMYFUNCTION("""COMPUTED_VALUE"""),0.0)</f>
        <v>0</v>
      </c>
    </row>
    <row r="1360">
      <c r="A1360" s="1" t="s">
        <v>528</v>
      </c>
      <c r="B1360" s="4">
        <v>50.0</v>
      </c>
      <c r="C1360" s="1" t="s">
        <v>43</v>
      </c>
      <c r="D1360" s="4">
        <v>11.0</v>
      </c>
      <c r="E1360" s="4">
        <v>10.0</v>
      </c>
      <c r="F1360" s="4">
        <v>0.0</v>
      </c>
      <c r="G1360" s="4">
        <v>1.0</v>
      </c>
      <c r="H1360" s="4">
        <v>0.0</v>
      </c>
      <c r="I1360" s="4">
        <v>21.0</v>
      </c>
      <c r="J1360" s="4">
        <v>64.0</v>
      </c>
      <c r="K1360" s="4">
        <v>-43.0</v>
      </c>
      <c r="L1360" s="2" t="s">
        <v>567</v>
      </c>
      <c r="M1360" s="5">
        <f>IFERROR(__xludf.DUMMYFUNCTION("""COMPUTED_VALUE"""),12.0)</f>
        <v>12</v>
      </c>
      <c r="N1360" s="5">
        <f>IFERROR(__xludf.DUMMYFUNCTION("""COMPUTED_VALUE"""),0.0)</f>
        <v>0</v>
      </c>
      <c r="O1360" s="5">
        <f>IFERROR(__xludf.DUMMYFUNCTION("""COMPUTED_VALUE"""),0.0)</f>
        <v>0</v>
      </c>
    </row>
    <row r="1361">
      <c r="A1361" s="1" t="s">
        <v>528</v>
      </c>
      <c r="B1361" s="4">
        <v>51.0</v>
      </c>
      <c r="C1361" s="1" t="s">
        <v>108</v>
      </c>
      <c r="D1361" s="4">
        <v>11.0</v>
      </c>
      <c r="E1361" s="4">
        <v>3.0</v>
      </c>
      <c r="F1361" s="4">
        <v>8.0</v>
      </c>
      <c r="G1361" s="4">
        <v>0.0</v>
      </c>
      <c r="H1361" s="4">
        <v>0.0</v>
      </c>
      <c r="I1361" s="4">
        <v>6.0</v>
      </c>
      <c r="J1361" s="4">
        <v>51.0</v>
      </c>
      <c r="K1361" s="4">
        <v>-45.0</v>
      </c>
      <c r="L1361" s="2" t="s">
        <v>568</v>
      </c>
      <c r="M1361" s="5">
        <f>IFERROR(__xludf.DUMMYFUNCTION("""COMPUTED_VALUE"""),59.0)</f>
        <v>59</v>
      </c>
      <c r="N1361" s="5">
        <f>IFERROR(__xludf.DUMMYFUNCTION("""COMPUTED_VALUE"""),0.0)</f>
        <v>0</v>
      </c>
      <c r="O1361" s="5">
        <f>IFERROR(__xludf.DUMMYFUNCTION("""COMPUTED_VALUE"""),0.0)</f>
        <v>0</v>
      </c>
    </row>
    <row r="1362">
      <c r="A1362" s="1" t="s">
        <v>528</v>
      </c>
      <c r="B1362" s="4">
        <v>52.0</v>
      </c>
      <c r="C1362" s="1" t="s">
        <v>413</v>
      </c>
      <c r="D1362" s="4">
        <v>10.0</v>
      </c>
      <c r="E1362" s="4">
        <v>4.0</v>
      </c>
      <c r="F1362" s="4">
        <v>5.0</v>
      </c>
      <c r="G1362" s="4">
        <v>1.0</v>
      </c>
      <c r="H1362" s="4">
        <v>0.0</v>
      </c>
      <c r="I1362" s="4">
        <v>9.0</v>
      </c>
      <c r="J1362" s="4">
        <v>27.0</v>
      </c>
      <c r="K1362" s="4">
        <v>-18.0</v>
      </c>
      <c r="L1362" s="2" t="s">
        <v>538</v>
      </c>
      <c r="M1362" s="5">
        <f>IFERROR(__xludf.DUMMYFUNCTION("""COMPUTED_VALUE"""),34.0)</f>
        <v>34</v>
      </c>
      <c r="N1362" s="5">
        <f>IFERROR(__xludf.DUMMYFUNCTION("""COMPUTED_VALUE"""),0.0)</f>
        <v>0</v>
      </c>
      <c r="O1362" s="5">
        <f>IFERROR(__xludf.DUMMYFUNCTION("""COMPUTED_VALUE"""),0.0)</f>
        <v>0</v>
      </c>
    </row>
    <row r="1363">
      <c r="A1363" s="1" t="s">
        <v>528</v>
      </c>
      <c r="B1363" s="4">
        <v>53.0</v>
      </c>
      <c r="C1363" s="1" t="s">
        <v>37</v>
      </c>
      <c r="D1363" s="4">
        <v>10.0</v>
      </c>
      <c r="E1363" s="4">
        <v>3.0</v>
      </c>
      <c r="F1363" s="4">
        <v>7.0</v>
      </c>
      <c r="G1363" s="4">
        <v>0.0</v>
      </c>
      <c r="H1363" s="4">
        <v>0.0</v>
      </c>
      <c r="I1363" s="4">
        <v>6.0</v>
      </c>
      <c r="J1363" s="4">
        <v>40.0</v>
      </c>
      <c r="K1363" s="4">
        <v>-34.0</v>
      </c>
      <c r="L1363" s="2" t="s">
        <v>569</v>
      </c>
      <c r="M1363" s="5">
        <f>IFERROR(__xludf.DUMMYFUNCTION("""COMPUTED_VALUE"""),41.0)</f>
        <v>41</v>
      </c>
      <c r="N1363" s="5">
        <f>IFERROR(__xludf.DUMMYFUNCTION("""COMPUTED_VALUE"""),0.0)</f>
        <v>0</v>
      </c>
      <c r="O1363" s="5">
        <f>IFERROR(__xludf.DUMMYFUNCTION("""COMPUTED_VALUE"""),0.0)</f>
        <v>0</v>
      </c>
    </row>
    <row r="1364">
      <c r="A1364" s="1" t="s">
        <v>528</v>
      </c>
      <c r="B1364" s="4">
        <v>54.0</v>
      </c>
      <c r="C1364" s="1" t="s">
        <v>526</v>
      </c>
      <c r="D1364" s="4">
        <v>9.0</v>
      </c>
      <c r="E1364" s="4">
        <v>1.0</v>
      </c>
      <c r="F1364" s="4">
        <v>8.0</v>
      </c>
      <c r="G1364" s="4">
        <v>0.0</v>
      </c>
      <c r="H1364" s="4">
        <v>0.0</v>
      </c>
      <c r="I1364" s="4">
        <v>2.0</v>
      </c>
      <c r="J1364" s="4">
        <v>10.0</v>
      </c>
      <c r="K1364" s="4">
        <v>-8.0</v>
      </c>
      <c r="L1364" s="2" t="s">
        <v>568</v>
      </c>
      <c r="M1364" s="5">
        <f>IFERROR(__xludf.DUMMYFUNCTION("""COMPUTED_VALUE"""),59.0)</f>
        <v>59</v>
      </c>
      <c r="N1364" s="5">
        <f>IFERROR(__xludf.DUMMYFUNCTION("""COMPUTED_VALUE"""),0.0)</f>
        <v>0</v>
      </c>
      <c r="O1364" s="5">
        <f>IFERROR(__xludf.DUMMYFUNCTION("""COMPUTED_VALUE"""),0.0)</f>
        <v>0</v>
      </c>
    </row>
    <row r="1365">
      <c r="A1365" s="1" t="s">
        <v>528</v>
      </c>
      <c r="B1365" s="4">
        <v>55.0</v>
      </c>
      <c r="C1365" s="1" t="s">
        <v>69</v>
      </c>
      <c r="D1365" s="4">
        <v>9.0</v>
      </c>
      <c r="E1365" s="4">
        <v>2.0</v>
      </c>
      <c r="F1365" s="4">
        <v>6.0</v>
      </c>
      <c r="G1365" s="4">
        <v>1.0</v>
      </c>
      <c r="H1365" s="4">
        <v>0.0</v>
      </c>
      <c r="I1365" s="4">
        <v>5.0</v>
      </c>
      <c r="J1365" s="4">
        <v>22.0</v>
      </c>
      <c r="K1365" s="4">
        <v>-17.0</v>
      </c>
      <c r="L1365" s="2" t="s">
        <v>563</v>
      </c>
      <c r="M1365" s="5">
        <f>IFERROR(__xludf.DUMMYFUNCTION("""COMPUTED_VALUE"""),52.0)</f>
        <v>52</v>
      </c>
      <c r="N1365" s="5">
        <f>IFERROR(__xludf.DUMMYFUNCTION("""COMPUTED_VALUE"""),0.0)</f>
        <v>0</v>
      </c>
      <c r="O1365" s="5">
        <f>IFERROR(__xludf.DUMMYFUNCTION("""COMPUTED_VALUE"""),0.0)</f>
        <v>0</v>
      </c>
    </row>
    <row r="1366">
      <c r="A1366" s="1" t="s">
        <v>528</v>
      </c>
      <c r="B1366" s="4">
        <v>56.0</v>
      </c>
      <c r="C1366" s="1" t="s">
        <v>152</v>
      </c>
      <c r="D1366" s="4">
        <v>9.0</v>
      </c>
      <c r="E1366" s="4">
        <v>2.0</v>
      </c>
      <c r="F1366" s="4">
        <v>7.0</v>
      </c>
      <c r="G1366" s="4">
        <v>0.0</v>
      </c>
      <c r="H1366" s="4">
        <v>0.0</v>
      </c>
      <c r="I1366" s="4">
        <v>4.0</v>
      </c>
      <c r="J1366" s="4">
        <v>23.0</v>
      </c>
      <c r="K1366" s="4">
        <v>-19.0</v>
      </c>
      <c r="L1366" s="2" t="s">
        <v>534</v>
      </c>
      <c r="M1366" s="5">
        <f>IFERROR(__xludf.DUMMYFUNCTION("""COMPUTED_VALUE"""),35.0)</f>
        <v>35</v>
      </c>
      <c r="N1366" s="5">
        <f>IFERROR(__xludf.DUMMYFUNCTION("""COMPUTED_VALUE"""),0.0)</f>
        <v>0</v>
      </c>
      <c r="O1366" s="5">
        <f>IFERROR(__xludf.DUMMYFUNCTION("""COMPUTED_VALUE"""),0.0)</f>
        <v>0</v>
      </c>
    </row>
    <row r="1367">
      <c r="A1367" s="1" t="s">
        <v>528</v>
      </c>
      <c r="B1367" s="4">
        <v>57.0</v>
      </c>
      <c r="C1367" s="1" t="s">
        <v>50</v>
      </c>
      <c r="D1367" s="4">
        <v>9.0</v>
      </c>
      <c r="E1367" s="4">
        <v>4.0</v>
      </c>
      <c r="F1367" s="4">
        <v>4.0</v>
      </c>
      <c r="G1367" s="4">
        <v>1.0</v>
      </c>
      <c r="H1367" s="4">
        <v>0.0</v>
      </c>
      <c r="I1367" s="4">
        <v>9.0</v>
      </c>
      <c r="J1367" s="4">
        <v>28.0</v>
      </c>
      <c r="K1367" s="4">
        <v>-19.0</v>
      </c>
      <c r="L1367" s="2" t="s">
        <v>545</v>
      </c>
      <c r="M1367" s="5">
        <f>IFERROR(__xludf.DUMMYFUNCTION("""COMPUTED_VALUE"""),26.0)</f>
        <v>26</v>
      </c>
      <c r="N1367" s="5">
        <f>IFERROR(__xludf.DUMMYFUNCTION("""COMPUTED_VALUE"""),0.0)</f>
        <v>0</v>
      </c>
      <c r="O1367" s="5">
        <f>IFERROR(__xludf.DUMMYFUNCTION("""COMPUTED_VALUE"""),0.0)</f>
        <v>0</v>
      </c>
    </row>
    <row r="1368">
      <c r="A1368" s="1" t="s">
        <v>528</v>
      </c>
      <c r="B1368" s="4">
        <v>58.0</v>
      </c>
      <c r="C1368" s="1" t="s">
        <v>34</v>
      </c>
      <c r="D1368" s="4">
        <v>9.0</v>
      </c>
      <c r="E1368" s="4">
        <v>1.0</v>
      </c>
      <c r="F1368" s="4">
        <v>8.0</v>
      </c>
      <c r="G1368" s="4">
        <v>0.0</v>
      </c>
      <c r="H1368" s="4">
        <v>0.0</v>
      </c>
      <c r="I1368" s="4">
        <v>2.0</v>
      </c>
      <c r="J1368" s="4">
        <v>24.0</v>
      </c>
      <c r="K1368" s="4">
        <v>-22.0</v>
      </c>
      <c r="L1368" s="2" t="s">
        <v>570</v>
      </c>
      <c r="M1368" s="5">
        <f>IFERROR(__xludf.DUMMYFUNCTION("""COMPUTED_VALUE"""),53.0)</f>
        <v>53</v>
      </c>
      <c r="N1368" s="5">
        <f>IFERROR(__xludf.DUMMYFUNCTION("""COMPUTED_VALUE"""),0.0)</f>
        <v>0</v>
      </c>
      <c r="O1368" s="5">
        <f>IFERROR(__xludf.DUMMYFUNCTION("""COMPUTED_VALUE"""),0.0)</f>
        <v>0</v>
      </c>
    </row>
    <row r="1369">
      <c r="A1369" s="1" t="s">
        <v>528</v>
      </c>
      <c r="B1369" s="4">
        <v>59.0</v>
      </c>
      <c r="C1369" s="1" t="s">
        <v>96</v>
      </c>
      <c r="D1369" s="4">
        <v>9.0</v>
      </c>
      <c r="E1369" s="4">
        <v>8.0</v>
      </c>
      <c r="F1369" s="4">
        <v>0.0</v>
      </c>
      <c r="G1369" s="4">
        <v>1.0</v>
      </c>
      <c r="H1369" s="4">
        <v>0.0</v>
      </c>
      <c r="I1369" s="4">
        <v>17.0</v>
      </c>
      <c r="J1369" s="4">
        <v>46.0</v>
      </c>
      <c r="K1369" s="4">
        <v>-29.0</v>
      </c>
      <c r="L1369" s="2" t="s">
        <v>571</v>
      </c>
      <c r="M1369" s="5">
        <f>IFERROR(__xludf.DUMMYFUNCTION("""COMPUTED_VALUE"""),14.0)</f>
        <v>14</v>
      </c>
      <c r="N1369" s="5">
        <f>IFERROR(__xludf.DUMMYFUNCTION("""COMPUTED_VALUE"""),0.0)</f>
        <v>0</v>
      </c>
      <c r="O1369" s="5">
        <f>IFERROR(__xludf.DUMMYFUNCTION("""COMPUTED_VALUE"""),0.0)</f>
        <v>0</v>
      </c>
    </row>
    <row r="1370">
      <c r="A1370" s="1" t="s">
        <v>528</v>
      </c>
      <c r="B1370" s="4">
        <v>60.0</v>
      </c>
      <c r="C1370" s="1" t="s">
        <v>141</v>
      </c>
      <c r="D1370" s="4">
        <v>9.0</v>
      </c>
      <c r="E1370" s="4">
        <v>8.0</v>
      </c>
      <c r="F1370" s="4">
        <v>1.0</v>
      </c>
      <c r="G1370" s="4">
        <v>0.0</v>
      </c>
      <c r="H1370" s="4">
        <v>0.0</v>
      </c>
      <c r="I1370" s="4">
        <v>16.0</v>
      </c>
      <c r="J1370" s="4">
        <v>57.0</v>
      </c>
      <c r="K1370" s="4">
        <v>-41.0</v>
      </c>
      <c r="L1370" s="2" t="s">
        <v>572</v>
      </c>
      <c r="M1370" s="5">
        <f>IFERROR(__xludf.DUMMYFUNCTION("""COMPUTED_VALUE"""),15.0)</f>
        <v>15</v>
      </c>
      <c r="N1370" s="5">
        <f>IFERROR(__xludf.DUMMYFUNCTION("""COMPUTED_VALUE"""),0.0)</f>
        <v>0</v>
      </c>
      <c r="O1370" s="5">
        <f>IFERROR(__xludf.DUMMYFUNCTION("""COMPUTED_VALUE"""),0.0)</f>
        <v>0</v>
      </c>
    </row>
    <row r="1371">
      <c r="A1371" s="1" t="s">
        <v>528</v>
      </c>
      <c r="B1371" s="4">
        <v>61.0</v>
      </c>
      <c r="C1371" s="1" t="s">
        <v>73</v>
      </c>
      <c r="D1371" s="4">
        <v>8.0</v>
      </c>
      <c r="E1371" s="4">
        <v>1.0</v>
      </c>
      <c r="F1371" s="4">
        <v>6.0</v>
      </c>
      <c r="G1371" s="4">
        <v>1.0</v>
      </c>
      <c r="H1371" s="4">
        <v>0.0</v>
      </c>
      <c r="I1371" s="4">
        <v>3.0</v>
      </c>
      <c r="J1371" s="4">
        <v>14.0</v>
      </c>
      <c r="K1371" s="4">
        <v>-11.0</v>
      </c>
      <c r="L1371" s="2" t="s">
        <v>549</v>
      </c>
      <c r="M1371" s="5">
        <f>IFERROR(__xludf.DUMMYFUNCTION("""COMPUTED_VALUE"""),42.0)</f>
        <v>42</v>
      </c>
      <c r="N1371" s="5">
        <f>IFERROR(__xludf.DUMMYFUNCTION("""COMPUTED_VALUE"""),0.0)</f>
        <v>0</v>
      </c>
      <c r="O1371" s="5">
        <f>IFERROR(__xludf.DUMMYFUNCTION("""COMPUTED_VALUE"""),0.0)</f>
        <v>0</v>
      </c>
    </row>
    <row r="1372">
      <c r="A1372" s="1" t="s">
        <v>528</v>
      </c>
      <c r="B1372" s="4">
        <v>62.0</v>
      </c>
      <c r="C1372" s="1" t="s">
        <v>147</v>
      </c>
      <c r="D1372" s="4">
        <v>8.0</v>
      </c>
      <c r="E1372" s="4">
        <v>4.0</v>
      </c>
      <c r="F1372" s="4">
        <v>3.0</v>
      </c>
      <c r="G1372" s="4">
        <v>1.0</v>
      </c>
      <c r="H1372" s="4">
        <v>0.0</v>
      </c>
      <c r="I1372" s="4">
        <v>9.0</v>
      </c>
      <c r="J1372" s="4">
        <v>30.0</v>
      </c>
      <c r="K1372" s="4">
        <v>-21.0</v>
      </c>
      <c r="L1372" s="2" t="s">
        <v>555</v>
      </c>
      <c r="M1372" s="5">
        <f>IFERROR(__xludf.DUMMYFUNCTION("""COMPUTED_VALUE"""),36.0)</f>
        <v>36</v>
      </c>
      <c r="N1372" s="5">
        <f>IFERROR(__xludf.DUMMYFUNCTION("""COMPUTED_VALUE"""),0.0)</f>
        <v>0</v>
      </c>
      <c r="O1372" s="5">
        <f>IFERROR(__xludf.DUMMYFUNCTION("""COMPUTED_VALUE"""),0.0)</f>
        <v>0</v>
      </c>
    </row>
    <row r="1373">
      <c r="A1373" s="1" t="s">
        <v>528</v>
      </c>
      <c r="B1373" s="4">
        <v>63.0</v>
      </c>
      <c r="C1373" s="1" t="s">
        <v>18</v>
      </c>
      <c r="D1373" s="4">
        <v>8.0</v>
      </c>
      <c r="E1373" s="4">
        <v>6.0</v>
      </c>
      <c r="F1373" s="4">
        <v>2.0</v>
      </c>
      <c r="G1373" s="4">
        <v>0.0</v>
      </c>
      <c r="H1373" s="4">
        <v>0.0</v>
      </c>
      <c r="I1373" s="4">
        <v>12.0</v>
      </c>
      <c r="J1373" s="4">
        <v>33.0</v>
      </c>
      <c r="K1373" s="4">
        <v>-21.0</v>
      </c>
      <c r="L1373" s="2" t="s">
        <v>573</v>
      </c>
      <c r="M1373" s="5">
        <f>IFERROR(__xludf.DUMMYFUNCTION("""COMPUTED_VALUE"""),22.0)</f>
        <v>22</v>
      </c>
      <c r="N1373" s="5">
        <f>IFERROR(__xludf.DUMMYFUNCTION("""COMPUTED_VALUE"""),0.0)</f>
        <v>0</v>
      </c>
      <c r="O1373" s="5">
        <f>IFERROR(__xludf.DUMMYFUNCTION("""COMPUTED_VALUE"""),0.0)</f>
        <v>0</v>
      </c>
    </row>
    <row r="1374">
      <c r="A1374" s="1" t="s">
        <v>528</v>
      </c>
      <c r="B1374" s="4">
        <v>64.0</v>
      </c>
      <c r="C1374" s="1" t="s">
        <v>161</v>
      </c>
      <c r="D1374" s="4">
        <v>8.0</v>
      </c>
      <c r="E1374" s="4">
        <v>7.0</v>
      </c>
      <c r="F1374" s="4">
        <v>0.0</v>
      </c>
      <c r="G1374" s="4">
        <v>1.0</v>
      </c>
      <c r="H1374" s="4">
        <v>0.0</v>
      </c>
      <c r="I1374" s="4">
        <v>15.0</v>
      </c>
      <c r="J1374" s="4">
        <v>36.0</v>
      </c>
      <c r="K1374" s="4">
        <v>-21.0</v>
      </c>
      <c r="L1374" s="2" t="s">
        <v>574</v>
      </c>
      <c r="M1374" s="5">
        <f>IFERROR(__xludf.DUMMYFUNCTION("""COMPUTED_VALUE"""),19.0)</f>
        <v>19</v>
      </c>
      <c r="N1374" s="5">
        <f>IFERROR(__xludf.DUMMYFUNCTION("""COMPUTED_VALUE"""),0.0)</f>
        <v>0</v>
      </c>
      <c r="O1374" s="5">
        <f>IFERROR(__xludf.DUMMYFUNCTION("""COMPUTED_VALUE"""),0.0)</f>
        <v>0</v>
      </c>
    </row>
    <row r="1375">
      <c r="A1375" s="1" t="s">
        <v>528</v>
      </c>
      <c r="B1375" s="4">
        <v>65.0</v>
      </c>
      <c r="C1375" s="1" t="s">
        <v>504</v>
      </c>
      <c r="D1375" s="4">
        <v>8.0</v>
      </c>
      <c r="E1375" s="4">
        <v>5.0</v>
      </c>
      <c r="F1375" s="4">
        <v>2.0</v>
      </c>
      <c r="G1375" s="4">
        <v>1.0</v>
      </c>
      <c r="H1375" s="4">
        <v>0.0</v>
      </c>
      <c r="I1375" s="4">
        <v>11.0</v>
      </c>
      <c r="J1375" s="4">
        <v>35.0</v>
      </c>
      <c r="K1375" s="4">
        <v>-24.0</v>
      </c>
      <c r="L1375" s="2" t="s">
        <v>574</v>
      </c>
      <c r="M1375" s="5">
        <f>IFERROR(__xludf.DUMMYFUNCTION("""COMPUTED_VALUE"""),19.0)</f>
        <v>19</v>
      </c>
      <c r="N1375" s="5">
        <f>IFERROR(__xludf.DUMMYFUNCTION("""COMPUTED_VALUE"""),0.0)</f>
        <v>0</v>
      </c>
      <c r="O1375" s="5">
        <f>IFERROR(__xludf.DUMMYFUNCTION("""COMPUTED_VALUE"""),0.0)</f>
        <v>0</v>
      </c>
    </row>
    <row r="1376">
      <c r="A1376" s="1" t="s">
        <v>528</v>
      </c>
      <c r="B1376" s="4">
        <v>66.0</v>
      </c>
      <c r="C1376" s="1" t="s">
        <v>60</v>
      </c>
      <c r="D1376" s="4">
        <v>8.0</v>
      </c>
      <c r="E1376" s="4">
        <v>5.0</v>
      </c>
      <c r="F1376" s="4">
        <v>3.0</v>
      </c>
      <c r="G1376" s="4">
        <v>0.0</v>
      </c>
      <c r="H1376" s="4">
        <v>0.0</v>
      </c>
      <c r="I1376" s="4">
        <v>10.0</v>
      </c>
      <c r="J1376" s="4">
        <v>35.0</v>
      </c>
      <c r="K1376" s="4">
        <v>-25.0</v>
      </c>
      <c r="L1376" s="2" t="s">
        <v>545</v>
      </c>
      <c r="M1376" s="5">
        <f>IFERROR(__xludf.DUMMYFUNCTION("""COMPUTED_VALUE"""),26.0)</f>
        <v>26</v>
      </c>
      <c r="N1376" s="5">
        <f>IFERROR(__xludf.DUMMYFUNCTION("""COMPUTED_VALUE"""),0.0)</f>
        <v>0</v>
      </c>
      <c r="O1376" s="5">
        <f>IFERROR(__xludf.DUMMYFUNCTION("""COMPUTED_VALUE"""),0.0)</f>
        <v>0</v>
      </c>
    </row>
    <row r="1377">
      <c r="A1377" s="1" t="s">
        <v>528</v>
      </c>
      <c r="B1377" s="4">
        <v>67.0</v>
      </c>
      <c r="C1377" s="1" t="s">
        <v>103</v>
      </c>
      <c r="D1377" s="4">
        <v>8.0</v>
      </c>
      <c r="E1377" s="4">
        <v>3.0</v>
      </c>
      <c r="F1377" s="4">
        <v>4.0</v>
      </c>
      <c r="G1377" s="4">
        <v>1.0</v>
      </c>
      <c r="H1377" s="4">
        <v>0.0</v>
      </c>
      <c r="I1377" s="4">
        <v>7.0</v>
      </c>
      <c r="J1377" s="4">
        <v>33.0</v>
      </c>
      <c r="K1377" s="4">
        <v>-26.0</v>
      </c>
      <c r="L1377" s="2" t="s">
        <v>575</v>
      </c>
      <c r="M1377" s="5">
        <f>IFERROR(__xludf.DUMMYFUNCTION("""COMPUTED_VALUE"""),28.0)</f>
        <v>28</v>
      </c>
      <c r="N1377" s="5">
        <f>IFERROR(__xludf.DUMMYFUNCTION("""COMPUTED_VALUE"""),0.0)</f>
        <v>0</v>
      </c>
      <c r="O1377" s="5">
        <f>IFERROR(__xludf.DUMMYFUNCTION("""COMPUTED_VALUE"""),0.0)</f>
        <v>0</v>
      </c>
    </row>
    <row r="1378">
      <c r="A1378" s="1" t="s">
        <v>528</v>
      </c>
      <c r="B1378" s="4">
        <v>68.0</v>
      </c>
      <c r="C1378" s="1" t="s">
        <v>33</v>
      </c>
      <c r="D1378" s="4">
        <v>8.0</v>
      </c>
      <c r="E1378" s="4">
        <v>8.0</v>
      </c>
      <c r="F1378" s="4">
        <v>0.0</v>
      </c>
      <c r="G1378" s="4">
        <v>0.0</v>
      </c>
      <c r="H1378" s="4">
        <v>0.0</v>
      </c>
      <c r="I1378" s="4">
        <v>16.0</v>
      </c>
      <c r="J1378" s="4">
        <v>50.0</v>
      </c>
      <c r="K1378" s="4">
        <v>-34.0</v>
      </c>
      <c r="L1378" s="2" t="s">
        <v>548</v>
      </c>
      <c r="M1378" s="5">
        <f>IFERROR(__xludf.DUMMYFUNCTION("""COMPUTED_VALUE"""),9.0)</f>
        <v>9</v>
      </c>
      <c r="N1378" s="5">
        <f>IFERROR(__xludf.DUMMYFUNCTION("""COMPUTED_VALUE"""),0.0)</f>
        <v>0</v>
      </c>
      <c r="O1378" s="5">
        <f>IFERROR(__xludf.DUMMYFUNCTION("""COMPUTED_VALUE"""),0.0)</f>
        <v>0</v>
      </c>
    </row>
    <row r="1379">
      <c r="A1379" s="1" t="s">
        <v>528</v>
      </c>
      <c r="B1379" s="4">
        <v>69.0</v>
      </c>
      <c r="C1379" s="1" t="s">
        <v>119</v>
      </c>
      <c r="D1379" s="4">
        <v>7.0</v>
      </c>
      <c r="E1379" s="4">
        <v>2.0</v>
      </c>
      <c r="F1379" s="4">
        <v>4.0</v>
      </c>
      <c r="G1379" s="4">
        <v>1.0</v>
      </c>
      <c r="H1379" s="4">
        <v>0.0</v>
      </c>
      <c r="I1379" s="4">
        <v>5.0</v>
      </c>
      <c r="J1379" s="4">
        <v>17.0</v>
      </c>
      <c r="K1379" s="4">
        <v>-12.0</v>
      </c>
      <c r="L1379" s="2" t="s">
        <v>573</v>
      </c>
      <c r="M1379" s="5">
        <f>IFERROR(__xludf.DUMMYFUNCTION("""COMPUTED_VALUE"""),22.0)</f>
        <v>22</v>
      </c>
      <c r="N1379" s="5">
        <f>IFERROR(__xludf.DUMMYFUNCTION("""COMPUTED_VALUE"""),0.0)</f>
        <v>0</v>
      </c>
      <c r="O1379" s="5">
        <f>IFERROR(__xludf.DUMMYFUNCTION("""COMPUTED_VALUE"""),0.0)</f>
        <v>0</v>
      </c>
    </row>
    <row r="1380">
      <c r="A1380" s="1" t="s">
        <v>528</v>
      </c>
      <c r="B1380" s="4">
        <v>70.0</v>
      </c>
      <c r="C1380" s="1" t="s">
        <v>122</v>
      </c>
      <c r="D1380" s="4">
        <v>7.0</v>
      </c>
      <c r="E1380" s="4">
        <v>2.0</v>
      </c>
      <c r="F1380" s="4">
        <v>5.0</v>
      </c>
      <c r="G1380" s="4">
        <v>0.0</v>
      </c>
      <c r="H1380" s="4">
        <v>0.0</v>
      </c>
      <c r="I1380" s="4">
        <v>4.0</v>
      </c>
      <c r="J1380" s="4">
        <v>17.0</v>
      </c>
      <c r="K1380" s="4">
        <v>-13.0</v>
      </c>
      <c r="L1380" s="2" t="s">
        <v>538</v>
      </c>
      <c r="M1380" s="5">
        <f>IFERROR(__xludf.DUMMYFUNCTION("""COMPUTED_VALUE"""),34.0)</f>
        <v>34</v>
      </c>
      <c r="N1380" s="5">
        <f>IFERROR(__xludf.DUMMYFUNCTION("""COMPUTED_VALUE"""),0.0)</f>
        <v>0</v>
      </c>
      <c r="O1380" s="5">
        <f>IFERROR(__xludf.DUMMYFUNCTION("""COMPUTED_VALUE"""),0.0)</f>
        <v>0</v>
      </c>
    </row>
    <row r="1381">
      <c r="A1381" s="1" t="s">
        <v>528</v>
      </c>
      <c r="B1381" s="4">
        <v>71.0</v>
      </c>
      <c r="C1381" s="1" t="s">
        <v>524</v>
      </c>
      <c r="D1381" s="4">
        <v>7.0</v>
      </c>
      <c r="E1381" s="4">
        <v>3.0</v>
      </c>
      <c r="F1381" s="4">
        <v>3.0</v>
      </c>
      <c r="G1381" s="4">
        <v>1.0</v>
      </c>
      <c r="H1381" s="4">
        <v>0.0</v>
      </c>
      <c r="I1381" s="4">
        <v>7.0</v>
      </c>
      <c r="J1381" s="4">
        <v>20.0</v>
      </c>
      <c r="K1381" s="4">
        <v>-13.0</v>
      </c>
      <c r="L1381" s="2" t="s">
        <v>573</v>
      </c>
      <c r="M1381" s="5">
        <f>IFERROR(__xludf.DUMMYFUNCTION("""COMPUTED_VALUE"""),22.0)</f>
        <v>22</v>
      </c>
      <c r="N1381" s="5">
        <f>IFERROR(__xludf.DUMMYFUNCTION("""COMPUTED_VALUE"""),0.0)</f>
        <v>0</v>
      </c>
      <c r="O1381" s="5">
        <f>IFERROR(__xludf.DUMMYFUNCTION("""COMPUTED_VALUE"""),0.0)</f>
        <v>0</v>
      </c>
    </row>
    <row r="1382">
      <c r="A1382" s="1" t="s">
        <v>528</v>
      </c>
      <c r="B1382" s="4">
        <v>72.0</v>
      </c>
      <c r="C1382" s="1" t="s">
        <v>101</v>
      </c>
      <c r="D1382" s="4">
        <v>7.0</v>
      </c>
      <c r="E1382" s="4">
        <v>3.0</v>
      </c>
      <c r="F1382" s="4">
        <v>3.0</v>
      </c>
      <c r="G1382" s="4">
        <v>1.0</v>
      </c>
      <c r="H1382" s="4">
        <v>0.0</v>
      </c>
      <c r="I1382" s="4">
        <v>7.0</v>
      </c>
      <c r="J1382" s="4">
        <v>21.0</v>
      </c>
      <c r="K1382" s="4">
        <v>-14.0</v>
      </c>
      <c r="L1382" s="2" t="s">
        <v>576</v>
      </c>
      <c r="M1382" s="5">
        <f>IFERROR(__xludf.DUMMYFUNCTION("""COMPUTED_VALUE"""),24.0)</f>
        <v>24</v>
      </c>
      <c r="N1382" s="5">
        <f>IFERROR(__xludf.DUMMYFUNCTION("""COMPUTED_VALUE"""),0.0)</f>
        <v>0</v>
      </c>
      <c r="O1382" s="5">
        <f>IFERROR(__xludf.DUMMYFUNCTION("""COMPUTED_VALUE"""),0.0)</f>
        <v>0</v>
      </c>
    </row>
    <row r="1383">
      <c r="A1383" s="1" t="s">
        <v>528</v>
      </c>
      <c r="B1383" s="4">
        <v>73.0</v>
      </c>
      <c r="C1383" s="1" t="s">
        <v>416</v>
      </c>
      <c r="D1383" s="4">
        <v>7.0</v>
      </c>
      <c r="E1383" s="4">
        <v>5.0</v>
      </c>
      <c r="F1383" s="4">
        <v>2.0</v>
      </c>
      <c r="G1383" s="4">
        <v>0.0</v>
      </c>
      <c r="H1383" s="4">
        <v>0.0</v>
      </c>
      <c r="I1383" s="4">
        <v>10.0</v>
      </c>
      <c r="J1383" s="4">
        <v>29.0</v>
      </c>
      <c r="K1383" s="4">
        <v>-19.0</v>
      </c>
      <c r="L1383" s="2" t="s">
        <v>577</v>
      </c>
      <c r="M1383" s="5">
        <f>IFERROR(__xludf.DUMMYFUNCTION("""COMPUTED_VALUE"""),16.0)</f>
        <v>16</v>
      </c>
      <c r="N1383" s="5">
        <f>IFERROR(__xludf.DUMMYFUNCTION("""COMPUTED_VALUE"""),0.0)</f>
        <v>0</v>
      </c>
      <c r="O1383" s="5">
        <f>IFERROR(__xludf.DUMMYFUNCTION("""COMPUTED_VALUE"""),0.0)</f>
        <v>0</v>
      </c>
    </row>
    <row r="1384">
      <c r="A1384" s="1" t="s">
        <v>528</v>
      </c>
      <c r="B1384" s="4">
        <v>74.0</v>
      </c>
      <c r="C1384" s="1" t="s">
        <v>56</v>
      </c>
      <c r="D1384" s="4">
        <v>7.0</v>
      </c>
      <c r="E1384" s="4">
        <v>5.0</v>
      </c>
      <c r="F1384" s="4">
        <v>2.0</v>
      </c>
      <c r="G1384" s="4">
        <v>0.0</v>
      </c>
      <c r="H1384" s="4">
        <v>0.0</v>
      </c>
      <c r="I1384" s="4">
        <v>10.0</v>
      </c>
      <c r="J1384" s="4">
        <v>31.0</v>
      </c>
      <c r="K1384" s="4">
        <v>-21.0</v>
      </c>
      <c r="L1384" s="2" t="s">
        <v>577</v>
      </c>
      <c r="M1384" s="5">
        <f>IFERROR(__xludf.DUMMYFUNCTION("""COMPUTED_VALUE"""),16.0)</f>
        <v>16</v>
      </c>
      <c r="N1384" s="5">
        <f>IFERROR(__xludf.DUMMYFUNCTION("""COMPUTED_VALUE"""),0.0)</f>
        <v>0</v>
      </c>
      <c r="O1384" s="5">
        <f>IFERROR(__xludf.DUMMYFUNCTION("""COMPUTED_VALUE"""),0.0)</f>
        <v>0</v>
      </c>
    </row>
    <row r="1385">
      <c r="A1385" s="1" t="s">
        <v>528</v>
      </c>
      <c r="B1385" s="4">
        <v>75.0</v>
      </c>
      <c r="C1385" s="1" t="s">
        <v>421</v>
      </c>
      <c r="D1385" s="4">
        <v>7.0</v>
      </c>
      <c r="E1385" s="4">
        <v>1.0</v>
      </c>
      <c r="F1385" s="4">
        <v>6.0</v>
      </c>
      <c r="G1385" s="4">
        <v>0.0</v>
      </c>
      <c r="H1385" s="4">
        <v>0.0</v>
      </c>
      <c r="I1385" s="4">
        <v>2.0</v>
      </c>
      <c r="J1385" s="4">
        <v>24.0</v>
      </c>
      <c r="K1385" s="4">
        <v>-22.0</v>
      </c>
      <c r="L1385" s="2" t="s">
        <v>578</v>
      </c>
      <c r="M1385" s="5">
        <f>IFERROR(__xludf.DUMMYFUNCTION("""COMPUTED_VALUE"""),37.0)</f>
        <v>37</v>
      </c>
      <c r="N1385" s="5">
        <f>IFERROR(__xludf.DUMMYFUNCTION("""COMPUTED_VALUE"""),0.0)</f>
        <v>0</v>
      </c>
      <c r="O1385" s="5">
        <f>IFERROR(__xludf.DUMMYFUNCTION("""COMPUTED_VALUE"""),0.0)</f>
        <v>0</v>
      </c>
    </row>
    <row r="1386">
      <c r="A1386" s="1" t="s">
        <v>528</v>
      </c>
      <c r="B1386" s="4">
        <v>76.0</v>
      </c>
      <c r="C1386" s="1" t="s">
        <v>496</v>
      </c>
      <c r="D1386" s="4">
        <v>7.0</v>
      </c>
      <c r="E1386" s="4">
        <v>3.0</v>
      </c>
      <c r="F1386" s="4">
        <v>4.0</v>
      </c>
      <c r="G1386" s="4">
        <v>0.0</v>
      </c>
      <c r="H1386" s="4">
        <v>0.0</v>
      </c>
      <c r="I1386" s="4">
        <v>6.0</v>
      </c>
      <c r="J1386" s="4">
        <v>29.0</v>
      </c>
      <c r="K1386" s="4">
        <v>-23.0</v>
      </c>
      <c r="L1386" s="2" t="s">
        <v>531</v>
      </c>
      <c r="M1386" s="5">
        <f>IFERROR(__xludf.DUMMYFUNCTION("""COMPUTED_VALUE"""),21.0)</f>
        <v>21</v>
      </c>
      <c r="N1386" s="5">
        <f>IFERROR(__xludf.DUMMYFUNCTION("""COMPUTED_VALUE"""),0.0)</f>
        <v>0</v>
      </c>
      <c r="O1386" s="5">
        <f>IFERROR(__xludf.DUMMYFUNCTION("""COMPUTED_VALUE"""),0.0)</f>
        <v>0</v>
      </c>
    </row>
    <row r="1387">
      <c r="A1387" s="1" t="s">
        <v>528</v>
      </c>
      <c r="B1387" s="4">
        <v>77.0</v>
      </c>
      <c r="C1387" s="1" t="s">
        <v>36</v>
      </c>
      <c r="D1387" s="4">
        <v>7.0</v>
      </c>
      <c r="E1387" s="4">
        <v>4.0</v>
      </c>
      <c r="F1387" s="4">
        <v>2.0</v>
      </c>
      <c r="G1387" s="4">
        <v>1.0</v>
      </c>
      <c r="H1387" s="4">
        <v>0.0</v>
      </c>
      <c r="I1387" s="4">
        <v>9.0</v>
      </c>
      <c r="J1387" s="4">
        <v>37.0</v>
      </c>
      <c r="K1387" s="4">
        <v>-28.0</v>
      </c>
      <c r="L1387" s="2" t="s">
        <v>547</v>
      </c>
      <c r="M1387" s="5">
        <f>IFERROR(__xludf.DUMMYFUNCTION("""COMPUTED_VALUE"""),18.0)</f>
        <v>18</v>
      </c>
      <c r="N1387" s="5">
        <f>IFERROR(__xludf.DUMMYFUNCTION("""COMPUTED_VALUE"""),0.0)</f>
        <v>0</v>
      </c>
      <c r="O1387" s="5">
        <f>IFERROR(__xludf.DUMMYFUNCTION("""COMPUTED_VALUE"""),0.0)</f>
        <v>0</v>
      </c>
    </row>
    <row r="1388">
      <c r="A1388" s="1" t="s">
        <v>528</v>
      </c>
      <c r="B1388" s="4">
        <v>78.0</v>
      </c>
      <c r="C1388" s="1" t="s">
        <v>110</v>
      </c>
      <c r="D1388" s="4">
        <v>7.0</v>
      </c>
      <c r="E1388" s="4">
        <v>6.0</v>
      </c>
      <c r="F1388" s="4">
        <v>1.0</v>
      </c>
      <c r="G1388" s="4">
        <v>0.0</v>
      </c>
      <c r="H1388" s="4">
        <v>0.0</v>
      </c>
      <c r="I1388" s="4">
        <v>12.0</v>
      </c>
      <c r="J1388" s="4">
        <v>45.0</v>
      </c>
      <c r="K1388" s="4">
        <v>-33.0</v>
      </c>
      <c r="L1388" s="2" t="s">
        <v>579</v>
      </c>
      <c r="M1388" s="5">
        <f>IFERROR(__xludf.DUMMYFUNCTION("""COMPUTED_VALUE"""),11.0)</f>
        <v>11</v>
      </c>
      <c r="N1388" s="5">
        <f>IFERROR(__xludf.DUMMYFUNCTION("""COMPUTED_VALUE"""),0.0)</f>
        <v>0</v>
      </c>
      <c r="O1388" s="5">
        <f>IFERROR(__xludf.DUMMYFUNCTION("""COMPUTED_VALUE"""),0.0)</f>
        <v>0</v>
      </c>
    </row>
    <row r="1389">
      <c r="A1389" s="1" t="s">
        <v>528</v>
      </c>
      <c r="B1389" s="4">
        <v>79.0</v>
      </c>
      <c r="C1389" s="1" t="s">
        <v>441</v>
      </c>
      <c r="D1389" s="4">
        <v>6.0</v>
      </c>
      <c r="E1389" s="4">
        <v>0.0</v>
      </c>
      <c r="F1389" s="4">
        <v>6.0</v>
      </c>
      <c r="G1389" s="4">
        <v>0.0</v>
      </c>
      <c r="H1389" s="4">
        <v>0.0</v>
      </c>
      <c r="I1389" s="4">
        <v>0.0</v>
      </c>
      <c r="J1389" s="4">
        <v>7.0</v>
      </c>
      <c r="K1389" s="4">
        <v>-7.0</v>
      </c>
      <c r="L1389" s="2" t="s">
        <v>549</v>
      </c>
      <c r="M1389" s="5">
        <f>IFERROR(__xludf.DUMMYFUNCTION("""COMPUTED_VALUE"""),42.0)</f>
        <v>42</v>
      </c>
      <c r="N1389" s="5">
        <f>IFERROR(__xludf.DUMMYFUNCTION("""COMPUTED_VALUE"""),0.0)</f>
        <v>0</v>
      </c>
      <c r="O1389" s="5">
        <f>IFERROR(__xludf.DUMMYFUNCTION("""COMPUTED_VALUE"""),0.0)</f>
        <v>0</v>
      </c>
    </row>
    <row r="1390">
      <c r="A1390" s="1" t="s">
        <v>528</v>
      </c>
      <c r="B1390" s="4">
        <v>80.0</v>
      </c>
      <c r="C1390" s="1" t="s">
        <v>62</v>
      </c>
      <c r="D1390" s="4">
        <v>6.0</v>
      </c>
      <c r="E1390" s="4">
        <v>2.0</v>
      </c>
      <c r="F1390" s="4">
        <v>4.0</v>
      </c>
      <c r="G1390" s="4">
        <v>0.0</v>
      </c>
      <c r="H1390" s="4">
        <v>0.0</v>
      </c>
      <c r="I1390" s="4">
        <v>4.0</v>
      </c>
      <c r="J1390" s="4">
        <v>19.0</v>
      </c>
      <c r="K1390" s="4">
        <v>-15.0</v>
      </c>
      <c r="L1390" s="2" t="s">
        <v>580</v>
      </c>
      <c r="M1390" s="5">
        <f>IFERROR(__xludf.DUMMYFUNCTION("""COMPUTED_VALUE"""),20.0)</f>
        <v>20</v>
      </c>
      <c r="N1390" s="5">
        <f>IFERROR(__xludf.DUMMYFUNCTION("""COMPUTED_VALUE"""),0.0)</f>
        <v>0</v>
      </c>
      <c r="O1390" s="5">
        <f>IFERROR(__xludf.DUMMYFUNCTION("""COMPUTED_VALUE"""),0.0)</f>
        <v>0</v>
      </c>
    </row>
    <row r="1391">
      <c r="A1391" s="1" t="s">
        <v>528</v>
      </c>
      <c r="B1391" s="4">
        <v>81.0</v>
      </c>
      <c r="C1391" s="1" t="s">
        <v>68</v>
      </c>
      <c r="D1391" s="4">
        <v>6.0</v>
      </c>
      <c r="E1391" s="4">
        <v>0.0</v>
      </c>
      <c r="F1391" s="4">
        <v>6.0</v>
      </c>
      <c r="G1391" s="4">
        <v>0.0</v>
      </c>
      <c r="H1391" s="4">
        <v>0.0</v>
      </c>
      <c r="I1391" s="4">
        <v>0.0</v>
      </c>
      <c r="J1391" s="4">
        <v>19.0</v>
      </c>
      <c r="K1391" s="4">
        <v>-19.0</v>
      </c>
      <c r="L1391" s="2" t="s">
        <v>561</v>
      </c>
      <c r="M1391" s="5">
        <f>IFERROR(__xludf.DUMMYFUNCTION("""COMPUTED_VALUE"""),43.0)</f>
        <v>43</v>
      </c>
      <c r="N1391" s="5">
        <f>IFERROR(__xludf.DUMMYFUNCTION("""COMPUTED_VALUE"""),0.0)</f>
        <v>0</v>
      </c>
      <c r="O1391" s="5">
        <f>IFERROR(__xludf.DUMMYFUNCTION("""COMPUTED_VALUE"""),0.0)</f>
        <v>0</v>
      </c>
    </row>
    <row r="1392">
      <c r="A1392" s="1" t="s">
        <v>528</v>
      </c>
      <c r="B1392" s="4">
        <v>82.0</v>
      </c>
      <c r="C1392" s="1" t="s">
        <v>39</v>
      </c>
      <c r="D1392" s="4">
        <v>6.0</v>
      </c>
      <c r="E1392" s="4">
        <v>5.0</v>
      </c>
      <c r="F1392" s="4">
        <v>1.0</v>
      </c>
      <c r="G1392" s="4">
        <v>0.0</v>
      </c>
      <c r="H1392" s="4">
        <v>0.0</v>
      </c>
      <c r="I1392" s="4">
        <v>10.0</v>
      </c>
      <c r="J1392" s="4">
        <v>31.0</v>
      </c>
      <c r="K1392" s="4">
        <v>-21.0</v>
      </c>
      <c r="L1392" s="2" t="s">
        <v>559</v>
      </c>
      <c r="M1392" s="5">
        <f>IFERROR(__xludf.DUMMYFUNCTION("""COMPUTED_VALUE"""),29.0)</f>
        <v>29</v>
      </c>
      <c r="N1392" s="5">
        <f>IFERROR(__xludf.DUMMYFUNCTION("""COMPUTED_VALUE"""),0.0)</f>
        <v>0</v>
      </c>
      <c r="O1392" s="5">
        <f>IFERROR(__xludf.DUMMYFUNCTION("""COMPUTED_VALUE"""),0.0)</f>
        <v>0</v>
      </c>
    </row>
    <row r="1393">
      <c r="A1393" s="1" t="s">
        <v>528</v>
      </c>
      <c r="B1393" s="4">
        <v>83.0</v>
      </c>
      <c r="C1393" s="1" t="s">
        <v>16</v>
      </c>
      <c r="D1393" s="4">
        <v>6.0</v>
      </c>
      <c r="E1393" s="4">
        <v>5.0</v>
      </c>
      <c r="F1393" s="4">
        <v>1.0</v>
      </c>
      <c r="G1393" s="4">
        <v>0.0</v>
      </c>
      <c r="H1393" s="4">
        <v>0.0</v>
      </c>
      <c r="I1393" s="4">
        <v>10.0</v>
      </c>
      <c r="J1393" s="4">
        <v>41.0</v>
      </c>
      <c r="K1393" s="4">
        <v>-31.0</v>
      </c>
      <c r="L1393" s="2" t="s">
        <v>547</v>
      </c>
      <c r="M1393" s="5">
        <f>IFERROR(__xludf.DUMMYFUNCTION("""COMPUTED_VALUE"""),18.0)</f>
        <v>18</v>
      </c>
      <c r="N1393" s="5">
        <f>IFERROR(__xludf.DUMMYFUNCTION("""COMPUTED_VALUE"""),0.0)</f>
        <v>0</v>
      </c>
      <c r="O1393" s="5">
        <f>IFERROR(__xludf.DUMMYFUNCTION("""COMPUTED_VALUE"""),0.0)</f>
        <v>0</v>
      </c>
    </row>
    <row r="1394">
      <c r="A1394" s="1" t="s">
        <v>528</v>
      </c>
      <c r="B1394" s="4">
        <v>84.0</v>
      </c>
      <c r="C1394" s="1" t="s">
        <v>112</v>
      </c>
      <c r="D1394" s="4">
        <v>5.0</v>
      </c>
      <c r="E1394" s="4">
        <v>1.0</v>
      </c>
      <c r="F1394" s="4">
        <v>3.0</v>
      </c>
      <c r="G1394" s="4">
        <v>1.0</v>
      </c>
      <c r="H1394" s="4">
        <v>0.0</v>
      </c>
      <c r="I1394" s="4">
        <v>3.0</v>
      </c>
      <c r="J1394" s="4">
        <v>12.0</v>
      </c>
      <c r="K1394" s="4">
        <v>-9.0</v>
      </c>
      <c r="L1394" s="2" t="s">
        <v>560</v>
      </c>
      <c r="M1394" s="5">
        <f>IFERROR(__xludf.DUMMYFUNCTION("""COMPUTED_VALUE"""),33.0)</f>
        <v>33</v>
      </c>
      <c r="N1394" s="5">
        <f>IFERROR(__xludf.DUMMYFUNCTION("""COMPUTED_VALUE"""),0.0)</f>
        <v>0</v>
      </c>
      <c r="O1394" s="5">
        <f>IFERROR(__xludf.DUMMYFUNCTION("""COMPUTED_VALUE"""),0.0)</f>
        <v>0</v>
      </c>
    </row>
    <row r="1395">
      <c r="A1395" s="1" t="s">
        <v>528</v>
      </c>
      <c r="B1395" s="4">
        <v>85.0</v>
      </c>
      <c r="C1395" s="1" t="s">
        <v>154</v>
      </c>
      <c r="D1395" s="4">
        <v>5.0</v>
      </c>
      <c r="E1395" s="4">
        <v>1.0</v>
      </c>
      <c r="F1395" s="4">
        <v>4.0</v>
      </c>
      <c r="G1395" s="4">
        <v>0.0</v>
      </c>
      <c r="H1395" s="4">
        <v>0.0</v>
      </c>
      <c r="I1395" s="4">
        <v>2.0</v>
      </c>
      <c r="J1395" s="4">
        <v>19.0</v>
      </c>
      <c r="K1395" s="4">
        <v>-17.0</v>
      </c>
      <c r="L1395" s="2" t="s">
        <v>534</v>
      </c>
      <c r="M1395" s="5">
        <f>IFERROR(__xludf.DUMMYFUNCTION("""COMPUTED_VALUE"""),35.0)</f>
        <v>35</v>
      </c>
      <c r="N1395" s="5">
        <f>IFERROR(__xludf.DUMMYFUNCTION("""COMPUTED_VALUE"""),0.0)</f>
        <v>0</v>
      </c>
      <c r="O1395" s="5">
        <f>IFERROR(__xludf.DUMMYFUNCTION("""COMPUTED_VALUE"""),0.0)</f>
        <v>0</v>
      </c>
    </row>
    <row r="1396">
      <c r="A1396" s="1" t="s">
        <v>528</v>
      </c>
      <c r="B1396" s="4">
        <v>86.0</v>
      </c>
      <c r="C1396" s="1" t="s">
        <v>83</v>
      </c>
      <c r="D1396" s="4">
        <v>5.0</v>
      </c>
      <c r="E1396" s="4">
        <v>4.0</v>
      </c>
      <c r="F1396" s="4">
        <v>1.0</v>
      </c>
      <c r="G1396" s="4">
        <v>0.0</v>
      </c>
      <c r="H1396" s="4">
        <v>0.0</v>
      </c>
      <c r="I1396" s="4">
        <v>8.0</v>
      </c>
      <c r="J1396" s="4">
        <v>27.0</v>
      </c>
      <c r="K1396" s="4">
        <v>-19.0</v>
      </c>
      <c r="L1396" s="2" t="s">
        <v>579</v>
      </c>
      <c r="M1396" s="5">
        <f>IFERROR(__xludf.DUMMYFUNCTION("""COMPUTED_VALUE"""),11.0)</f>
        <v>11</v>
      </c>
      <c r="N1396" s="5">
        <f>IFERROR(__xludf.DUMMYFUNCTION("""COMPUTED_VALUE"""),0.0)</f>
        <v>0</v>
      </c>
      <c r="O1396" s="5">
        <f>IFERROR(__xludf.DUMMYFUNCTION("""COMPUTED_VALUE"""),0.0)</f>
        <v>0</v>
      </c>
    </row>
    <row r="1397">
      <c r="A1397" s="1" t="s">
        <v>528</v>
      </c>
      <c r="B1397" s="4">
        <v>87.0</v>
      </c>
      <c r="C1397" s="1" t="s">
        <v>156</v>
      </c>
      <c r="D1397" s="4">
        <v>4.0</v>
      </c>
      <c r="E1397" s="4">
        <v>0.0</v>
      </c>
      <c r="F1397" s="4">
        <v>4.0</v>
      </c>
      <c r="G1397" s="4">
        <v>0.0</v>
      </c>
      <c r="H1397" s="4">
        <v>0.0</v>
      </c>
      <c r="I1397" s="4">
        <v>0.0</v>
      </c>
      <c r="J1397" s="4">
        <v>7.0</v>
      </c>
      <c r="K1397" s="4">
        <v>-7.0</v>
      </c>
      <c r="L1397" s="2" t="s">
        <v>574</v>
      </c>
      <c r="M1397" s="5">
        <f>IFERROR(__xludf.DUMMYFUNCTION("""COMPUTED_VALUE"""),19.0)</f>
        <v>19</v>
      </c>
      <c r="N1397" s="5">
        <f>IFERROR(__xludf.DUMMYFUNCTION("""COMPUTED_VALUE"""),0.0)</f>
        <v>0</v>
      </c>
      <c r="O1397" s="5">
        <f>IFERROR(__xludf.DUMMYFUNCTION("""COMPUTED_VALUE"""),0.0)</f>
        <v>0</v>
      </c>
    </row>
    <row r="1398">
      <c r="A1398" s="1" t="s">
        <v>528</v>
      </c>
      <c r="B1398" s="4">
        <v>88.0</v>
      </c>
      <c r="C1398" s="1" t="s">
        <v>149</v>
      </c>
      <c r="D1398" s="4">
        <v>3.0</v>
      </c>
      <c r="E1398" s="4">
        <v>2.0</v>
      </c>
      <c r="F1398" s="4">
        <v>0.0</v>
      </c>
      <c r="G1398" s="4">
        <v>1.0</v>
      </c>
      <c r="H1398" s="4">
        <v>0.0</v>
      </c>
      <c r="I1398" s="4">
        <v>5.0</v>
      </c>
      <c r="J1398" s="4">
        <v>10.0</v>
      </c>
      <c r="K1398" s="4">
        <v>-5.0</v>
      </c>
      <c r="L1398" s="2" t="s">
        <v>581</v>
      </c>
      <c r="M1398" s="5">
        <f>IFERROR(__xludf.DUMMYFUNCTION("""COMPUTED_VALUE"""),5.0)</f>
        <v>5</v>
      </c>
      <c r="N1398" s="5">
        <f>IFERROR(__xludf.DUMMYFUNCTION("""COMPUTED_VALUE"""),0.0)</f>
        <v>0</v>
      </c>
      <c r="O1398" s="5">
        <f>IFERROR(__xludf.DUMMYFUNCTION("""COMPUTED_VALUE"""),0.0)</f>
        <v>0</v>
      </c>
    </row>
    <row r="1399">
      <c r="A1399" s="1" t="s">
        <v>528</v>
      </c>
      <c r="B1399" s="4">
        <v>89.0</v>
      </c>
      <c r="C1399" s="1" t="s">
        <v>61</v>
      </c>
      <c r="D1399" s="4">
        <v>3.0</v>
      </c>
      <c r="E1399" s="4">
        <v>2.0</v>
      </c>
      <c r="F1399" s="4">
        <v>1.0</v>
      </c>
      <c r="G1399" s="4">
        <v>0.0</v>
      </c>
      <c r="H1399" s="4">
        <v>0.0</v>
      </c>
      <c r="I1399" s="4">
        <v>4.0</v>
      </c>
      <c r="J1399" s="4">
        <v>21.0</v>
      </c>
      <c r="K1399" s="4">
        <v>-17.0</v>
      </c>
      <c r="L1399" s="2" t="s">
        <v>571</v>
      </c>
      <c r="M1399" s="5">
        <f>IFERROR(__xludf.DUMMYFUNCTION("""COMPUTED_VALUE"""),14.0)</f>
        <v>14</v>
      </c>
      <c r="N1399" s="5">
        <f>IFERROR(__xludf.DUMMYFUNCTION("""COMPUTED_VALUE"""),0.0)</f>
        <v>0</v>
      </c>
      <c r="O1399" s="5">
        <f>IFERROR(__xludf.DUMMYFUNCTION("""COMPUTED_VALUE"""),0.0)</f>
        <v>0</v>
      </c>
    </row>
    <row r="1400">
      <c r="A1400" s="1" t="s">
        <v>528</v>
      </c>
      <c r="B1400" s="4">
        <v>90.0</v>
      </c>
      <c r="C1400" s="1" t="s">
        <v>98</v>
      </c>
      <c r="D1400" s="4">
        <v>2.0</v>
      </c>
      <c r="E1400" s="4">
        <v>0.0</v>
      </c>
      <c r="F1400" s="4">
        <v>1.0</v>
      </c>
      <c r="G1400" s="4">
        <v>1.0</v>
      </c>
      <c r="H1400" s="4">
        <v>0.0</v>
      </c>
      <c r="I1400" s="4">
        <v>1.0</v>
      </c>
      <c r="J1400" s="4">
        <v>2.0</v>
      </c>
      <c r="K1400" s="4">
        <v>-1.0</v>
      </c>
      <c r="L1400" s="2" t="s">
        <v>582</v>
      </c>
      <c r="M1400" s="5">
        <f>IFERROR(__xludf.DUMMYFUNCTION("""COMPUTED_VALUE"""),4.0)</f>
        <v>4</v>
      </c>
      <c r="N1400" s="5">
        <f>IFERROR(__xludf.DUMMYFUNCTION("""COMPUTED_VALUE"""),0.0)</f>
        <v>0</v>
      </c>
      <c r="O1400" s="5">
        <f>IFERROR(__xludf.DUMMYFUNCTION("""COMPUTED_VALUE"""),0.0)</f>
        <v>0</v>
      </c>
    </row>
    <row r="1401">
      <c r="A1401" s="1" t="s">
        <v>528</v>
      </c>
      <c r="B1401" s="4">
        <v>91.0</v>
      </c>
      <c r="C1401" s="1" t="s">
        <v>140</v>
      </c>
      <c r="D1401" s="4">
        <v>2.0</v>
      </c>
      <c r="E1401" s="4">
        <v>0.0</v>
      </c>
      <c r="F1401" s="4">
        <v>2.0</v>
      </c>
      <c r="G1401" s="4">
        <v>0.0</v>
      </c>
      <c r="H1401" s="4">
        <v>0.0</v>
      </c>
      <c r="I1401" s="4">
        <v>0.0</v>
      </c>
      <c r="J1401" s="4">
        <v>2.0</v>
      </c>
      <c r="K1401" s="4">
        <v>-2.0</v>
      </c>
      <c r="L1401" s="2" t="s">
        <v>579</v>
      </c>
      <c r="M1401" s="5">
        <f>IFERROR(__xludf.DUMMYFUNCTION("""COMPUTED_VALUE"""),11.0)</f>
        <v>11</v>
      </c>
      <c r="N1401" s="5">
        <f>IFERROR(__xludf.DUMMYFUNCTION("""COMPUTED_VALUE"""),0.0)</f>
        <v>0</v>
      </c>
      <c r="O1401" s="5">
        <f>IFERROR(__xludf.DUMMYFUNCTION("""COMPUTED_VALUE"""),0.0)</f>
        <v>0</v>
      </c>
    </row>
    <row r="1402">
      <c r="A1402" s="1" t="s">
        <v>528</v>
      </c>
      <c r="B1402" s="4">
        <v>92.0</v>
      </c>
      <c r="C1402" s="1" t="s">
        <v>142</v>
      </c>
      <c r="D1402" s="4">
        <v>1.0</v>
      </c>
      <c r="E1402" s="4">
        <v>0.0</v>
      </c>
      <c r="F1402" s="4">
        <v>0.0</v>
      </c>
      <c r="G1402" s="4">
        <v>1.0</v>
      </c>
      <c r="H1402" s="4">
        <v>0.0</v>
      </c>
      <c r="I1402" s="4">
        <v>1.0</v>
      </c>
      <c r="J1402" s="4">
        <v>1.0</v>
      </c>
      <c r="K1402" s="4">
        <v>0.0</v>
      </c>
      <c r="L1402" s="2" t="s">
        <v>583</v>
      </c>
      <c r="M1402" s="5">
        <f>IFERROR(__xludf.DUMMYFUNCTION("""COMPUTED_VALUE"""),1.0)</f>
        <v>1</v>
      </c>
      <c r="N1402" s="5">
        <f>IFERROR(__xludf.DUMMYFUNCTION("""COMPUTED_VALUE"""),0.0)</f>
        <v>0</v>
      </c>
      <c r="O1402" s="5">
        <f>IFERROR(__xludf.DUMMYFUNCTION("""COMPUTED_VALUE"""),0.0)</f>
        <v>0</v>
      </c>
    </row>
    <row r="1403">
      <c r="A1403" s="1" t="s">
        <v>528</v>
      </c>
      <c r="B1403" s="4">
        <v>93.0</v>
      </c>
      <c r="C1403" s="1" t="s">
        <v>584</v>
      </c>
      <c r="D1403" s="4">
        <v>0.0</v>
      </c>
      <c r="E1403" s="4">
        <v>0.0</v>
      </c>
      <c r="F1403" s="4">
        <v>0.0</v>
      </c>
      <c r="G1403" s="4">
        <v>0.0</v>
      </c>
      <c r="H1403" s="4">
        <v>0.0</v>
      </c>
      <c r="I1403" s="4">
        <v>0.0</v>
      </c>
      <c r="J1403" s="4">
        <v>0.0</v>
      </c>
      <c r="K1403" s="4">
        <v>0.0</v>
      </c>
      <c r="L1403" s="2" t="s">
        <v>585</v>
      </c>
      <c r="M1403" s="5">
        <f>IFERROR(__xludf.DUMMYFUNCTION("""COMPUTED_VALUE"""),0.0)</f>
        <v>0</v>
      </c>
      <c r="N1403" s="5">
        <f>IFERROR(__xludf.DUMMYFUNCTION("""COMPUTED_VALUE"""),0.0)</f>
        <v>0</v>
      </c>
      <c r="O1403" s="5">
        <f>IFERROR(__xludf.DUMMYFUNCTION("""COMPUTED_VALUE"""),0.0)</f>
        <v>0</v>
      </c>
    </row>
    <row r="1404">
      <c r="A1404" s="6"/>
      <c r="C1404" s="6"/>
      <c r="L1404" s="7"/>
      <c r="M1404" s="5"/>
      <c r="N1404" s="5"/>
      <c r="O1404" s="5"/>
    </row>
    <row r="1405">
      <c r="A1405" s="6"/>
      <c r="C1405" s="6"/>
      <c r="L1405" s="7"/>
      <c r="M1405" s="5"/>
      <c r="N1405" s="5"/>
      <c r="O1405" s="5"/>
    </row>
    <row r="1406">
      <c r="A1406" s="6"/>
      <c r="C1406" s="6"/>
      <c r="L1406" s="7"/>
      <c r="M1406" s="5"/>
      <c r="N1406" s="5"/>
      <c r="O1406" s="5"/>
    </row>
    <row r="1407">
      <c r="A1407" s="6"/>
      <c r="C1407" s="6"/>
      <c r="L1407" s="7"/>
      <c r="M1407" s="5"/>
      <c r="N1407" s="5"/>
      <c r="O1407" s="5"/>
    </row>
    <row r="1408">
      <c r="A1408" s="6"/>
      <c r="C1408" s="6"/>
      <c r="L1408" s="7"/>
      <c r="M1408" s="5"/>
      <c r="N1408" s="5"/>
      <c r="O1408" s="5"/>
    </row>
    <row r="1409">
      <c r="A1409" s="6"/>
      <c r="C1409" s="6"/>
      <c r="L1409" s="7"/>
      <c r="M1409" s="5"/>
      <c r="N1409" s="5"/>
      <c r="O1409" s="5"/>
    </row>
    <row r="1410">
      <c r="A1410" s="6"/>
      <c r="C1410" s="6"/>
      <c r="L1410" s="7"/>
      <c r="M1410" s="5"/>
      <c r="N1410" s="5"/>
      <c r="O1410" s="5"/>
    </row>
    <row r="1411">
      <c r="A1411" s="6"/>
      <c r="C1411" s="6"/>
      <c r="L1411" s="7"/>
      <c r="M1411" s="5"/>
      <c r="N1411" s="5"/>
      <c r="O1411" s="5"/>
    </row>
    <row r="1412">
      <c r="A1412" s="6"/>
      <c r="C1412" s="6"/>
      <c r="L1412" s="7"/>
      <c r="M1412" s="5"/>
      <c r="N1412" s="5"/>
      <c r="O1412" s="5"/>
    </row>
    <row r="1413">
      <c r="A1413" s="6"/>
      <c r="C1413" s="6"/>
      <c r="L1413" s="7"/>
      <c r="M1413" s="5"/>
      <c r="N1413" s="5"/>
      <c r="O1413" s="5"/>
    </row>
    <row r="1414">
      <c r="A1414" s="6"/>
      <c r="C1414" s="6"/>
      <c r="L1414" s="7"/>
      <c r="M1414" s="5"/>
      <c r="N1414" s="5"/>
      <c r="O1414" s="5"/>
    </row>
    <row r="1415">
      <c r="A1415" s="6"/>
      <c r="C1415" s="6"/>
      <c r="L1415" s="7"/>
      <c r="M1415" s="5"/>
      <c r="N1415" s="5"/>
      <c r="O1415" s="5"/>
    </row>
    <row r="1416">
      <c r="A1416" s="6"/>
      <c r="C1416" s="6"/>
      <c r="L1416" s="7"/>
      <c r="M1416" s="5"/>
      <c r="N1416" s="5"/>
      <c r="O1416" s="5"/>
    </row>
    <row r="1417">
      <c r="A1417" s="6"/>
      <c r="C1417" s="6"/>
      <c r="L1417" s="7"/>
      <c r="M1417" s="5"/>
      <c r="N1417" s="5"/>
      <c r="O1417" s="5"/>
    </row>
    <row r="1418">
      <c r="A1418" s="6"/>
      <c r="C1418" s="6"/>
      <c r="L1418" s="7"/>
      <c r="M1418" s="5"/>
      <c r="N1418" s="5"/>
      <c r="O1418" s="5"/>
    </row>
    <row r="1419">
      <c r="A1419" s="6"/>
      <c r="C1419" s="6"/>
      <c r="L1419" s="7"/>
      <c r="M1419" s="5"/>
      <c r="N1419" s="5"/>
      <c r="O1419" s="5"/>
    </row>
    <row r="1420">
      <c r="A1420" s="6"/>
      <c r="C1420" s="6"/>
      <c r="L1420" s="7"/>
      <c r="M1420" s="5"/>
      <c r="N1420" s="5"/>
      <c r="O1420" s="5"/>
    </row>
    <row r="1421">
      <c r="A1421" s="6"/>
      <c r="C1421" s="6"/>
      <c r="L1421" s="7"/>
      <c r="M1421" s="5"/>
      <c r="N1421" s="5"/>
      <c r="O1421" s="5"/>
    </row>
    <row r="1422">
      <c r="A1422" s="6"/>
      <c r="C1422" s="6"/>
      <c r="L1422" s="7"/>
      <c r="M1422" s="5"/>
      <c r="N1422" s="5"/>
      <c r="O1422" s="5"/>
    </row>
    <row r="1423">
      <c r="A1423" s="6"/>
      <c r="C1423" s="6"/>
      <c r="L1423" s="7"/>
      <c r="M1423" s="5"/>
      <c r="N1423" s="5"/>
      <c r="O1423" s="5"/>
    </row>
    <row r="1424">
      <c r="A1424" s="6"/>
      <c r="C1424" s="6"/>
      <c r="L1424" s="7"/>
      <c r="M1424" s="5"/>
      <c r="N1424" s="5"/>
      <c r="O1424" s="5"/>
    </row>
    <row r="1425">
      <c r="A1425" s="6"/>
      <c r="C1425" s="6"/>
      <c r="L1425" s="7"/>
      <c r="M1425" s="5"/>
      <c r="N1425" s="5"/>
      <c r="O1425" s="5"/>
    </row>
    <row r="1426">
      <c r="A1426" s="6"/>
      <c r="C1426" s="6"/>
      <c r="L1426" s="7"/>
      <c r="M1426" s="5"/>
      <c r="N1426" s="5"/>
      <c r="O1426" s="5"/>
    </row>
    <row r="1427">
      <c r="A1427" s="6"/>
      <c r="C1427" s="6"/>
      <c r="L1427" s="7"/>
      <c r="M1427" s="5"/>
      <c r="N1427" s="5"/>
      <c r="O1427" s="5"/>
    </row>
    <row r="1428">
      <c r="A1428" s="6"/>
      <c r="C1428" s="6"/>
      <c r="L1428" s="7"/>
      <c r="M1428" s="5"/>
      <c r="N1428" s="5"/>
      <c r="O1428" s="5"/>
    </row>
    <row r="1429">
      <c r="A1429" s="6"/>
      <c r="C1429" s="6"/>
      <c r="L1429" s="7"/>
      <c r="M1429" s="5"/>
      <c r="N1429" s="5"/>
      <c r="O1429" s="5"/>
    </row>
    <row r="1430">
      <c r="A1430" s="6"/>
      <c r="C1430" s="6"/>
      <c r="L1430" s="7"/>
      <c r="M1430" s="5"/>
      <c r="N1430" s="5"/>
      <c r="O1430" s="5"/>
    </row>
    <row r="1431">
      <c r="A1431" s="6"/>
      <c r="C1431" s="6"/>
      <c r="L1431" s="7"/>
      <c r="M1431" s="5"/>
      <c r="N1431" s="5"/>
      <c r="O1431" s="5"/>
    </row>
    <row r="1432">
      <c r="A1432" s="6"/>
      <c r="C1432" s="6"/>
      <c r="L1432" s="7"/>
      <c r="M1432" s="5"/>
      <c r="N1432" s="5"/>
      <c r="O1432" s="5"/>
    </row>
    <row r="1433">
      <c r="A1433" s="6"/>
      <c r="C1433" s="6"/>
      <c r="L1433" s="7"/>
      <c r="M1433" s="5"/>
      <c r="N1433" s="5"/>
      <c r="O1433" s="5"/>
    </row>
    <row r="1434">
      <c r="A1434" s="6"/>
      <c r="C1434" s="6"/>
      <c r="L1434" s="7"/>
      <c r="M1434" s="5"/>
      <c r="N1434" s="5"/>
      <c r="O1434" s="5"/>
    </row>
    <row r="1435">
      <c r="A1435" s="6"/>
      <c r="C1435" s="6"/>
      <c r="L1435" s="7"/>
      <c r="M1435" s="5"/>
      <c r="N1435" s="5"/>
      <c r="O1435" s="5"/>
    </row>
    <row r="1436">
      <c r="A1436" s="6"/>
      <c r="C1436" s="6"/>
      <c r="L1436" s="7"/>
      <c r="M1436" s="5"/>
      <c r="N1436" s="5"/>
      <c r="O1436" s="5"/>
    </row>
    <row r="1437">
      <c r="A1437" s="6"/>
      <c r="C1437" s="6"/>
      <c r="L1437" s="7"/>
      <c r="M1437" s="5"/>
      <c r="N1437" s="5"/>
      <c r="O1437" s="5"/>
    </row>
    <row r="1438">
      <c r="A1438" s="6"/>
      <c r="C1438" s="6"/>
      <c r="L1438" s="7"/>
      <c r="M1438" s="5"/>
      <c r="N1438" s="5"/>
      <c r="O1438" s="5"/>
    </row>
    <row r="1439">
      <c r="A1439" s="6"/>
      <c r="C1439" s="6"/>
      <c r="L1439" s="7"/>
      <c r="M1439" s="5"/>
      <c r="N1439" s="5"/>
      <c r="O1439" s="5"/>
    </row>
    <row r="1440">
      <c r="A1440" s="6"/>
      <c r="C1440" s="6"/>
      <c r="L1440" s="7"/>
      <c r="M1440" s="5"/>
      <c r="N1440" s="5"/>
      <c r="O1440" s="5"/>
    </row>
    <row r="1441">
      <c r="A1441" s="6"/>
      <c r="C1441" s="6"/>
      <c r="L1441" s="7"/>
      <c r="M1441" s="5"/>
      <c r="N1441" s="5"/>
      <c r="O1441" s="5"/>
    </row>
    <row r="1442">
      <c r="A1442" s="6"/>
      <c r="C1442" s="6"/>
      <c r="L1442" s="7"/>
      <c r="M1442" s="5"/>
      <c r="N1442" s="5"/>
      <c r="O1442" s="5"/>
    </row>
    <row r="1443">
      <c r="A1443" s="6"/>
      <c r="C1443" s="6"/>
      <c r="L1443" s="7"/>
      <c r="M1443" s="5"/>
      <c r="N1443" s="5"/>
      <c r="O1443" s="5"/>
    </row>
    <row r="1444">
      <c r="A1444" s="6"/>
      <c r="C1444" s="6"/>
      <c r="L1444" s="7"/>
      <c r="M1444" s="5"/>
      <c r="N1444" s="5"/>
      <c r="O1444" s="5"/>
    </row>
    <row r="1445">
      <c r="A1445" s="6"/>
      <c r="C1445" s="6"/>
      <c r="L1445" s="7"/>
      <c r="M1445" s="5"/>
      <c r="N1445" s="5"/>
      <c r="O1445" s="5"/>
    </row>
    <row r="1446">
      <c r="A1446" s="6"/>
      <c r="C1446" s="6"/>
      <c r="L1446" s="7"/>
      <c r="M1446" s="5"/>
      <c r="N1446" s="5"/>
      <c r="O1446" s="5"/>
    </row>
    <row r="1447">
      <c r="A1447" s="6"/>
      <c r="C1447" s="6"/>
      <c r="L1447" s="7"/>
      <c r="M1447" s="5"/>
      <c r="N1447" s="5"/>
      <c r="O1447" s="5"/>
    </row>
    <row r="1448">
      <c r="A1448" s="6"/>
      <c r="C1448" s="6"/>
      <c r="L1448" s="7"/>
      <c r="M1448" s="5"/>
      <c r="N1448" s="5"/>
      <c r="O1448" s="5"/>
    </row>
    <row r="1449">
      <c r="A1449" s="6"/>
      <c r="C1449" s="6"/>
      <c r="L1449" s="7"/>
      <c r="M1449" s="5"/>
      <c r="N1449" s="5"/>
      <c r="O1449" s="5"/>
    </row>
    <row r="1450">
      <c r="A1450" s="6"/>
      <c r="C1450" s="6"/>
      <c r="L1450" s="7"/>
      <c r="M1450" s="5"/>
      <c r="N1450" s="5"/>
      <c r="O1450" s="5"/>
    </row>
    <row r="1451">
      <c r="A1451" s="6"/>
      <c r="C1451" s="6"/>
      <c r="L1451" s="7"/>
      <c r="M1451" s="5"/>
      <c r="N1451" s="5"/>
      <c r="O1451" s="5"/>
    </row>
    <row r="1452">
      <c r="A1452" s="6"/>
      <c r="C1452" s="6"/>
      <c r="L1452" s="7"/>
      <c r="M1452" s="5"/>
      <c r="N1452" s="5"/>
      <c r="O1452" s="5"/>
    </row>
    <row r="1453">
      <c r="A1453" s="6"/>
      <c r="C1453" s="6"/>
      <c r="L1453" s="7"/>
      <c r="M1453" s="5"/>
      <c r="N1453" s="5"/>
      <c r="O1453" s="5"/>
    </row>
    <row r="1454">
      <c r="A1454" s="6"/>
      <c r="C1454" s="6"/>
      <c r="L1454" s="7"/>
      <c r="M1454" s="5"/>
      <c r="N1454" s="5"/>
      <c r="O1454" s="5"/>
    </row>
    <row r="1455">
      <c r="A1455" s="6"/>
      <c r="C1455" s="6"/>
      <c r="L1455" s="7"/>
      <c r="M1455" s="5"/>
      <c r="N1455" s="5"/>
      <c r="O1455" s="5"/>
    </row>
    <row r="1456">
      <c r="A1456" s="6"/>
      <c r="C1456" s="6"/>
      <c r="L1456" s="7"/>
      <c r="M1456" s="5"/>
      <c r="N1456" s="5"/>
      <c r="O1456" s="5"/>
    </row>
    <row r="1457">
      <c r="A1457" s="6"/>
      <c r="C1457" s="6"/>
      <c r="L1457" s="7"/>
      <c r="M1457" s="5"/>
      <c r="N1457" s="5"/>
      <c r="O1457" s="5"/>
    </row>
    <row r="1458">
      <c r="A1458" s="6"/>
      <c r="C1458" s="6"/>
      <c r="L1458" s="7"/>
      <c r="M1458" s="5"/>
      <c r="N1458" s="5"/>
      <c r="O1458" s="5"/>
    </row>
    <row r="1459">
      <c r="A1459" s="6"/>
      <c r="C1459" s="6"/>
      <c r="L1459" s="7"/>
      <c r="M1459" s="5"/>
      <c r="N1459" s="5"/>
      <c r="O1459" s="5"/>
    </row>
    <row r="1460">
      <c r="A1460" s="6"/>
      <c r="C1460" s="6"/>
      <c r="L1460" s="7"/>
      <c r="M1460" s="5"/>
      <c r="N1460" s="5"/>
      <c r="O1460" s="5"/>
    </row>
    <row r="1461">
      <c r="A1461" s="6"/>
      <c r="C1461" s="6"/>
      <c r="L1461" s="7"/>
      <c r="M1461" s="5"/>
      <c r="N1461" s="5"/>
      <c r="O1461" s="5"/>
    </row>
    <row r="1462">
      <c r="A1462" s="6"/>
      <c r="C1462" s="6"/>
      <c r="L1462" s="7"/>
      <c r="M1462" s="5"/>
      <c r="N1462" s="5"/>
      <c r="O1462" s="5"/>
    </row>
    <row r="1463">
      <c r="A1463" s="6"/>
      <c r="C1463" s="6"/>
      <c r="L1463" s="7"/>
      <c r="M1463" s="5"/>
      <c r="N1463" s="5"/>
      <c r="O1463" s="5"/>
    </row>
    <row r="1464">
      <c r="A1464" s="6"/>
      <c r="C1464" s="6"/>
      <c r="L1464" s="7"/>
      <c r="M1464" s="5"/>
      <c r="N1464" s="5"/>
      <c r="O1464" s="5"/>
    </row>
    <row r="1465">
      <c r="A1465" s="6"/>
      <c r="C1465" s="6"/>
      <c r="L1465" s="7"/>
      <c r="M1465" s="5"/>
      <c r="N1465" s="5"/>
      <c r="O1465" s="5"/>
    </row>
    <row r="1466">
      <c r="A1466" s="6"/>
      <c r="C1466" s="6"/>
      <c r="L1466" s="7"/>
      <c r="M1466" s="5"/>
      <c r="N1466" s="5"/>
      <c r="O1466" s="5"/>
    </row>
    <row r="1467">
      <c r="A1467" s="6"/>
      <c r="C1467" s="6"/>
      <c r="L1467" s="7"/>
      <c r="M1467" s="5"/>
      <c r="N1467" s="5"/>
      <c r="O1467" s="5"/>
    </row>
    <row r="1468">
      <c r="A1468" s="6"/>
      <c r="C1468" s="6"/>
      <c r="L1468" s="7"/>
      <c r="M1468" s="5"/>
      <c r="N1468" s="5"/>
      <c r="O1468" s="5"/>
    </row>
    <row r="1469">
      <c r="A1469" s="6"/>
      <c r="C1469" s="6"/>
      <c r="L1469" s="7"/>
      <c r="M1469" s="5"/>
      <c r="N1469" s="5"/>
      <c r="O1469" s="5"/>
    </row>
    <row r="1470">
      <c r="A1470" s="6"/>
      <c r="C1470" s="6"/>
      <c r="L1470" s="7"/>
      <c r="M1470" s="5"/>
      <c r="N1470" s="5"/>
      <c r="O1470" s="5"/>
    </row>
    <row r="1471">
      <c r="A1471" s="6"/>
      <c r="C1471" s="6"/>
      <c r="L1471" s="7"/>
      <c r="M1471" s="5"/>
      <c r="N1471" s="5"/>
      <c r="O1471" s="5"/>
    </row>
    <row r="1472">
      <c r="A1472" s="6"/>
      <c r="C1472" s="6"/>
      <c r="L1472" s="7"/>
      <c r="M1472" s="5"/>
      <c r="N1472" s="5"/>
      <c r="O1472" s="5"/>
    </row>
    <row r="1473">
      <c r="A1473" s="6"/>
      <c r="C1473" s="6"/>
      <c r="L1473" s="7"/>
      <c r="M1473" s="5"/>
      <c r="N1473" s="5"/>
      <c r="O1473" s="5"/>
    </row>
    <row r="1474">
      <c r="A1474" s="6"/>
      <c r="C1474" s="6"/>
      <c r="L1474" s="7"/>
      <c r="M1474" s="5"/>
      <c r="N1474" s="5"/>
      <c r="O1474" s="5"/>
    </row>
    <row r="1475">
      <c r="A1475" s="6"/>
      <c r="C1475" s="6"/>
      <c r="L1475" s="7"/>
      <c r="M1475" s="5"/>
      <c r="N1475" s="5"/>
      <c r="O1475" s="5"/>
    </row>
    <row r="1476">
      <c r="A1476" s="6"/>
      <c r="C1476" s="6"/>
      <c r="L1476" s="7"/>
      <c r="M1476" s="5"/>
      <c r="N1476" s="5"/>
      <c r="O1476" s="5"/>
    </row>
    <row r="1477">
      <c r="A1477" s="6"/>
      <c r="C1477" s="6"/>
      <c r="L1477" s="7"/>
      <c r="M1477" s="5"/>
      <c r="N1477" s="5"/>
      <c r="O1477" s="5"/>
    </row>
    <row r="1478">
      <c r="A1478" s="6"/>
      <c r="C1478" s="6"/>
      <c r="L1478" s="7"/>
      <c r="M1478" s="5"/>
      <c r="N1478" s="5"/>
      <c r="O1478" s="5"/>
    </row>
    <row r="1479">
      <c r="A1479" s="6"/>
      <c r="C1479" s="6"/>
      <c r="L1479" s="7"/>
      <c r="M1479" s="5"/>
      <c r="N1479" s="5"/>
      <c r="O1479" s="5"/>
    </row>
    <row r="1480">
      <c r="A1480" s="6"/>
      <c r="C1480" s="6"/>
      <c r="L1480" s="7"/>
      <c r="M1480" s="5"/>
      <c r="N1480" s="5"/>
      <c r="O1480" s="5"/>
    </row>
    <row r="1481">
      <c r="A1481" s="6"/>
      <c r="C1481" s="6"/>
      <c r="L1481" s="7"/>
      <c r="M1481" s="5"/>
      <c r="N1481" s="5"/>
      <c r="O1481" s="5"/>
    </row>
    <row r="1482">
      <c r="A1482" s="6"/>
      <c r="C1482" s="6"/>
      <c r="L1482" s="7"/>
      <c r="M1482" s="5"/>
      <c r="N1482" s="5"/>
      <c r="O1482" s="5"/>
    </row>
    <row r="1483">
      <c r="A1483" s="6"/>
      <c r="C1483" s="6"/>
      <c r="L1483" s="7"/>
      <c r="M1483" s="5"/>
      <c r="N1483" s="5"/>
      <c r="O1483" s="5"/>
    </row>
    <row r="1484">
      <c r="A1484" s="6"/>
      <c r="C1484" s="6"/>
      <c r="L1484" s="7"/>
      <c r="M1484" s="5"/>
      <c r="N1484" s="5"/>
      <c r="O1484" s="5"/>
    </row>
    <row r="1485">
      <c r="A1485" s="6"/>
      <c r="C1485" s="6"/>
      <c r="L1485" s="7"/>
      <c r="M1485" s="5"/>
      <c r="N1485" s="5"/>
      <c r="O1485" s="5"/>
    </row>
    <row r="1486">
      <c r="A1486" s="6"/>
      <c r="C1486" s="6"/>
      <c r="L1486" s="7"/>
      <c r="M1486" s="5"/>
      <c r="N1486" s="5"/>
      <c r="O1486" s="5"/>
    </row>
    <row r="1487">
      <c r="A1487" s="6"/>
      <c r="C1487" s="6"/>
      <c r="L1487" s="7"/>
      <c r="M1487" s="5"/>
      <c r="N1487" s="5"/>
      <c r="O1487" s="5"/>
    </row>
    <row r="1488">
      <c r="A1488" s="6"/>
      <c r="C1488" s="6"/>
      <c r="L1488" s="7"/>
      <c r="M1488" s="5"/>
      <c r="N1488" s="5"/>
      <c r="O1488" s="5"/>
    </row>
    <row r="1489">
      <c r="A1489" s="6"/>
      <c r="C1489" s="6"/>
      <c r="L1489" s="7"/>
      <c r="M1489" s="5"/>
      <c r="N1489" s="5"/>
      <c r="O1489" s="5"/>
    </row>
    <row r="1490">
      <c r="A1490" s="6"/>
      <c r="C1490" s="6"/>
      <c r="L1490" s="7"/>
      <c r="M1490" s="5"/>
      <c r="N1490" s="5"/>
      <c r="O1490" s="5"/>
    </row>
    <row r="1491">
      <c r="A1491" s="6"/>
      <c r="C1491" s="6"/>
      <c r="L1491" s="7"/>
      <c r="M1491" s="5"/>
      <c r="N1491" s="5"/>
      <c r="O1491" s="5"/>
    </row>
    <row r="1492">
      <c r="A1492" s="6"/>
      <c r="C1492" s="6"/>
      <c r="L1492" s="7"/>
      <c r="M1492" s="5"/>
      <c r="N1492" s="5"/>
      <c r="O1492" s="5"/>
    </row>
    <row r="1493">
      <c r="A1493" s="6"/>
      <c r="C1493" s="6"/>
      <c r="L1493" s="7"/>
      <c r="M1493" s="5"/>
      <c r="N1493" s="5"/>
      <c r="O1493" s="5"/>
    </row>
    <row r="1494">
      <c r="A1494" s="6"/>
      <c r="C1494" s="6"/>
      <c r="L1494" s="7"/>
      <c r="M1494" s="5"/>
      <c r="N1494" s="5"/>
      <c r="O1494" s="5"/>
    </row>
    <row r="1495">
      <c r="A1495" s="6"/>
      <c r="C1495" s="6"/>
      <c r="L1495" s="7"/>
      <c r="M1495" s="5"/>
      <c r="N1495" s="5"/>
      <c r="O1495" s="5"/>
    </row>
    <row r="1496">
      <c r="A1496" s="6"/>
      <c r="C1496" s="6"/>
      <c r="L1496" s="7"/>
      <c r="M1496" s="5"/>
      <c r="N1496" s="5"/>
      <c r="O1496" s="5"/>
    </row>
    <row r="1497">
      <c r="A1497" s="6"/>
      <c r="C1497" s="6"/>
      <c r="L1497" s="7"/>
      <c r="M1497" s="5"/>
      <c r="N1497" s="5"/>
      <c r="O1497" s="5"/>
    </row>
    <row r="1498">
      <c r="A1498" s="6"/>
      <c r="C1498" s="6"/>
      <c r="L1498" s="7"/>
      <c r="M1498" s="5"/>
      <c r="N1498" s="5"/>
      <c r="O1498" s="5"/>
    </row>
    <row r="1499">
      <c r="A1499" s="6"/>
      <c r="C1499" s="6"/>
      <c r="L1499" s="7"/>
      <c r="M1499" s="5"/>
      <c r="N1499" s="5"/>
      <c r="O1499" s="5"/>
    </row>
    <row r="1500">
      <c r="A1500" s="6"/>
      <c r="C1500" s="6"/>
      <c r="L1500" s="7"/>
      <c r="M1500" s="5"/>
      <c r="N1500" s="5"/>
      <c r="O1500" s="5"/>
    </row>
    <row r="1501">
      <c r="A1501" s="6"/>
      <c r="C1501" s="6"/>
      <c r="L1501" s="7"/>
      <c r="M1501" s="5"/>
      <c r="N1501" s="5"/>
      <c r="O1501" s="5"/>
    </row>
    <row r="1502">
      <c r="A1502" s="6"/>
      <c r="C1502" s="6"/>
      <c r="L1502" s="7"/>
      <c r="M1502" s="5"/>
      <c r="N1502" s="5"/>
      <c r="O1502" s="5"/>
    </row>
    <row r="1503">
      <c r="A1503" s="6"/>
      <c r="C1503" s="6"/>
      <c r="L1503" s="7"/>
      <c r="M1503" s="5"/>
      <c r="N1503" s="5"/>
      <c r="O1503" s="5"/>
    </row>
    <row r="1504">
      <c r="A1504" s="6"/>
      <c r="C1504" s="6"/>
      <c r="L1504" s="7"/>
      <c r="M1504" s="5"/>
      <c r="N1504" s="5"/>
      <c r="O1504" s="5"/>
    </row>
    <row r="1505">
      <c r="A1505" s="6"/>
      <c r="C1505" s="6"/>
      <c r="L1505" s="7"/>
      <c r="M1505" s="5"/>
      <c r="N1505" s="5"/>
      <c r="O1505" s="5"/>
    </row>
    <row r="1506">
      <c r="A1506" s="6"/>
      <c r="C1506" s="6"/>
      <c r="L1506" s="7"/>
      <c r="M1506" s="5"/>
      <c r="N1506" s="5"/>
      <c r="O1506" s="5"/>
    </row>
    <row r="1507">
      <c r="A1507" s="6"/>
      <c r="C1507" s="6"/>
      <c r="L1507" s="7"/>
      <c r="M1507" s="5"/>
      <c r="N1507" s="5"/>
      <c r="O1507" s="5"/>
    </row>
    <row r="1508">
      <c r="A1508" s="6"/>
      <c r="C1508" s="6"/>
      <c r="L1508" s="7"/>
      <c r="M1508" s="5"/>
      <c r="N1508" s="5"/>
      <c r="O1508" s="5"/>
    </row>
    <row r="1509">
      <c r="A1509" s="6"/>
      <c r="C1509" s="6"/>
      <c r="L1509" s="7"/>
      <c r="M1509" s="5"/>
      <c r="N1509" s="5"/>
      <c r="O1509" s="5"/>
    </row>
    <row r="1510">
      <c r="A1510" s="6"/>
      <c r="C1510" s="6"/>
      <c r="L1510" s="7"/>
      <c r="M1510" s="5"/>
      <c r="N1510" s="5"/>
      <c r="O1510" s="5"/>
    </row>
    <row r="1511">
      <c r="A1511" s="6"/>
      <c r="C1511" s="6"/>
      <c r="L1511" s="7"/>
      <c r="M1511" s="5"/>
      <c r="N1511" s="5"/>
      <c r="O1511" s="5"/>
    </row>
    <row r="1512">
      <c r="A1512" s="6"/>
      <c r="C1512" s="6"/>
      <c r="L1512" s="7"/>
      <c r="M1512" s="5"/>
      <c r="N1512" s="5"/>
      <c r="O1512" s="5"/>
    </row>
    <row r="1513">
      <c r="A1513" s="6"/>
      <c r="C1513" s="6"/>
      <c r="L1513" s="7"/>
      <c r="M1513" s="5"/>
      <c r="N1513" s="5"/>
      <c r="O1513" s="5"/>
    </row>
    <row r="1514">
      <c r="A1514" s="6"/>
      <c r="C1514" s="6"/>
      <c r="L1514" s="7"/>
      <c r="M1514" s="5"/>
      <c r="N1514" s="5"/>
      <c r="O1514" s="5"/>
    </row>
    <row r="1515">
      <c r="A1515" s="6"/>
      <c r="C1515" s="6"/>
      <c r="L1515" s="7"/>
      <c r="M1515" s="5"/>
      <c r="N1515" s="5"/>
      <c r="O1515" s="5"/>
    </row>
    <row r="1516">
      <c r="A1516" s="6"/>
      <c r="C1516" s="6"/>
      <c r="L1516" s="7"/>
      <c r="M1516" s="5"/>
      <c r="N1516" s="5"/>
      <c r="O1516" s="5"/>
    </row>
    <row r="1517">
      <c r="A1517" s="6"/>
      <c r="C1517" s="6"/>
      <c r="L1517" s="7"/>
      <c r="M1517" s="5"/>
      <c r="N1517" s="5"/>
      <c r="O1517" s="5"/>
    </row>
    <row r="1518">
      <c r="A1518" s="6"/>
      <c r="C1518" s="6"/>
      <c r="L1518" s="7"/>
      <c r="M1518" s="5"/>
      <c r="N1518" s="5"/>
      <c r="O1518" s="5"/>
    </row>
    <row r="1519">
      <c r="A1519" s="6"/>
      <c r="C1519" s="6"/>
      <c r="L1519" s="7"/>
      <c r="M1519" s="5"/>
      <c r="N1519" s="5"/>
      <c r="O1519" s="5"/>
    </row>
    <row r="1520">
      <c r="A1520" s="6"/>
      <c r="C1520" s="6"/>
      <c r="L1520" s="7"/>
      <c r="M1520" s="5"/>
      <c r="N1520" s="5"/>
      <c r="O1520" s="5"/>
    </row>
    <row r="1521">
      <c r="A1521" s="6"/>
      <c r="C1521" s="6"/>
      <c r="L1521" s="7"/>
      <c r="M1521" s="5"/>
      <c r="N1521" s="5"/>
      <c r="O1521" s="5"/>
    </row>
    <row r="1522">
      <c r="A1522" s="6"/>
      <c r="C1522" s="6"/>
      <c r="L1522" s="7"/>
      <c r="M1522" s="5"/>
      <c r="N1522" s="5"/>
      <c r="O1522" s="5"/>
    </row>
    <row r="1523">
      <c r="A1523" s="6"/>
      <c r="C1523" s="6"/>
      <c r="L1523" s="7"/>
      <c r="M1523" s="5"/>
      <c r="N1523" s="5"/>
      <c r="O1523" s="5"/>
    </row>
    <row r="1524">
      <c r="A1524" s="6"/>
      <c r="C1524" s="6"/>
      <c r="L1524" s="7"/>
      <c r="M1524" s="5"/>
      <c r="N1524" s="5"/>
      <c r="O1524" s="5"/>
    </row>
    <row r="1525">
      <c r="A1525" s="6"/>
      <c r="C1525" s="6"/>
      <c r="L1525" s="7"/>
      <c r="M1525" s="5"/>
      <c r="N1525" s="5"/>
      <c r="O1525" s="5"/>
    </row>
    <row r="1526">
      <c r="A1526" s="6"/>
      <c r="C1526" s="6"/>
      <c r="L1526" s="7"/>
      <c r="M1526" s="5"/>
      <c r="N1526" s="5"/>
      <c r="O1526" s="5"/>
    </row>
    <row r="1527">
      <c r="A1527" s="6"/>
      <c r="C1527" s="6"/>
      <c r="L1527" s="7"/>
      <c r="M1527" s="5"/>
      <c r="N1527" s="5"/>
      <c r="O1527" s="5"/>
    </row>
    <row r="1528">
      <c r="A1528" s="6"/>
      <c r="C1528" s="6"/>
      <c r="L1528" s="7"/>
      <c r="M1528" s="5"/>
      <c r="N1528" s="5"/>
      <c r="O1528" s="5"/>
    </row>
    <row r="1529">
      <c r="A1529" s="6"/>
      <c r="C1529" s="6"/>
      <c r="L1529" s="7"/>
      <c r="M1529" s="5"/>
      <c r="N1529" s="5"/>
      <c r="O1529" s="5"/>
    </row>
    <row r="1530">
      <c r="A1530" s="6"/>
      <c r="C1530" s="6"/>
      <c r="L1530" s="7"/>
      <c r="M1530" s="5"/>
      <c r="N1530" s="5"/>
      <c r="O1530" s="5"/>
    </row>
    <row r="1531">
      <c r="A1531" s="6"/>
      <c r="C1531" s="6"/>
      <c r="L1531" s="7"/>
      <c r="M1531" s="5"/>
      <c r="N1531" s="5"/>
      <c r="O1531" s="5"/>
    </row>
    <row r="1532">
      <c r="A1532" s="6"/>
      <c r="C1532" s="6"/>
      <c r="L1532" s="7"/>
      <c r="M1532" s="5"/>
      <c r="N1532" s="5"/>
      <c r="O1532" s="5"/>
    </row>
    <row r="1533">
      <c r="A1533" s="6"/>
      <c r="C1533" s="6"/>
      <c r="L1533" s="7"/>
      <c r="M1533" s="5"/>
      <c r="N1533" s="5"/>
      <c r="O1533" s="5"/>
    </row>
    <row r="1534">
      <c r="A1534" s="6"/>
      <c r="C1534" s="6"/>
      <c r="L1534" s="7"/>
      <c r="M1534" s="5"/>
      <c r="N1534" s="5"/>
      <c r="O1534" s="5"/>
    </row>
    <row r="1535">
      <c r="A1535" s="6"/>
      <c r="C1535" s="6"/>
      <c r="L1535" s="7"/>
      <c r="M1535" s="5"/>
      <c r="N1535" s="5"/>
      <c r="O1535" s="5"/>
    </row>
    <row r="1536">
      <c r="A1536" s="6"/>
      <c r="C1536" s="6"/>
      <c r="L1536" s="7"/>
      <c r="M1536" s="5"/>
      <c r="N1536" s="5"/>
      <c r="O1536" s="5"/>
    </row>
    <row r="1537">
      <c r="A1537" s="6"/>
      <c r="C1537" s="6"/>
      <c r="L1537" s="7"/>
      <c r="M1537" s="5"/>
      <c r="N1537" s="5"/>
      <c r="O1537" s="5"/>
    </row>
    <row r="1538">
      <c r="A1538" s="6"/>
      <c r="C1538" s="6"/>
      <c r="L1538" s="7"/>
      <c r="M1538" s="5"/>
      <c r="N1538" s="5"/>
      <c r="O1538" s="5"/>
    </row>
    <row r="1539">
      <c r="A1539" s="6"/>
      <c r="C1539" s="6"/>
      <c r="L1539" s="7"/>
      <c r="M1539" s="5"/>
      <c r="N1539" s="5"/>
      <c r="O1539" s="5"/>
    </row>
    <row r="1540">
      <c r="A1540" s="6"/>
      <c r="C1540" s="6"/>
      <c r="L1540" s="7"/>
      <c r="M1540" s="5"/>
      <c r="N1540" s="5"/>
      <c r="O1540" s="5"/>
    </row>
    <row r="1541">
      <c r="A1541" s="6"/>
      <c r="C1541" s="6"/>
      <c r="L1541" s="7"/>
      <c r="M1541" s="5"/>
      <c r="N1541" s="5"/>
      <c r="O1541" s="5"/>
    </row>
    <row r="1542">
      <c r="A1542" s="6"/>
      <c r="C1542" s="6"/>
      <c r="L1542" s="7"/>
      <c r="M1542" s="5"/>
      <c r="N1542" s="5"/>
      <c r="O1542" s="5"/>
    </row>
    <row r="1543">
      <c r="A1543" s="6"/>
      <c r="C1543" s="6"/>
      <c r="L1543" s="7"/>
      <c r="M1543" s="5"/>
      <c r="N1543" s="5"/>
      <c r="O1543" s="5"/>
    </row>
    <row r="1544">
      <c r="A1544" s="6"/>
      <c r="C1544" s="6"/>
      <c r="L1544" s="7"/>
      <c r="M1544" s="5"/>
      <c r="N1544" s="5"/>
      <c r="O1544" s="5"/>
    </row>
    <row r="1545">
      <c r="A1545" s="6"/>
      <c r="C1545" s="6"/>
      <c r="L1545" s="7"/>
      <c r="M1545" s="5"/>
      <c r="N1545" s="5"/>
      <c r="O1545" s="5"/>
    </row>
    <row r="1546">
      <c r="A1546" s="6"/>
      <c r="C1546" s="6"/>
      <c r="L1546" s="7"/>
      <c r="M1546" s="5"/>
      <c r="N1546" s="5"/>
      <c r="O1546" s="5"/>
    </row>
    <row r="1547">
      <c r="A1547" s="6"/>
      <c r="C1547" s="6"/>
      <c r="L1547" s="7"/>
      <c r="M1547" s="5"/>
      <c r="N1547" s="5"/>
      <c r="O1547" s="5"/>
    </row>
    <row r="1548">
      <c r="A1548" s="6"/>
      <c r="C1548" s="6"/>
      <c r="L1548" s="7"/>
      <c r="M1548" s="5"/>
      <c r="N1548" s="5"/>
      <c r="O1548" s="5"/>
    </row>
    <row r="1549">
      <c r="A1549" s="6"/>
      <c r="C1549" s="6"/>
      <c r="L1549" s="7"/>
      <c r="M1549" s="5"/>
      <c r="N1549" s="5"/>
      <c r="O1549" s="5"/>
    </row>
    <row r="1550">
      <c r="A1550" s="6"/>
      <c r="C1550" s="6"/>
      <c r="L1550" s="7"/>
      <c r="M1550" s="5"/>
      <c r="N1550" s="5"/>
      <c r="O1550" s="5"/>
    </row>
    <row r="1551">
      <c r="A1551" s="6"/>
      <c r="C1551" s="6"/>
      <c r="L1551" s="7"/>
      <c r="M1551" s="5"/>
      <c r="N1551" s="5"/>
      <c r="O1551" s="5"/>
    </row>
    <row r="1552">
      <c r="A1552" s="6"/>
      <c r="C1552" s="6"/>
      <c r="L1552" s="7"/>
      <c r="M1552" s="5"/>
      <c r="N1552" s="5"/>
      <c r="O1552" s="5"/>
    </row>
    <row r="1553">
      <c r="A1553" s="6"/>
      <c r="C1553" s="6"/>
      <c r="L1553" s="7"/>
      <c r="M1553" s="5"/>
      <c r="N1553" s="5"/>
      <c r="O1553" s="5"/>
    </row>
    <row r="1554">
      <c r="A1554" s="6"/>
      <c r="C1554" s="6"/>
      <c r="L1554" s="7"/>
      <c r="M1554" s="5"/>
      <c r="N1554" s="5"/>
      <c r="O1554" s="5"/>
    </row>
    <row r="1555">
      <c r="A1555" s="6"/>
      <c r="C1555" s="6"/>
      <c r="L1555" s="7"/>
      <c r="M1555" s="5"/>
      <c r="N1555" s="5"/>
      <c r="O1555" s="5"/>
    </row>
    <row r="1556">
      <c r="A1556" s="6"/>
      <c r="C1556" s="6"/>
      <c r="L1556" s="7"/>
      <c r="M1556" s="5"/>
      <c r="N1556" s="5"/>
      <c r="O1556" s="5"/>
    </row>
    <row r="1557">
      <c r="A1557" s="6"/>
      <c r="C1557" s="6"/>
      <c r="L1557" s="7"/>
      <c r="M1557" s="5"/>
      <c r="N1557" s="5"/>
      <c r="O1557" s="5"/>
    </row>
    <row r="1558">
      <c r="A1558" s="6"/>
      <c r="C1558" s="6"/>
      <c r="L1558" s="7"/>
      <c r="M1558" s="5"/>
      <c r="N1558" s="5"/>
      <c r="O1558" s="5"/>
    </row>
    <row r="1559">
      <c r="A1559" s="6"/>
      <c r="C1559" s="6"/>
      <c r="L1559" s="7"/>
      <c r="M1559" s="5"/>
      <c r="N1559" s="5"/>
      <c r="O1559" s="5"/>
    </row>
    <row r="1560">
      <c r="A1560" s="6"/>
      <c r="C1560" s="6"/>
      <c r="L1560" s="7"/>
      <c r="M1560" s="5"/>
      <c r="N1560" s="5"/>
      <c r="O1560" s="5"/>
    </row>
    <row r="1561">
      <c r="A1561" s="6"/>
      <c r="C1561" s="6"/>
      <c r="L1561" s="7"/>
      <c r="M1561" s="5"/>
      <c r="N1561" s="5"/>
      <c r="O1561" s="5"/>
    </row>
    <row r="1562">
      <c r="A1562" s="6"/>
      <c r="C1562" s="6"/>
      <c r="L1562" s="7"/>
      <c r="M1562" s="5"/>
      <c r="N1562" s="5"/>
      <c r="O1562" s="5"/>
    </row>
    <row r="1563">
      <c r="A1563" s="6"/>
      <c r="C1563" s="6"/>
      <c r="L1563" s="7"/>
      <c r="M1563" s="5"/>
      <c r="N1563" s="5"/>
      <c r="O1563" s="5"/>
    </row>
    <row r="1564">
      <c r="A1564" s="6"/>
      <c r="C1564" s="6"/>
      <c r="L1564" s="7"/>
      <c r="M1564" s="5"/>
      <c r="N1564" s="5"/>
      <c r="O1564" s="5"/>
    </row>
    <row r="1565">
      <c r="A1565" s="6"/>
      <c r="C1565" s="6"/>
      <c r="L1565" s="7"/>
      <c r="M1565" s="5"/>
      <c r="N1565" s="5"/>
      <c r="O1565" s="5"/>
    </row>
    <row r="1566">
      <c r="A1566" s="6"/>
      <c r="C1566" s="6"/>
      <c r="L1566" s="7"/>
      <c r="M1566" s="5"/>
      <c r="N1566" s="5"/>
      <c r="O1566" s="5"/>
    </row>
    <row r="1567">
      <c r="A1567" s="6"/>
      <c r="C1567" s="6"/>
      <c r="L1567" s="7"/>
      <c r="M1567" s="5"/>
      <c r="N1567" s="5"/>
      <c r="O1567" s="5"/>
    </row>
    <row r="1568">
      <c r="A1568" s="6"/>
      <c r="C1568" s="6"/>
      <c r="L1568" s="7"/>
      <c r="M1568" s="5"/>
      <c r="N1568" s="5"/>
      <c r="O1568" s="5"/>
    </row>
    <row r="1569">
      <c r="A1569" s="6"/>
      <c r="C1569" s="6"/>
      <c r="L1569" s="7"/>
      <c r="M1569" s="5"/>
      <c r="N1569" s="5"/>
      <c r="O1569" s="5"/>
    </row>
    <row r="1570">
      <c r="A1570" s="6"/>
      <c r="C1570" s="6"/>
      <c r="L1570" s="7"/>
      <c r="M1570" s="5"/>
      <c r="N1570" s="5"/>
      <c r="O1570" s="5"/>
    </row>
    <row r="1571">
      <c r="A1571" s="6"/>
      <c r="C1571" s="6"/>
      <c r="L1571" s="7"/>
      <c r="M1571" s="5"/>
      <c r="N1571" s="5"/>
      <c r="O1571" s="5"/>
    </row>
    <row r="1572">
      <c r="A1572" s="6"/>
      <c r="C1572" s="6"/>
      <c r="L1572" s="7"/>
      <c r="M1572" s="5"/>
      <c r="N1572" s="5"/>
      <c r="O1572" s="5"/>
    </row>
    <row r="1573">
      <c r="A1573" s="6"/>
      <c r="C1573" s="6"/>
      <c r="L1573" s="7"/>
      <c r="M1573" s="5"/>
      <c r="N1573" s="5"/>
      <c r="O1573" s="5"/>
    </row>
    <row r="1574">
      <c r="A1574" s="6"/>
      <c r="C1574" s="6"/>
      <c r="L1574" s="7"/>
      <c r="M1574" s="5"/>
      <c r="N1574" s="5"/>
      <c r="O1574" s="5"/>
    </row>
    <row r="1575">
      <c r="A1575" s="6"/>
      <c r="C1575" s="6"/>
      <c r="L1575" s="7"/>
      <c r="M1575" s="5"/>
      <c r="N1575" s="5"/>
      <c r="O1575" s="5"/>
    </row>
    <row r="1576">
      <c r="A1576" s="6"/>
      <c r="C1576" s="6"/>
      <c r="L1576" s="7"/>
      <c r="M1576" s="5"/>
      <c r="N1576" s="5"/>
      <c r="O1576" s="5"/>
    </row>
    <row r="1577">
      <c r="A1577" s="6"/>
      <c r="C1577" s="6"/>
      <c r="L1577" s="7"/>
      <c r="M1577" s="5"/>
      <c r="N1577" s="5"/>
      <c r="O1577" s="5"/>
    </row>
    <row r="1578">
      <c r="A1578" s="6"/>
      <c r="C1578" s="6"/>
      <c r="L1578" s="7"/>
      <c r="M1578" s="5"/>
      <c r="N1578" s="5"/>
      <c r="O1578" s="5"/>
    </row>
    <row r="1579">
      <c r="A1579" s="6"/>
      <c r="C1579" s="6"/>
      <c r="L1579" s="7"/>
      <c r="M1579" s="5"/>
      <c r="N1579" s="5"/>
      <c r="O1579" s="5"/>
    </row>
    <row r="1580">
      <c r="A1580" s="6"/>
      <c r="C1580" s="6"/>
      <c r="L1580" s="7"/>
      <c r="M1580" s="5"/>
      <c r="N1580" s="5"/>
      <c r="O1580" s="5"/>
    </row>
    <row r="1581">
      <c r="A1581" s="6"/>
      <c r="C1581" s="6"/>
      <c r="L1581" s="7"/>
      <c r="M1581" s="5"/>
      <c r="N1581" s="5"/>
      <c r="O1581" s="5"/>
    </row>
    <row r="1582">
      <c r="A1582" s="6"/>
      <c r="C1582" s="6"/>
      <c r="L1582" s="7"/>
      <c r="M1582" s="5"/>
      <c r="N1582" s="5"/>
      <c r="O1582" s="5"/>
    </row>
    <row r="1583">
      <c r="A1583" s="6"/>
      <c r="C1583" s="6"/>
      <c r="L1583" s="7"/>
      <c r="M1583" s="5"/>
      <c r="N1583" s="5"/>
      <c r="O1583" s="5"/>
    </row>
    <row r="1584">
      <c r="A1584" s="6"/>
      <c r="C1584" s="6"/>
      <c r="L1584" s="7"/>
      <c r="M1584" s="5"/>
      <c r="N1584" s="5"/>
      <c r="O1584" s="5"/>
    </row>
    <row r="1585">
      <c r="A1585" s="6"/>
      <c r="C1585" s="6"/>
      <c r="L1585" s="7"/>
      <c r="M1585" s="5"/>
      <c r="N1585" s="5"/>
      <c r="O1585" s="5"/>
    </row>
    <row r="1586">
      <c r="A1586" s="6"/>
      <c r="C1586" s="6"/>
      <c r="L1586" s="7"/>
      <c r="M1586" s="5"/>
      <c r="N1586" s="5"/>
      <c r="O1586" s="5"/>
    </row>
    <row r="1587">
      <c r="A1587" s="6"/>
      <c r="C1587" s="6"/>
      <c r="L1587" s="7"/>
      <c r="M1587" s="5"/>
      <c r="N1587" s="5"/>
      <c r="O1587" s="5"/>
    </row>
    <row r="1588">
      <c r="A1588" s="6"/>
      <c r="C1588" s="6"/>
      <c r="L1588" s="7"/>
      <c r="M1588" s="5"/>
      <c r="N1588" s="5"/>
      <c r="O1588" s="5"/>
    </row>
    <row r="1589">
      <c r="A1589" s="6"/>
      <c r="C1589" s="6"/>
      <c r="L1589" s="7"/>
      <c r="M1589" s="5"/>
      <c r="N1589" s="5"/>
      <c r="O1589" s="5"/>
    </row>
    <row r="1590">
      <c r="A1590" s="6"/>
      <c r="C1590" s="6"/>
      <c r="L1590" s="7"/>
      <c r="M1590" s="5"/>
      <c r="N1590" s="5"/>
      <c r="O1590" s="5"/>
    </row>
    <row r="1591">
      <c r="A1591" s="6"/>
      <c r="C1591" s="6"/>
      <c r="L1591" s="7"/>
      <c r="M1591" s="5"/>
      <c r="N1591" s="5"/>
      <c r="O1591" s="5"/>
    </row>
    <row r="1592">
      <c r="A1592" s="6"/>
      <c r="C1592" s="6"/>
      <c r="L1592" s="7"/>
      <c r="M1592" s="5"/>
      <c r="N1592" s="5"/>
      <c r="O1592" s="5"/>
    </row>
    <row r="1593">
      <c r="A1593" s="6"/>
      <c r="C1593" s="6"/>
      <c r="L1593" s="7"/>
      <c r="M1593" s="5"/>
      <c r="N1593" s="5"/>
      <c r="O1593" s="5"/>
    </row>
    <row r="1594">
      <c r="A1594" s="6"/>
      <c r="C1594" s="6"/>
      <c r="L1594" s="7"/>
      <c r="M1594" s="5"/>
      <c r="N1594" s="5"/>
      <c r="O1594" s="5"/>
    </row>
    <row r="1595">
      <c r="A1595" s="6"/>
      <c r="C1595" s="6"/>
      <c r="L1595" s="7"/>
      <c r="M1595" s="5"/>
      <c r="N1595" s="5"/>
      <c r="O1595" s="5"/>
    </row>
    <row r="1596">
      <c r="A1596" s="6"/>
      <c r="C1596" s="6"/>
      <c r="L1596" s="7"/>
      <c r="M1596" s="5"/>
      <c r="N1596" s="5"/>
      <c r="O1596" s="5"/>
    </row>
    <row r="1597">
      <c r="A1597" s="6"/>
      <c r="C1597" s="6"/>
      <c r="L1597" s="7"/>
      <c r="M1597" s="5"/>
      <c r="N1597" s="5"/>
      <c r="O1597" s="5"/>
    </row>
    <row r="1598">
      <c r="A1598" s="6"/>
      <c r="C1598" s="6"/>
      <c r="L1598" s="7"/>
      <c r="M1598" s="5"/>
      <c r="N1598" s="5"/>
      <c r="O1598" s="5"/>
    </row>
    <row r="1599">
      <c r="A1599" s="6"/>
      <c r="C1599" s="6"/>
      <c r="L1599" s="7"/>
      <c r="M1599" s="5"/>
      <c r="N1599" s="5"/>
      <c r="O1599" s="5"/>
    </row>
    <row r="1600">
      <c r="A1600" s="6"/>
      <c r="C1600" s="6"/>
      <c r="L1600" s="7"/>
      <c r="M1600" s="5"/>
      <c r="N1600" s="5"/>
      <c r="O1600" s="5"/>
    </row>
    <row r="1601">
      <c r="A1601" s="6"/>
      <c r="C1601" s="6"/>
      <c r="L1601" s="7"/>
      <c r="M1601" s="5"/>
      <c r="N1601" s="5"/>
      <c r="O1601" s="5"/>
    </row>
    <row r="1602">
      <c r="A1602" s="6"/>
      <c r="C1602" s="6"/>
      <c r="L1602" s="7"/>
      <c r="M1602" s="5"/>
      <c r="N1602" s="5"/>
      <c r="O1602" s="5"/>
    </row>
    <row r="1603">
      <c r="A1603" s="6"/>
      <c r="C1603" s="6"/>
      <c r="L1603" s="7"/>
      <c r="M1603" s="5"/>
      <c r="N1603" s="5"/>
      <c r="O1603" s="5"/>
    </row>
    <row r="1604">
      <c r="A1604" s="6"/>
      <c r="C1604" s="6"/>
      <c r="L1604" s="7"/>
      <c r="M1604" s="5"/>
      <c r="N1604" s="5"/>
      <c r="O1604" s="5"/>
    </row>
    <row r="1605">
      <c r="A1605" s="6"/>
      <c r="C1605" s="6"/>
      <c r="L1605" s="7"/>
      <c r="M1605" s="5"/>
      <c r="N1605" s="5"/>
      <c r="O1605" s="5"/>
    </row>
    <row r="1606">
      <c r="A1606" s="6"/>
      <c r="C1606" s="6"/>
      <c r="L1606" s="7"/>
      <c r="M1606" s="5"/>
      <c r="N1606" s="5"/>
      <c r="O1606" s="5"/>
    </row>
    <row r="1607">
      <c r="A1607" s="6"/>
      <c r="C1607" s="6"/>
      <c r="L1607" s="7"/>
      <c r="M1607" s="5"/>
      <c r="N1607" s="5"/>
      <c r="O1607" s="5"/>
    </row>
    <row r="1608">
      <c r="A1608" s="6"/>
      <c r="C1608" s="6"/>
      <c r="L1608" s="7"/>
      <c r="M1608" s="5"/>
      <c r="N1608" s="5"/>
      <c r="O1608" s="5"/>
    </row>
    <row r="1609">
      <c r="A1609" s="6"/>
      <c r="C1609" s="6"/>
      <c r="L1609" s="7"/>
      <c r="M1609" s="5"/>
      <c r="N1609" s="5"/>
      <c r="O1609" s="5"/>
    </row>
    <row r="1610">
      <c r="A1610" s="6"/>
      <c r="C1610" s="6"/>
      <c r="L1610" s="7"/>
      <c r="M1610" s="5"/>
      <c r="N1610" s="5"/>
      <c r="O1610" s="5"/>
    </row>
    <row r="1611">
      <c r="A1611" s="6"/>
      <c r="C1611" s="6"/>
      <c r="L1611" s="7"/>
      <c r="M1611" s="5"/>
      <c r="N1611" s="5"/>
      <c r="O1611" s="5"/>
    </row>
    <row r="1612">
      <c r="A1612" s="6"/>
      <c r="C1612" s="6"/>
      <c r="L1612" s="7"/>
      <c r="M1612" s="5"/>
      <c r="N1612" s="5"/>
      <c r="O1612" s="5"/>
    </row>
    <row r="1613">
      <c r="A1613" s="6"/>
      <c r="C1613" s="6"/>
      <c r="L1613" s="7"/>
      <c r="M1613" s="5"/>
      <c r="N1613" s="5"/>
      <c r="O1613" s="5"/>
    </row>
    <row r="1614">
      <c r="A1614" s="6"/>
      <c r="C1614" s="6"/>
      <c r="L1614" s="7"/>
      <c r="M1614" s="5"/>
      <c r="N1614" s="5"/>
      <c r="O1614" s="5"/>
    </row>
    <row r="1615">
      <c r="A1615" s="6"/>
      <c r="C1615" s="6"/>
      <c r="L1615" s="7"/>
      <c r="M1615" s="5"/>
      <c r="N1615" s="5"/>
      <c r="O1615" s="5"/>
    </row>
    <row r="1616">
      <c r="A1616" s="6"/>
      <c r="C1616" s="6"/>
      <c r="L1616" s="7"/>
      <c r="M1616" s="5"/>
      <c r="N1616" s="5"/>
      <c r="O1616" s="5"/>
    </row>
    <row r="1617">
      <c r="A1617" s="6"/>
      <c r="C1617" s="6"/>
      <c r="L1617" s="7"/>
      <c r="M1617" s="5"/>
      <c r="N1617" s="5"/>
      <c r="O1617" s="5"/>
    </row>
    <row r="1618">
      <c r="A1618" s="6"/>
      <c r="C1618" s="6"/>
      <c r="L1618" s="7"/>
      <c r="M1618" s="5"/>
      <c r="N1618" s="5"/>
      <c r="O1618" s="5"/>
    </row>
    <row r="1619">
      <c r="A1619" s="6"/>
      <c r="C1619" s="6"/>
      <c r="L1619" s="7"/>
      <c r="M1619" s="5"/>
      <c r="N1619" s="5"/>
      <c r="O1619" s="5"/>
    </row>
    <row r="1620">
      <c r="A1620" s="6"/>
      <c r="C1620" s="6"/>
      <c r="L1620" s="7"/>
      <c r="M1620" s="5"/>
      <c r="N1620" s="5"/>
      <c r="O1620" s="5"/>
    </row>
    <row r="1621">
      <c r="A1621" s="6"/>
      <c r="C1621" s="6"/>
      <c r="L1621" s="7"/>
      <c r="M1621" s="5"/>
      <c r="N1621" s="5"/>
      <c r="O1621" s="5"/>
    </row>
    <row r="1622">
      <c r="A1622" s="6"/>
      <c r="C1622" s="6"/>
      <c r="L1622" s="7"/>
      <c r="M1622" s="5"/>
      <c r="N1622" s="5"/>
      <c r="O1622" s="5"/>
    </row>
    <row r="1623">
      <c r="A1623" s="6"/>
      <c r="C1623" s="6"/>
      <c r="L1623" s="7"/>
      <c r="M1623" s="5"/>
      <c r="N1623" s="5"/>
      <c r="O1623" s="5"/>
    </row>
    <row r="1624">
      <c r="A1624" s="6"/>
      <c r="C1624" s="6"/>
      <c r="L1624" s="7"/>
      <c r="M1624" s="5"/>
      <c r="N1624" s="5"/>
      <c r="O1624" s="5"/>
    </row>
    <row r="1625">
      <c r="A1625" s="6"/>
      <c r="C1625" s="6"/>
      <c r="L1625" s="7"/>
      <c r="M1625" s="5"/>
      <c r="N1625" s="5"/>
      <c r="O1625" s="5"/>
    </row>
    <row r="1626">
      <c r="A1626" s="6"/>
      <c r="C1626" s="6"/>
      <c r="L1626" s="7"/>
      <c r="M1626" s="5"/>
      <c r="N1626" s="5"/>
      <c r="O1626" s="5"/>
    </row>
    <row r="1627">
      <c r="A1627" s="6"/>
      <c r="C1627" s="6"/>
      <c r="L1627" s="7"/>
      <c r="M1627" s="5"/>
      <c r="N1627" s="5"/>
      <c r="O1627" s="5"/>
    </row>
    <row r="1628">
      <c r="A1628" s="6"/>
      <c r="C1628" s="6"/>
      <c r="L1628" s="7"/>
      <c r="M1628" s="5"/>
      <c r="N1628" s="5"/>
      <c r="O1628" s="5"/>
    </row>
    <row r="1629">
      <c r="A1629" s="6"/>
      <c r="C1629" s="6"/>
      <c r="L1629" s="7"/>
      <c r="M1629" s="5"/>
      <c r="N1629" s="5"/>
      <c r="O1629" s="5"/>
    </row>
    <row r="1630">
      <c r="A1630" s="6"/>
      <c r="C1630" s="6"/>
      <c r="L1630" s="7"/>
      <c r="M1630" s="5"/>
      <c r="N1630" s="5"/>
      <c r="O1630" s="5"/>
    </row>
    <row r="1631">
      <c r="A1631" s="6"/>
      <c r="C1631" s="6"/>
      <c r="L1631" s="7"/>
      <c r="M1631" s="5"/>
      <c r="N1631" s="5"/>
      <c r="O1631" s="5"/>
    </row>
    <row r="1632">
      <c r="A1632" s="6"/>
      <c r="C1632" s="6"/>
      <c r="L1632" s="7"/>
      <c r="M1632" s="5"/>
      <c r="N1632" s="5"/>
      <c r="O1632" s="5"/>
    </row>
    <row r="1633">
      <c r="A1633" s="6"/>
      <c r="C1633" s="6"/>
      <c r="L1633" s="7"/>
      <c r="M1633" s="5"/>
      <c r="N1633" s="5"/>
      <c r="O1633" s="5"/>
    </row>
    <row r="1634">
      <c r="A1634" s="6"/>
      <c r="C1634" s="6"/>
      <c r="L1634" s="7"/>
      <c r="M1634" s="5"/>
      <c r="N1634" s="5"/>
      <c r="O1634" s="5"/>
    </row>
    <row r="1635">
      <c r="A1635" s="6"/>
      <c r="C1635" s="6"/>
      <c r="L1635" s="7"/>
      <c r="M1635" s="5"/>
      <c r="N1635" s="5"/>
      <c r="O1635" s="5"/>
    </row>
    <row r="1636">
      <c r="A1636" s="6"/>
      <c r="C1636" s="6"/>
      <c r="L1636" s="7"/>
      <c r="M1636" s="5"/>
      <c r="N1636" s="5"/>
      <c r="O1636" s="5"/>
    </row>
    <row r="1637">
      <c r="A1637" s="6"/>
      <c r="C1637" s="6"/>
      <c r="L1637" s="7"/>
      <c r="M1637" s="5"/>
      <c r="N1637" s="5"/>
      <c r="O1637" s="5"/>
    </row>
    <row r="1638">
      <c r="A1638" s="6"/>
      <c r="C1638" s="6"/>
      <c r="L1638" s="7"/>
      <c r="M1638" s="5"/>
      <c r="N1638" s="5"/>
      <c r="O1638" s="5"/>
    </row>
    <row r="1639">
      <c r="A1639" s="6"/>
      <c r="C1639" s="6"/>
      <c r="L1639" s="7"/>
      <c r="M1639" s="5"/>
      <c r="N1639" s="5"/>
      <c r="O1639" s="5"/>
    </row>
    <row r="1640">
      <c r="A1640" s="6"/>
      <c r="C1640" s="6"/>
      <c r="L1640" s="7"/>
      <c r="M1640" s="5"/>
      <c r="N1640" s="5"/>
      <c r="O1640" s="5"/>
    </row>
    <row r="1641">
      <c r="A1641" s="6"/>
      <c r="C1641" s="6"/>
      <c r="L1641" s="7"/>
      <c r="M1641" s="5"/>
      <c r="N1641" s="5"/>
      <c r="O1641" s="5"/>
    </row>
    <row r="1642">
      <c r="A1642" s="6"/>
      <c r="C1642" s="6"/>
      <c r="L1642" s="7"/>
      <c r="M1642" s="5"/>
      <c r="N1642" s="5"/>
      <c r="O1642" s="5"/>
    </row>
    <row r="1643">
      <c r="A1643" s="6"/>
      <c r="C1643" s="6"/>
      <c r="L1643" s="7"/>
      <c r="M1643" s="5"/>
      <c r="N1643" s="5"/>
      <c r="O1643" s="5"/>
    </row>
    <row r="1644">
      <c r="A1644" s="6"/>
      <c r="C1644" s="6"/>
      <c r="L1644" s="7"/>
      <c r="M1644" s="5"/>
      <c r="N1644" s="5"/>
      <c r="O1644" s="5"/>
    </row>
    <row r="1645">
      <c r="A1645" s="6"/>
      <c r="C1645" s="6"/>
      <c r="L1645" s="7"/>
      <c r="M1645" s="5"/>
      <c r="N1645" s="5"/>
      <c r="O1645" s="5"/>
    </row>
    <row r="1646">
      <c r="A1646" s="6"/>
      <c r="C1646" s="6"/>
      <c r="L1646" s="7"/>
      <c r="M1646" s="5"/>
      <c r="N1646" s="5"/>
      <c r="O1646" s="5"/>
    </row>
    <row r="1647">
      <c r="A1647" s="6"/>
      <c r="C1647" s="6"/>
      <c r="L1647" s="7"/>
      <c r="M1647" s="5"/>
      <c r="N1647" s="5"/>
      <c r="O1647" s="5"/>
    </row>
    <row r="1648">
      <c r="A1648" s="6"/>
      <c r="C1648" s="6"/>
      <c r="L1648" s="7"/>
      <c r="M1648" s="5"/>
      <c r="N1648" s="5"/>
      <c r="O1648" s="5"/>
    </row>
    <row r="1649">
      <c r="A1649" s="6"/>
      <c r="C1649" s="6"/>
      <c r="L1649" s="7"/>
      <c r="M1649" s="5"/>
      <c r="N1649" s="5"/>
      <c r="O1649" s="5"/>
    </row>
    <row r="1650">
      <c r="A1650" s="6"/>
      <c r="C1650" s="6"/>
      <c r="L1650" s="7"/>
      <c r="M1650" s="5"/>
      <c r="N1650" s="5"/>
      <c r="O1650" s="5"/>
    </row>
    <row r="1651">
      <c r="A1651" s="6"/>
      <c r="C1651" s="6"/>
      <c r="L1651" s="7"/>
      <c r="M1651" s="5"/>
      <c r="N1651" s="5"/>
      <c r="O1651" s="5"/>
    </row>
    <row r="1652">
      <c r="A1652" s="6"/>
      <c r="C1652" s="6"/>
      <c r="L1652" s="7"/>
      <c r="M1652" s="5"/>
      <c r="N1652" s="5"/>
      <c r="O1652" s="5"/>
    </row>
    <row r="1653">
      <c r="A1653" s="6"/>
      <c r="C1653" s="6"/>
      <c r="L1653" s="7"/>
      <c r="M1653" s="5"/>
      <c r="N1653" s="5"/>
      <c r="O1653" s="5"/>
    </row>
    <row r="1654">
      <c r="A1654" s="6"/>
      <c r="C1654" s="6"/>
      <c r="L1654" s="7"/>
      <c r="M1654" s="5"/>
      <c r="N1654" s="5"/>
      <c r="O1654" s="5"/>
    </row>
    <row r="1655">
      <c r="A1655" s="6"/>
      <c r="C1655" s="6"/>
      <c r="L1655" s="7"/>
      <c r="M1655" s="5"/>
      <c r="N1655" s="5"/>
      <c r="O1655" s="5"/>
    </row>
    <row r="1656">
      <c r="A1656" s="6"/>
      <c r="C1656" s="6"/>
      <c r="L1656" s="7"/>
      <c r="M1656" s="5"/>
      <c r="N1656" s="5"/>
      <c r="O1656" s="5"/>
    </row>
    <row r="1657">
      <c r="A1657" s="6"/>
      <c r="C1657" s="6"/>
      <c r="L1657" s="7"/>
      <c r="M1657" s="5"/>
      <c r="N1657" s="5"/>
      <c r="O1657" s="5"/>
    </row>
    <row r="1658">
      <c r="A1658" s="6"/>
      <c r="C1658" s="6"/>
      <c r="L1658" s="7"/>
      <c r="M1658" s="5"/>
      <c r="N1658" s="5"/>
      <c r="O1658" s="5"/>
    </row>
    <row r="1659">
      <c r="A1659" s="6"/>
      <c r="C1659" s="6"/>
      <c r="L1659" s="7"/>
      <c r="M1659" s="5"/>
      <c r="N1659" s="5"/>
      <c r="O1659" s="5"/>
    </row>
    <row r="1660">
      <c r="A1660" s="6"/>
      <c r="C1660" s="6"/>
      <c r="L1660" s="7"/>
      <c r="M1660" s="5"/>
      <c r="N1660" s="5"/>
      <c r="O1660" s="5"/>
    </row>
    <row r="1661">
      <c r="A1661" s="6"/>
      <c r="C1661" s="6"/>
      <c r="L1661" s="7"/>
      <c r="M1661" s="5"/>
      <c r="N1661" s="5"/>
      <c r="O1661" s="5"/>
    </row>
    <row r="1662">
      <c r="A1662" s="6"/>
      <c r="C1662" s="6"/>
      <c r="L1662" s="7"/>
      <c r="M1662" s="5"/>
      <c r="N1662" s="5"/>
      <c r="O1662" s="5"/>
    </row>
    <row r="1663">
      <c r="A1663" s="6"/>
      <c r="C1663" s="6"/>
      <c r="L1663" s="7"/>
      <c r="M1663" s="5"/>
      <c r="N1663" s="5"/>
      <c r="O1663" s="5"/>
    </row>
    <row r="1664">
      <c r="A1664" s="6"/>
      <c r="C1664" s="6"/>
      <c r="L1664" s="7"/>
      <c r="M1664" s="5"/>
      <c r="N1664" s="5"/>
      <c r="O1664" s="5"/>
    </row>
    <row r="1665">
      <c r="A1665" s="6"/>
      <c r="C1665" s="6"/>
      <c r="L1665" s="7"/>
      <c r="M1665" s="5"/>
      <c r="N1665" s="5"/>
      <c r="O1665" s="5"/>
    </row>
    <row r="1666">
      <c r="A1666" s="6"/>
      <c r="C1666" s="6"/>
      <c r="L1666" s="7"/>
      <c r="M1666" s="5"/>
      <c r="N1666" s="5"/>
      <c r="O1666" s="5"/>
    </row>
    <row r="1667">
      <c r="A1667" s="6"/>
      <c r="C1667" s="6"/>
      <c r="L1667" s="7"/>
      <c r="M1667" s="5"/>
      <c r="N1667" s="5"/>
      <c r="O1667" s="5"/>
    </row>
    <row r="1668">
      <c r="A1668" s="6"/>
      <c r="C1668" s="6"/>
      <c r="L1668" s="7"/>
      <c r="M1668" s="5"/>
      <c r="N1668" s="5"/>
      <c r="O1668" s="5"/>
    </row>
    <row r="1669">
      <c r="A1669" s="6"/>
      <c r="C1669" s="6"/>
      <c r="L1669" s="7"/>
      <c r="M1669" s="5"/>
      <c r="N1669" s="5"/>
      <c r="O1669" s="5"/>
    </row>
    <row r="1670">
      <c r="A1670" s="6"/>
      <c r="C1670" s="6"/>
      <c r="L1670" s="7"/>
      <c r="M1670" s="5"/>
      <c r="N1670" s="5"/>
      <c r="O1670" s="5"/>
    </row>
    <row r="1671">
      <c r="A1671" s="6"/>
      <c r="C1671" s="6"/>
      <c r="L1671" s="7"/>
      <c r="M1671" s="5"/>
      <c r="N1671" s="5"/>
      <c r="O1671" s="5"/>
    </row>
    <row r="1672">
      <c r="A1672" s="6"/>
      <c r="C1672" s="6"/>
      <c r="L1672" s="7"/>
      <c r="M1672" s="5"/>
      <c r="N1672" s="5"/>
      <c r="O1672" s="5"/>
    </row>
    <row r="1673">
      <c r="A1673" s="6"/>
      <c r="C1673" s="6"/>
      <c r="L1673" s="7"/>
      <c r="M1673" s="5"/>
      <c r="N1673" s="5"/>
      <c r="O1673" s="5"/>
    </row>
    <row r="1674">
      <c r="A1674" s="6"/>
      <c r="C1674" s="6"/>
      <c r="L1674" s="7"/>
      <c r="M1674" s="5"/>
      <c r="N1674" s="5"/>
      <c r="O1674" s="5"/>
    </row>
    <row r="1675">
      <c r="A1675" s="6"/>
      <c r="C1675" s="6"/>
      <c r="L1675" s="7"/>
      <c r="M1675" s="5"/>
      <c r="N1675" s="5"/>
      <c r="O1675" s="5"/>
    </row>
    <row r="1676">
      <c r="A1676" s="6"/>
      <c r="C1676" s="6"/>
      <c r="L1676" s="7"/>
      <c r="M1676" s="5"/>
      <c r="N1676" s="5"/>
      <c r="O1676" s="5"/>
    </row>
    <row r="1677">
      <c r="A1677" s="6"/>
      <c r="C1677" s="6"/>
      <c r="L1677" s="7"/>
      <c r="M1677" s="5"/>
      <c r="N1677" s="5"/>
      <c r="O1677" s="5"/>
    </row>
    <row r="1678">
      <c r="A1678" s="6"/>
      <c r="C1678" s="6"/>
      <c r="L1678" s="7"/>
      <c r="M1678" s="5"/>
      <c r="N1678" s="5"/>
      <c r="O1678" s="5"/>
    </row>
    <row r="1679">
      <c r="A1679" s="6"/>
      <c r="C1679" s="6"/>
      <c r="L1679" s="7"/>
      <c r="M1679" s="5"/>
      <c r="N1679" s="5"/>
      <c r="O1679" s="5"/>
    </row>
    <row r="1680">
      <c r="A1680" s="6"/>
      <c r="C1680" s="6"/>
      <c r="L1680" s="7"/>
      <c r="M1680" s="5"/>
      <c r="N1680" s="5"/>
      <c r="O1680" s="5"/>
    </row>
    <row r="1681">
      <c r="A1681" s="6"/>
      <c r="C1681" s="6"/>
      <c r="L1681" s="7"/>
      <c r="M1681" s="5"/>
      <c r="N1681" s="5"/>
      <c r="O1681" s="5"/>
    </row>
    <row r="1682">
      <c r="A1682" s="6"/>
      <c r="C1682" s="6"/>
      <c r="L1682" s="7"/>
      <c r="M1682" s="5"/>
      <c r="N1682" s="5"/>
      <c r="O1682" s="5"/>
    </row>
    <row r="1683">
      <c r="A1683" s="6"/>
      <c r="C1683" s="6"/>
      <c r="L1683" s="7"/>
      <c r="M1683" s="5"/>
      <c r="N1683" s="5"/>
      <c r="O1683" s="5"/>
    </row>
    <row r="1684">
      <c r="A1684" s="6"/>
      <c r="C1684" s="6"/>
      <c r="L1684" s="7"/>
      <c r="M1684" s="5"/>
      <c r="N1684" s="5"/>
      <c r="O1684" s="5"/>
    </row>
    <row r="1685">
      <c r="A1685" s="6"/>
      <c r="C1685" s="6"/>
      <c r="L1685" s="7"/>
      <c r="M1685" s="5"/>
      <c r="N1685" s="5"/>
      <c r="O1685" s="5"/>
    </row>
    <row r="1686">
      <c r="A1686" s="6"/>
      <c r="C1686" s="6"/>
      <c r="L1686" s="7"/>
      <c r="M1686" s="5"/>
      <c r="N1686" s="5"/>
      <c r="O1686" s="5"/>
    </row>
    <row r="1687">
      <c r="A1687" s="6"/>
      <c r="C1687" s="6"/>
      <c r="L1687" s="7"/>
      <c r="M1687" s="5"/>
      <c r="N1687" s="5"/>
      <c r="O1687" s="5"/>
    </row>
    <row r="1688">
      <c r="A1688" s="6"/>
      <c r="C1688" s="6"/>
      <c r="L1688" s="7"/>
      <c r="M1688" s="5"/>
      <c r="N1688" s="5"/>
      <c r="O1688" s="5"/>
    </row>
    <row r="1689">
      <c r="A1689" s="6"/>
      <c r="C1689" s="6"/>
      <c r="L1689" s="7"/>
      <c r="M1689" s="5"/>
      <c r="N1689" s="5"/>
      <c r="O1689" s="5"/>
    </row>
    <row r="1690">
      <c r="A1690" s="6"/>
      <c r="C1690" s="6"/>
      <c r="L1690" s="7"/>
      <c r="M1690" s="5"/>
      <c r="N1690" s="5"/>
      <c r="O1690" s="5"/>
    </row>
    <row r="1691">
      <c r="A1691" s="6"/>
      <c r="C1691" s="6"/>
      <c r="L1691" s="7"/>
      <c r="M1691" s="5"/>
      <c r="N1691" s="5"/>
      <c r="O1691" s="5"/>
    </row>
    <row r="1692">
      <c r="A1692" s="6"/>
      <c r="C1692" s="6"/>
      <c r="L1692" s="7"/>
      <c r="M1692" s="5"/>
      <c r="N1692" s="5"/>
      <c r="O1692" s="5"/>
    </row>
    <row r="1693">
      <c r="A1693" s="6"/>
      <c r="C1693" s="6"/>
      <c r="L1693" s="7"/>
      <c r="M1693" s="5"/>
      <c r="N1693" s="5"/>
      <c r="O1693" s="5"/>
    </row>
    <row r="1694">
      <c r="A1694" s="6"/>
      <c r="C1694" s="6"/>
      <c r="L1694" s="7"/>
      <c r="M1694" s="5"/>
      <c r="N1694" s="5"/>
      <c r="O1694" s="5"/>
    </row>
    <row r="1695">
      <c r="A1695" s="6"/>
      <c r="C1695" s="6"/>
      <c r="L1695" s="7"/>
      <c r="M1695" s="5"/>
      <c r="N1695" s="5"/>
      <c r="O1695" s="5"/>
    </row>
    <row r="1696">
      <c r="A1696" s="6"/>
      <c r="C1696" s="6"/>
      <c r="L1696" s="7"/>
      <c r="M1696" s="5"/>
      <c r="N1696" s="5"/>
      <c r="O1696" s="5"/>
    </row>
    <row r="1697">
      <c r="A1697" s="6"/>
      <c r="C1697" s="6"/>
      <c r="L1697" s="7"/>
      <c r="M1697" s="5"/>
      <c r="N1697" s="5"/>
      <c r="O1697" s="5"/>
    </row>
    <row r="1698">
      <c r="A1698" s="6"/>
      <c r="C1698" s="6"/>
      <c r="L1698" s="7"/>
      <c r="M1698" s="5"/>
      <c r="N1698" s="5"/>
      <c r="O1698" s="5"/>
    </row>
    <row r="1699">
      <c r="A1699" s="6"/>
      <c r="C1699" s="6"/>
      <c r="L1699" s="7"/>
      <c r="M1699" s="5"/>
      <c r="N1699" s="5"/>
      <c r="O1699" s="5"/>
    </row>
    <row r="1700">
      <c r="A1700" s="6"/>
      <c r="C1700" s="6"/>
      <c r="L1700" s="7"/>
      <c r="M1700" s="5"/>
      <c r="N1700" s="5"/>
      <c r="O1700" s="5"/>
    </row>
    <row r="1701">
      <c r="A1701" s="6"/>
      <c r="C1701" s="6"/>
      <c r="L1701" s="7"/>
      <c r="M1701" s="5"/>
      <c r="N1701" s="5"/>
      <c r="O1701" s="5"/>
    </row>
    <row r="1702">
      <c r="A1702" s="6"/>
      <c r="C1702" s="6"/>
      <c r="L1702" s="7"/>
      <c r="M1702" s="5"/>
      <c r="N1702" s="5"/>
      <c r="O1702" s="5"/>
    </row>
    <row r="1703">
      <c r="A1703" s="6"/>
      <c r="C1703" s="6"/>
      <c r="L1703" s="7"/>
      <c r="M1703" s="5"/>
      <c r="N1703" s="5"/>
      <c r="O1703" s="5"/>
    </row>
    <row r="1704">
      <c r="A1704" s="6"/>
      <c r="C1704" s="6"/>
      <c r="L1704" s="7"/>
      <c r="M1704" s="5"/>
      <c r="N1704" s="5"/>
      <c r="O1704" s="5"/>
    </row>
    <row r="1705">
      <c r="A1705" s="6"/>
      <c r="C1705" s="6"/>
      <c r="L1705" s="7"/>
      <c r="M1705" s="5"/>
      <c r="N1705" s="5"/>
      <c r="O1705" s="5"/>
    </row>
    <row r="1706">
      <c r="A1706" s="6"/>
      <c r="C1706" s="6"/>
      <c r="L1706" s="7"/>
      <c r="M1706" s="5"/>
      <c r="N1706" s="5"/>
      <c r="O1706" s="5"/>
    </row>
    <row r="1707">
      <c r="A1707" s="6"/>
      <c r="C1707" s="6"/>
      <c r="L1707" s="7"/>
      <c r="M1707" s="5"/>
      <c r="N1707" s="5"/>
      <c r="O1707" s="5"/>
    </row>
    <row r="1708">
      <c r="A1708" s="6"/>
      <c r="C1708" s="6"/>
      <c r="L1708" s="7"/>
      <c r="M1708" s="5"/>
      <c r="N1708" s="5"/>
      <c r="O1708" s="5"/>
    </row>
    <row r="1709">
      <c r="A1709" s="6"/>
      <c r="C1709" s="6"/>
      <c r="L1709" s="7"/>
      <c r="M1709" s="5"/>
      <c r="N1709" s="5"/>
      <c r="O1709" s="5"/>
    </row>
    <row r="1710">
      <c r="A1710" s="6"/>
      <c r="C1710" s="6"/>
      <c r="L1710" s="7"/>
      <c r="M1710" s="5"/>
      <c r="N1710" s="5"/>
      <c r="O1710" s="5"/>
    </row>
    <row r="1711">
      <c r="A1711" s="6"/>
      <c r="C1711" s="6"/>
      <c r="L1711" s="7"/>
      <c r="M1711" s="5"/>
      <c r="N1711" s="5"/>
      <c r="O1711" s="5"/>
    </row>
    <row r="1712">
      <c r="A1712" s="6"/>
      <c r="C1712" s="6"/>
      <c r="L1712" s="7"/>
      <c r="M1712" s="5"/>
      <c r="N1712" s="5"/>
      <c r="O1712" s="5"/>
    </row>
    <row r="1713">
      <c r="A1713" s="6"/>
      <c r="C1713" s="6"/>
      <c r="L1713" s="7"/>
      <c r="M1713" s="5"/>
      <c r="N1713" s="5"/>
      <c r="O1713" s="5"/>
    </row>
    <row r="1714">
      <c r="A1714" s="6"/>
      <c r="C1714" s="6"/>
      <c r="L1714" s="7"/>
      <c r="M1714" s="5"/>
      <c r="N1714" s="5"/>
      <c r="O1714" s="5"/>
    </row>
    <row r="1715">
      <c r="A1715" s="6"/>
      <c r="C1715" s="6"/>
      <c r="L1715" s="7"/>
      <c r="M1715" s="5"/>
      <c r="N1715" s="5"/>
      <c r="O1715" s="5"/>
    </row>
    <row r="1716">
      <c r="A1716" s="6"/>
      <c r="C1716" s="6"/>
      <c r="L1716" s="7"/>
      <c r="M1716" s="5"/>
      <c r="N1716" s="5"/>
      <c r="O1716" s="5"/>
    </row>
    <row r="1717">
      <c r="A1717" s="6"/>
      <c r="C1717" s="6"/>
      <c r="L1717" s="7"/>
      <c r="M1717" s="5"/>
      <c r="N1717" s="5"/>
      <c r="O1717" s="5"/>
    </row>
    <row r="1718">
      <c r="A1718" s="6"/>
      <c r="C1718" s="6"/>
      <c r="L1718" s="7"/>
      <c r="M1718" s="5"/>
      <c r="N1718" s="5"/>
      <c r="O1718" s="5"/>
    </row>
    <row r="1719">
      <c r="A1719" s="6"/>
      <c r="C1719" s="6"/>
      <c r="L1719" s="7"/>
      <c r="M1719" s="5"/>
      <c r="N1719" s="5"/>
      <c r="O1719" s="5"/>
    </row>
    <row r="1720">
      <c r="A1720" s="6"/>
      <c r="C1720" s="6"/>
      <c r="L1720" s="7"/>
      <c r="M1720" s="5"/>
      <c r="N1720" s="5"/>
      <c r="O1720" s="5"/>
    </row>
    <row r="1721">
      <c r="A1721" s="6"/>
      <c r="C1721" s="6"/>
      <c r="L1721" s="7"/>
      <c r="M1721" s="5"/>
      <c r="N1721" s="5"/>
      <c r="O1721" s="5"/>
    </row>
    <row r="1722">
      <c r="A1722" s="6"/>
      <c r="C1722" s="6"/>
      <c r="L1722" s="7"/>
      <c r="M1722" s="5"/>
      <c r="N1722" s="5"/>
      <c r="O1722" s="5"/>
    </row>
    <row r="1723">
      <c r="A1723" s="6"/>
      <c r="C1723" s="6"/>
      <c r="L1723" s="7"/>
      <c r="M1723" s="5"/>
      <c r="N1723" s="5"/>
      <c r="O1723" s="5"/>
    </row>
    <row r="1724">
      <c r="A1724" s="6"/>
      <c r="C1724" s="6"/>
      <c r="L1724" s="7"/>
      <c r="M1724" s="5"/>
      <c r="N1724" s="5"/>
      <c r="O1724" s="5"/>
    </row>
    <row r="1725">
      <c r="A1725" s="6"/>
      <c r="C1725" s="6"/>
      <c r="L1725" s="7"/>
      <c r="M1725" s="5"/>
      <c r="N1725" s="5"/>
      <c r="O1725" s="5"/>
    </row>
    <row r="1726">
      <c r="A1726" s="6"/>
      <c r="C1726" s="6"/>
      <c r="L1726" s="7"/>
      <c r="M1726" s="5"/>
      <c r="N1726" s="5"/>
      <c r="O1726" s="5"/>
    </row>
    <row r="1727">
      <c r="A1727" s="6"/>
      <c r="C1727" s="6"/>
      <c r="L1727" s="7"/>
      <c r="M1727" s="5"/>
      <c r="N1727" s="5"/>
      <c r="O1727" s="5"/>
    </row>
    <row r="1728">
      <c r="A1728" s="6"/>
      <c r="C1728" s="6"/>
      <c r="L1728" s="7"/>
      <c r="M1728" s="5"/>
      <c r="N1728" s="5"/>
      <c r="O1728" s="5"/>
    </row>
    <row r="1729">
      <c r="A1729" s="6"/>
      <c r="C1729" s="6"/>
      <c r="L1729" s="7"/>
      <c r="M1729" s="5"/>
      <c r="N1729" s="5"/>
      <c r="O1729" s="5"/>
    </row>
    <row r="1730">
      <c r="A1730" s="6"/>
      <c r="C1730" s="6"/>
      <c r="L1730" s="7"/>
      <c r="M1730" s="5"/>
      <c r="N1730" s="5"/>
      <c r="O1730" s="5"/>
    </row>
    <row r="1731">
      <c r="A1731" s="6"/>
      <c r="C1731" s="6"/>
      <c r="L1731" s="7"/>
      <c r="M1731" s="5"/>
      <c r="N1731" s="5"/>
      <c r="O1731" s="5"/>
    </row>
    <row r="1732">
      <c r="A1732" s="6"/>
      <c r="C1732" s="6"/>
      <c r="L1732" s="7"/>
      <c r="M1732" s="5"/>
      <c r="N1732" s="5"/>
      <c r="O1732" s="5"/>
    </row>
    <row r="1733">
      <c r="A1733" s="6"/>
      <c r="C1733" s="6"/>
      <c r="L1733" s="7"/>
      <c r="M1733" s="5"/>
      <c r="N1733" s="5"/>
      <c r="O1733" s="5"/>
    </row>
    <row r="1734">
      <c r="A1734" s="6"/>
      <c r="C1734" s="6"/>
      <c r="L1734" s="7"/>
      <c r="M1734" s="5"/>
      <c r="N1734" s="5"/>
      <c r="O1734" s="5"/>
    </row>
    <row r="1735">
      <c r="A1735" s="6"/>
      <c r="C1735" s="6"/>
      <c r="L1735" s="7"/>
      <c r="M1735" s="5"/>
      <c r="N1735" s="5"/>
      <c r="O1735" s="5"/>
    </row>
    <row r="1736">
      <c r="A1736" s="6"/>
      <c r="C1736" s="6"/>
      <c r="L1736" s="7"/>
      <c r="M1736" s="5"/>
      <c r="N1736" s="5"/>
      <c r="O1736" s="5"/>
    </row>
    <row r="1737">
      <c r="A1737" s="6"/>
      <c r="C1737" s="6"/>
      <c r="L1737" s="7"/>
      <c r="M1737" s="5"/>
      <c r="N1737" s="5"/>
      <c r="O1737" s="5"/>
    </row>
    <row r="1738">
      <c r="A1738" s="6"/>
      <c r="C1738" s="6"/>
      <c r="L1738" s="7"/>
      <c r="M1738" s="5"/>
      <c r="N1738" s="5"/>
      <c r="O1738" s="5"/>
    </row>
    <row r="1739">
      <c r="A1739" s="6"/>
      <c r="C1739" s="6"/>
      <c r="L1739" s="7"/>
      <c r="M1739" s="5"/>
      <c r="N1739" s="5"/>
      <c r="O1739" s="5"/>
    </row>
    <row r="1740">
      <c r="A1740" s="6"/>
      <c r="C1740" s="6"/>
      <c r="L1740" s="7"/>
      <c r="M1740" s="5"/>
      <c r="N1740" s="5"/>
      <c r="O1740" s="5"/>
    </row>
    <row r="1741">
      <c r="A1741" s="6"/>
      <c r="C1741" s="6"/>
      <c r="L1741" s="7"/>
      <c r="M1741" s="5"/>
      <c r="N1741" s="5"/>
      <c r="O1741" s="5"/>
    </row>
    <row r="1742">
      <c r="A1742" s="6"/>
      <c r="C1742" s="6"/>
      <c r="L1742" s="7"/>
      <c r="M1742" s="5"/>
      <c r="N1742" s="5"/>
      <c r="O1742" s="5"/>
    </row>
    <row r="1743">
      <c r="A1743" s="6"/>
      <c r="C1743" s="6"/>
      <c r="L1743" s="7"/>
      <c r="M1743" s="5"/>
      <c r="N1743" s="5"/>
      <c r="O1743" s="5"/>
    </row>
    <row r="1744">
      <c r="A1744" s="6"/>
      <c r="C1744" s="6"/>
      <c r="L1744" s="7"/>
      <c r="M1744" s="5"/>
      <c r="N1744" s="5"/>
      <c r="O1744" s="5"/>
    </row>
    <row r="1745">
      <c r="A1745" s="6"/>
      <c r="C1745" s="6"/>
      <c r="L1745" s="7"/>
      <c r="M1745" s="5"/>
      <c r="N1745" s="5"/>
      <c r="O1745" s="5"/>
    </row>
    <row r="1746">
      <c r="A1746" s="6"/>
      <c r="C1746" s="6"/>
      <c r="L1746" s="7"/>
      <c r="M1746" s="5"/>
      <c r="N1746" s="5"/>
      <c r="O1746" s="5"/>
    </row>
    <row r="1747">
      <c r="A1747" s="6"/>
      <c r="C1747" s="6"/>
      <c r="L1747" s="7"/>
      <c r="M1747" s="5"/>
      <c r="N1747" s="5"/>
      <c r="O1747" s="5"/>
    </row>
    <row r="1748">
      <c r="A1748" s="6"/>
      <c r="C1748" s="6"/>
      <c r="L1748" s="7"/>
      <c r="M1748" s="5"/>
      <c r="N1748" s="5"/>
      <c r="O1748" s="5"/>
    </row>
    <row r="1749">
      <c r="A1749" s="6"/>
      <c r="C1749" s="6"/>
      <c r="L1749" s="7"/>
      <c r="M1749" s="5"/>
      <c r="N1749" s="5"/>
      <c r="O1749" s="5"/>
    </row>
    <row r="1750">
      <c r="A1750" s="6"/>
      <c r="C1750" s="6"/>
      <c r="L1750" s="7"/>
      <c r="M1750" s="5"/>
      <c r="N1750" s="5"/>
      <c r="O1750" s="5"/>
    </row>
    <row r="1751">
      <c r="A1751" s="6"/>
      <c r="C1751" s="6"/>
      <c r="L1751" s="7"/>
      <c r="M1751" s="5"/>
      <c r="N1751" s="5"/>
      <c r="O1751" s="5"/>
    </row>
    <row r="1752">
      <c r="A1752" s="6"/>
      <c r="C1752" s="6"/>
      <c r="L1752" s="7"/>
      <c r="M1752" s="5"/>
      <c r="N1752" s="5"/>
      <c r="O1752" s="5"/>
    </row>
    <row r="1753">
      <c r="A1753" s="6"/>
      <c r="C1753" s="6"/>
      <c r="L1753" s="7"/>
      <c r="M1753" s="5"/>
      <c r="N1753" s="5"/>
      <c r="O1753" s="5"/>
    </row>
    <row r="1754">
      <c r="A1754" s="6"/>
      <c r="C1754" s="6"/>
      <c r="L1754" s="7"/>
      <c r="M1754" s="5"/>
      <c r="N1754" s="5"/>
      <c r="O1754" s="5"/>
    </row>
    <row r="1755">
      <c r="A1755" s="6"/>
      <c r="C1755" s="6"/>
      <c r="L1755" s="7"/>
      <c r="M1755" s="5"/>
      <c r="N1755" s="5"/>
      <c r="O1755" s="5"/>
    </row>
    <row r="1756">
      <c r="A1756" s="6"/>
      <c r="C1756" s="6"/>
      <c r="L1756" s="7"/>
      <c r="M1756" s="5"/>
      <c r="N1756" s="5"/>
      <c r="O1756" s="5"/>
    </row>
    <row r="1757">
      <c r="A1757" s="6"/>
      <c r="C1757" s="6"/>
      <c r="L1757" s="7"/>
      <c r="M1757" s="5"/>
      <c r="N1757" s="5"/>
      <c r="O1757" s="5"/>
    </row>
    <row r="1758">
      <c r="A1758" s="6"/>
      <c r="C1758" s="6"/>
      <c r="L1758" s="7"/>
      <c r="M1758" s="5"/>
      <c r="N1758" s="5"/>
      <c r="O1758" s="5"/>
    </row>
    <row r="1759">
      <c r="A1759" s="6"/>
      <c r="C1759" s="6"/>
      <c r="L1759" s="7"/>
      <c r="M1759" s="5"/>
      <c r="N1759" s="5"/>
      <c r="O1759" s="5"/>
    </row>
    <row r="1760">
      <c r="A1760" s="6"/>
      <c r="C1760" s="6"/>
      <c r="L1760" s="7"/>
      <c r="M1760" s="5"/>
      <c r="N1760" s="5"/>
      <c r="O1760" s="5"/>
    </row>
    <row r="1761">
      <c r="A1761" s="6"/>
      <c r="C1761" s="6"/>
      <c r="L1761" s="7"/>
      <c r="M1761" s="5"/>
      <c r="N1761" s="5"/>
      <c r="O1761" s="5"/>
    </row>
    <row r="1762">
      <c r="A1762" s="6"/>
      <c r="C1762" s="6"/>
      <c r="L1762" s="7"/>
      <c r="M1762" s="5"/>
      <c r="N1762" s="5"/>
      <c r="O1762" s="5"/>
    </row>
    <row r="1763">
      <c r="A1763" s="6"/>
      <c r="C1763" s="6"/>
      <c r="L1763" s="7"/>
      <c r="M1763" s="5"/>
      <c r="N1763" s="5"/>
      <c r="O1763" s="5"/>
    </row>
    <row r="1764">
      <c r="A1764" s="6"/>
      <c r="C1764" s="6"/>
      <c r="L1764" s="7"/>
      <c r="M1764" s="5"/>
      <c r="N1764" s="5"/>
      <c r="O1764" s="5"/>
    </row>
    <row r="1765">
      <c r="A1765" s="6"/>
      <c r="C1765" s="6"/>
      <c r="L1765" s="7"/>
      <c r="M1765" s="5"/>
      <c r="N1765" s="5"/>
      <c r="O1765" s="5"/>
    </row>
    <row r="1766">
      <c r="A1766" s="6"/>
      <c r="C1766" s="6"/>
      <c r="L1766" s="7"/>
      <c r="M1766" s="5"/>
      <c r="N1766" s="5"/>
      <c r="O1766" s="5"/>
    </row>
    <row r="1767">
      <c r="A1767" s="6"/>
      <c r="C1767" s="6"/>
      <c r="L1767" s="7"/>
      <c r="M1767" s="5"/>
      <c r="N1767" s="5"/>
      <c r="O1767" s="5"/>
    </row>
    <row r="1768">
      <c r="A1768" s="6"/>
      <c r="C1768" s="6"/>
      <c r="L1768" s="7"/>
      <c r="M1768" s="5"/>
      <c r="N1768" s="5"/>
      <c r="O1768" s="5"/>
    </row>
    <row r="1769">
      <c r="A1769" s="6"/>
      <c r="C1769" s="6"/>
      <c r="L1769" s="7"/>
      <c r="M1769" s="5"/>
      <c r="N1769" s="5"/>
      <c r="O1769" s="5"/>
    </row>
    <row r="1770">
      <c r="A1770" s="6"/>
      <c r="C1770" s="6"/>
      <c r="L1770" s="7"/>
      <c r="M1770" s="5"/>
      <c r="N1770" s="5"/>
      <c r="O1770" s="5"/>
    </row>
    <row r="1771">
      <c r="A1771" s="6"/>
      <c r="C1771" s="6"/>
      <c r="L1771" s="7"/>
      <c r="M1771" s="5"/>
      <c r="N1771" s="5"/>
      <c r="O1771" s="5"/>
    </row>
    <row r="1772">
      <c r="A1772" s="6"/>
      <c r="C1772" s="6"/>
      <c r="L1772" s="7"/>
      <c r="M1772" s="5"/>
      <c r="N1772" s="5"/>
      <c r="O1772" s="5"/>
    </row>
    <row r="1773">
      <c r="A1773" s="6"/>
      <c r="C1773" s="6"/>
      <c r="L1773" s="7"/>
      <c r="M1773" s="5"/>
      <c r="N1773" s="5"/>
      <c r="O1773" s="5"/>
    </row>
    <row r="1774">
      <c r="A1774" s="6"/>
      <c r="C1774" s="6"/>
      <c r="L1774" s="7"/>
      <c r="M1774" s="5"/>
      <c r="N1774" s="5"/>
      <c r="O1774" s="5"/>
    </row>
    <row r="1775">
      <c r="A1775" s="6"/>
      <c r="C1775" s="6"/>
      <c r="L1775" s="7"/>
      <c r="M1775" s="5"/>
      <c r="N1775" s="5"/>
      <c r="O1775" s="5"/>
    </row>
    <row r="1776">
      <c r="A1776" s="6"/>
      <c r="C1776" s="6"/>
      <c r="L1776" s="7"/>
      <c r="M1776" s="5"/>
      <c r="N1776" s="5"/>
      <c r="O1776" s="5"/>
    </row>
    <row r="1777">
      <c r="A1777" s="6"/>
      <c r="C1777" s="6"/>
      <c r="L1777" s="7"/>
      <c r="M1777" s="5"/>
      <c r="N1777" s="5"/>
      <c r="O1777" s="5"/>
    </row>
    <row r="1778">
      <c r="A1778" s="6"/>
      <c r="C1778" s="6"/>
      <c r="L1778" s="7"/>
      <c r="M1778" s="5"/>
      <c r="N1778" s="5"/>
      <c r="O1778" s="5"/>
    </row>
    <row r="1779">
      <c r="A1779" s="6"/>
      <c r="C1779" s="6"/>
      <c r="L1779" s="7"/>
      <c r="M1779" s="5"/>
      <c r="N1779" s="5"/>
      <c r="O1779" s="5"/>
    </row>
    <row r="1780">
      <c r="A1780" s="6"/>
      <c r="C1780" s="6"/>
      <c r="L1780" s="7"/>
      <c r="M1780" s="5"/>
      <c r="N1780" s="5"/>
      <c r="O1780" s="5"/>
    </row>
    <row r="1781">
      <c r="A1781" s="6"/>
      <c r="C1781" s="6"/>
      <c r="L1781" s="7"/>
      <c r="M1781" s="5"/>
      <c r="N1781" s="5"/>
      <c r="O1781" s="5"/>
    </row>
    <row r="1782">
      <c r="A1782" s="6"/>
      <c r="C1782" s="6"/>
      <c r="L1782" s="7"/>
      <c r="M1782" s="5"/>
      <c r="N1782" s="5"/>
      <c r="O1782" s="5"/>
    </row>
    <row r="1783">
      <c r="A1783" s="6"/>
      <c r="C1783" s="6"/>
      <c r="L1783" s="7"/>
      <c r="M1783" s="5"/>
      <c r="N1783" s="5"/>
      <c r="O1783" s="5"/>
    </row>
    <row r="1784">
      <c r="A1784" s="6"/>
      <c r="C1784" s="6"/>
      <c r="L1784" s="7"/>
      <c r="M1784" s="5"/>
      <c r="N1784" s="5"/>
      <c r="O1784" s="5"/>
    </row>
    <row r="1785">
      <c r="A1785" s="6"/>
      <c r="C1785" s="6"/>
      <c r="L1785" s="7"/>
      <c r="M1785" s="5"/>
      <c r="N1785" s="5"/>
      <c r="O1785" s="5"/>
    </row>
    <row r="1786">
      <c r="A1786" s="6"/>
      <c r="C1786" s="6"/>
      <c r="L1786" s="7"/>
      <c r="M1786" s="5"/>
      <c r="N1786" s="5"/>
      <c r="O1786" s="5"/>
    </row>
    <row r="1787">
      <c r="A1787" s="6"/>
      <c r="C1787" s="6"/>
      <c r="L1787" s="7"/>
      <c r="M1787" s="5"/>
      <c r="N1787" s="5"/>
      <c r="O1787" s="5"/>
    </row>
    <row r="1788">
      <c r="A1788" s="6"/>
      <c r="C1788" s="6"/>
      <c r="L1788" s="7"/>
      <c r="M1788" s="5"/>
      <c r="N1788" s="5"/>
      <c r="O1788" s="5"/>
    </row>
    <row r="1789">
      <c r="A1789" s="6"/>
      <c r="C1789" s="6"/>
      <c r="L1789" s="7"/>
      <c r="M1789" s="5"/>
      <c r="N1789" s="5"/>
      <c r="O1789" s="5"/>
    </row>
    <row r="1790">
      <c r="A1790" s="6"/>
      <c r="C1790" s="6"/>
      <c r="L1790" s="7"/>
      <c r="M1790" s="5"/>
      <c r="N1790" s="5"/>
      <c r="O1790" s="5"/>
    </row>
    <row r="1791">
      <c r="A1791" s="6"/>
      <c r="C1791" s="6"/>
      <c r="L1791" s="7"/>
      <c r="M1791" s="5"/>
      <c r="N1791" s="5"/>
      <c r="O1791" s="5"/>
    </row>
    <row r="1792">
      <c r="A1792" s="6"/>
      <c r="C1792" s="6"/>
      <c r="L1792" s="7"/>
      <c r="M1792" s="5"/>
      <c r="N1792" s="5"/>
      <c r="O1792" s="5"/>
    </row>
    <row r="1793">
      <c r="A1793" s="6"/>
      <c r="C1793" s="6"/>
      <c r="L1793" s="7"/>
      <c r="M1793" s="5"/>
      <c r="N1793" s="5"/>
      <c r="O1793" s="5"/>
    </row>
    <row r="1794">
      <c r="A1794" s="6"/>
      <c r="C1794" s="6"/>
      <c r="L1794" s="7"/>
      <c r="M1794" s="5"/>
      <c r="N1794" s="5"/>
      <c r="O1794" s="5"/>
    </row>
    <row r="1795">
      <c r="A1795" s="6"/>
      <c r="C1795" s="6"/>
      <c r="L1795" s="7"/>
      <c r="M1795" s="5"/>
      <c r="N1795" s="5"/>
      <c r="O1795" s="5"/>
    </row>
    <row r="1796">
      <c r="A1796" s="6"/>
      <c r="C1796" s="6"/>
      <c r="L1796" s="7"/>
      <c r="M1796" s="5"/>
      <c r="N1796" s="5"/>
      <c r="O1796" s="5"/>
    </row>
    <row r="1797">
      <c r="A1797" s="6"/>
      <c r="C1797" s="6"/>
      <c r="L1797" s="7"/>
      <c r="M1797" s="5"/>
      <c r="N1797" s="5"/>
      <c r="O1797" s="5"/>
    </row>
    <row r="1798">
      <c r="A1798" s="6"/>
      <c r="C1798" s="6"/>
      <c r="L1798" s="7"/>
      <c r="M1798" s="5"/>
      <c r="N1798" s="5"/>
      <c r="O1798" s="5"/>
    </row>
    <row r="1799">
      <c r="A1799" s="6"/>
      <c r="C1799" s="6"/>
      <c r="L1799" s="7"/>
      <c r="M1799" s="5"/>
      <c r="N1799" s="5"/>
      <c r="O1799" s="5"/>
    </row>
    <row r="1800">
      <c r="A1800" s="6"/>
      <c r="C1800" s="6"/>
      <c r="L1800" s="7"/>
      <c r="M1800" s="5"/>
      <c r="N1800" s="5"/>
      <c r="O1800" s="5"/>
    </row>
    <row r="1801">
      <c r="A1801" s="6"/>
      <c r="C1801" s="6"/>
      <c r="L1801" s="7"/>
      <c r="M1801" s="5"/>
      <c r="N1801" s="5"/>
      <c r="O1801" s="5"/>
    </row>
    <row r="1802">
      <c r="A1802" s="6"/>
      <c r="C1802" s="6"/>
      <c r="L1802" s="7"/>
      <c r="M1802" s="5"/>
      <c r="N1802" s="5"/>
      <c r="O1802" s="5"/>
    </row>
    <row r="1803">
      <c r="A1803" s="6"/>
      <c r="C1803" s="6"/>
      <c r="L1803" s="7"/>
      <c r="M1803" s="5"/>
      <c r="N1803" s="5"/>
      <c r="O1803" s="5"/>
    </row>
    <row r="1804">
      <c r="A1804" s="6"/>
      <c r="C1804" s="6"/>
      <c r="L1804" s="7"/>
      <c r="M1804" s="5"/>
      <c r="N1804" s="5"/>
      <c r="O1804" s="5"/>
    </row>
    <row r="1805">
      <c r="A1805" s="6"/>
      <c r="C1805" s="6"/>
      <c r="L1805" s="7"/>
      <c r="M1805" s="5"/>
      <c r="N1805" s="5"/>
      <c r="O1805" s="5"/>
    </row>
    <row r="1806">
      <c r="A1806" s="6"/>
      <c r="C1806" s="6"/>
      <c r="L1806" s="7"/>
      <c r="M1806" s="5"/>
      <c r="N1806" s="5"/>
      <c r="O1806" s="5"/>
    </row>
    <row r="1807">
      <c r="A1807" s="6"/>
      <c r="C1807" s="6"/>
      <c r="L1807" s="7"/>
      <c r="M1807" s="5"/>
      <c r="N1807" s="5"/>
      <c r="O1807" s="5"/>
    </row>
    <row r="1808">
      <c r="A1808" s="6"/>
      <c r="C1808" s="6"/>
      <c r="L1808" s="7"/>
      <c r="M1808" s="5"/>
      <c r="N1808" s="5"/>
      <c r="O1808" s="5"/>
    </row>
    <row r="1809">
      <c r="A1809" s="6"/>
      <c r="C1809" s="6"/>
      <c r="L1809" s="7"/>
      <c r="M1809" s="5"/>
      <c r="N1809" s="5"/>
      <c r="O1809" s="5"/>
    </row>
    <row r="1810">
      <c r="A1810" s="6"/>
      <c r="C1810" s="6"/>
      <c r="L1810" s="7"/>
      <c r="M1810" s="5"/>
      <c r="N1810" s="5"/>
      <c r="O1810" s="5"/>
    </row>
    <row r="1811">
      <c r="A1811" s="6"/>
      <c r="C1811" s="6"/>
      <c r="L1811" s="7"/>
      <c r="M1811" s="5"/>
      <c r="N1811" s="5"/>
      <c r="O1811" s="5"/>
    </row>
    <row r="1812">
      <c r="A1812" s="6"/>
      <c r="C1812" s="6"/>
      <c r="L1812" s="7"/>
      <c r="M1812" s="5"/>
      <c r="N1812" s="5"/>
      <c r="O1812" s="5"/>
    </row>
    <row r="1813">
      <c r="A1813" s="6"/>
      <c r="C1813" s="6"/>
      <c r="L1813" s="7"/>
      <c r="M1813" s="5"/>
      <c r="N1813" s="5"/>
      <c r="O1813" s="5"/>
    </row>
    <row r="1814">
      <c r="A1814" s="6"/>
      <c r="C1814" s="6"/>
      <c r="L1814" s="7"/>
      <c r="M1814" s="5"/>
      <c r="N1814" s="5"/>
      <c r="O1814" s="5"/>
    </row>
    <row r="1815">
      <c r="A1815" s="6"/>
      <c r="C1815" s="6"/>
      <c r="L1815" s="7"/>
      <c r="M1815" s="5"/>
      <c r="N1815" s="5"/>
      <c r="O1815" s="5"/>
    </row>
    <row r="1816">
      <c r="A1816" s="6"/>
      <c r="C1816" s="6"/>
      <c r="L1816" s="7"/>
      <c r="M1816" s="5"/>
      <c r="N1816" s="5"/>
      <c r="O1816" s="5"/>
    </row>
    <row r="1817">
      <c r="A1817" s="6"/>
      <c r="C1817" s="6"/>
      <c r="L1817" s="7"/>
      <c r="M1817" s="5"/>
      <c r="N1817" s="5"/>
      <c r="O1817" s="5"/>
    </row>
    <row r="1818">
      <c r="A1818" s="6"/>
      <c r="C1818" s="6"/>
      <c r="L1818" s="7"/>
      <c r="M1818" s="5"/>
      <c r="N1818" s="5"/>
      <c r="O1818" s="5"/>
    </row>
    <row r="1819">
      <c r="A1819" s="6"/>
      <c r="C1819" s="6"/>
      <c r="L1819" s="7"/>
      <c r="M1819" s="5"/>
      <c r="N1819" s="5"/>
      <c r="O1819" s="5"/>
    </row>
    <row r="1820">
      <c r="A1820" s="6"/>
      <c r="C1820" s="6"/>
      <c r="L1820" s="7"/>
      <c r="M1820" s="5"/>
      <c r="N1820" s="5"/>
      <c r="O1820" s="5"/>
    </row>
    <row r="1821">
      <c r="A1821" s="6"/>
      <c r="C1821" s="6"/>
      <c r="L1821" s="7"/>
      <c r="M1821" s="5"/>
      <c r="N1821" s="5"/>
      <c r="O1821" s="5"/>
    </row>
    <row r="1822">
      <c r="A1822" s="6"/>
      <c r="C1822" s="6"/>
      <c r="L1822" s="7"/>
      <c r="M1822" s="5"/>
      <c r="N1822" s="5"/>
      <c r="O1822" s="5"/>
    </row>
    <row r="1823">
      <c r="A1823" s="6"/>
      <c r="C1823" s="6"/>
      <c r="L1823" s="7"/>
      <c r="M1823" s="5"/>
      <c r="N1823" s="5"/>
      <c r="O1823" s="5"/>
    </row>
    <row r="1824">
      <c r="A1824" s="6"/>
      <c r="C1824" s="6"/>
      <c r="L1824" s="7"/>
      <c r="M1824" s="5"/>
      <c r="N1824" s="5"/>
      <c r="O1824" s="5"/>
    </row>
    <row r="1825">
      <c r="A1825" s="6"/>
      <c r="C1825" s="6"/>
      <c r="L1825" s="7"/>
      <c r="M1825" s="5"/>
      <c r="N1825" s="5"/>
      <c r="O1825" s="5"/>
    </row>
    <row r="1826">
      <c r="A1826" s="6"/>
      <c r="C1826" s="6"/>
      <c r="L1826" s="7"/>
      <c r="M1826" s="5"/>
      <c r="N1826" s="5"/>
      <c r="O1826" s="5"/>
    </row>
    <row r="1827">
      <c r="A1827" s="6"/>
      <c r="C1827" s="6"/>
      <c r="L1827" s="7"/>
      <c r="M1827" s="5"/>
      <c r="N1827" s="5"/>
      <c r="O1827" s="5"/>
    </row>
    <row r="1828">
      <c r="A1828" s="6"/>
      <c r="C1828" s="6"/>
      <c r="L1828" s="7"/>
      <c r="M1828" s="5"/>
      <c r="N1828" s="5"/>
      <c r="O1828" s="5"/>
    </row>
    <row r="1829">
      <c r="A1829" s="6"/>
      <c r="C1829" s="6"/>
      <c r="L1829" s="7"/>
      <c r="M1829" s="5"/>
      <c r="N1829" s="5"/>
      <c r="O1829" s="5"/>
    </row>
    <row r="1830">
      <c r="A1830" s="6"/>
      <c r="C1830" s="6"/>
      <c r="L1830" s="7"/>
      <c r="M1830" s="5"/>
      <c r="N1830" s="5"/>
      <c r="O1830" s="5"/>
    </row>
    <row r="1831">
      <c r="A1831" s="6"/>
      <c r="C1831" s="6"/>
      <c r="L1831" s="7"/>
      <c r="M1831" s="5"/>
      <c r="N1831" s="5"/>
      <c r="O1831" s="5"/>
    </row>
    <row r="1832">
      <c r="A1832" s="6"/>
      <c r="C1832" s="6"/>
      <c r="L1832" s="7"/>
      <c r="M1832" s="5"/>
      <c r="N1832" s="5"/>
      <c r="O1832" s="5"/>
    </row>
    <row r="1833">
      <c r="A1833" s="6"/>
      <c r="C1833" s="6"/>
      <c r="L1833" s="7"/>
      <c r="M1833" s="5"/>
      <c r="N1833" s="5"/>
      <c r="O1833" s="5"/>
    </row>
    <row r="1834">
      <c r="A1834" s="6"/>
      <c r="C1834" s="6"/>
      <c r="L1834" s="7"/>
      <c r="M1834" s="5"/>
      <c r="N1834" s="5"/>
      <c r="O1834" s="5"/>
    </row>
    <row r="1835">
      <c r="A1835" s="6"/>
      <c r="C1835" s="6"/>
      <c r="L1835" s="7"/>
      <c r="M1835" s="5"/>
      <c r="N1835" s="5"/>
      <c r="O1835" s="5"/>
    </row>
    <row r="1836">
      <c r="A1836" s="6"/>
      <c r="C1836" s="6"/>
      <c r="L1836" s="7"/>
      <c r="M1836" s="5"/>
      <c r="N1836" s="5"/>
      <c r="O1836" s="5"/>
    </row>
    <row r="1837">
      <c r="A1837" s="6"/>
      <c r="C1837" s="6"/>
      <c r="L1837" s="7"/>
      <c r="M1837" s="5"/>
      <c r="N1837" s="5"/>
      <c r="O1837" s="5"/>
    </row>
    <row r="1838">
      <c r="A1838" s="6"/>
      <c r="C1838" s="6"/>
      <c r="L1838" s="7"/>
      <c r="M1838" s="5"/>
      <c r="N1838" s="5"/>
      <c r="O1838" s="5"/>
    </row>
    <row r="1839">
      <c r="A1839" s="6"/>
      <c r="C1839" s="6"/>
      <c r="L1839" s="7"/>
      <c r="M1839" s="5"/>
      <c r="N1839" s="5"/>
      <c r="O1839" s="5"/>
    </row>
    <row r="1840">
      <c r="A1840" s="6"/>
      <c r="C1840" s="6"/>
      <c r="L1840" s="7"/>
      <c r="M1840" s="5"/>
      <c r="N1840" s="5"/>
      <c r="O1840" s="5"/>
    </row>
    <row r="1841">
      <c r="A1841" s="6"/>
      <c r="C1841" s="6"/>
      <c r="L1841" s="7"/>
      <c r="M1841" s="5"/>
      <c r="N1841" s="5"/>
      <c r="O1841" s="5"/>
    </row>
    <row r="1842">
      <c r="A1842" s="6"/>
      <c r="C1842" s="6"/>
      <c r="L1842" s="7"/>
      <c r="M1842" s="5"/>
      <c r="N1842" s="5"/>
      <c r="O1842" s="5"/>
    </row>
    <row r="1843">
      <c r="A1843" s="6"/>
      <c r="C1843" s="6"/>
      <c r="L1843" s="7"/>
      <c r="M1843" s="5"/>
      <c r="N1843" s="5"/>
      <c r="O1843" s="5"/>
    </row>
    <row r="1844">
      <c r="A1844" s="6"/>
      <c r="C1844" s="6"/>
      <c r="L1844" s="7"/>
      <c r="M1844" s="5"/>
      <c r="N1844" s="5"/>
      <c r="O1844" s="5"/>
    </row>
    <row r="1845">
      <c r="A1845" s="6"/>
      <c r="C1845" s="6"/>
      <c r="L1845" s="7"/>
      <c r="M1845" s="5"/>
      <c r="N1845" s="5"/>
      <c r="O1845" s="5"/>
    </row>
    <row r="1846">
      <c r="A1846" s="6"/>
      <c r="C1846" s="6"/>
      <c r="L1846" s="7"/>
      <c r="M1846" s="5"/>
      <c r="N1846" s="5"/>
      <c r="O1846" s="5"/>
    </row>
    <row r="1847">
      <c r="A1847" s="6"/>
      <c r="C1847" s="6"/>
      <c r="L1847" s="7"/>
      <c r="M1847" s="5"/>
      <c r="N1847" s="5"/>
      <c r="O1847" s="5"/>
    </row>
    <row r="1848">
      <c r="A1848" s="6"/>
      <c r="C1848" s="6"/>
      <c r="L1848" s="7"/>
      <c r="M1848" s="5"/>
      <c r="N1848" s="5"/>
      <c r="O1848" s="5"/>
    </row>
    <row r="1849">
      <c r="A1849" s="6"/>
      <c r="C1849" s="6"/>
      <c r="L1849" s="7"/>
      <c r="M1849" s="5"/>
      <c r="N1849" s="5"/>
      <c r="O1849" s="5"/>
    </row>
    <row r="1850">
      <c r="A1850" s="6"/>
      <c r="C1850" s="6"/>
      <c r="L1850" s="7"/>
      <c r="M1850" s="5"/>
      <c r="N1850" s="5"/>
      <c r="O1850" s="5"/>
    </row>
    <row r="1851">
      <c r="A1851" s="6"/>
      <c r="C1851" s="6"/>
      <c r="L1851" s="7"/>
      <c r="M1851" s="5"/>
      <c r="N1851" s="5"/>
      <c r="O1851" s="5"/>
    </row>
    <row r="1852">
      <c r="A1852" s="6"/>
      <c r="C1852" s="6"/>
      <c r="L1852" s="7"/>
      <c r="M1852" s="5"/>
      <c r="N1852" s="5"/>
      <c r="O1852" s="5"/>
    </row>
    <row r="1853">
      <c r="A1853" s="6"/>
      <c r="C1853" s="6"/>
      <c r="L1853" s="7"/>
      <c r="M1853" s="5"/>
      <c r="N1853" s="5"/>
      <c r="O1853" s="5"/>
    </row>
    <row r="1854">
      <c r="A1854" s="6"/>
      <c r="C1854" s="6"/>
      <c r="L1854" s="7"/>
      <c r="M1854" s="5"/>
      <c r="N1854" s="5"/>
      <c r="O1854" s="5"/>
    </row>
    <row r="1855">
      <c r="A1855" s="6"/>
      <c r="C1855" s="6"/>
      <c r="L1855" s="7"/>
      <c r="M1855" s="5"/>
      <c r="N1855" s="5"/>
      <c r="O1855" s="5"/>
    </row>
    <row r="1856">
      <c r="A1856" s="6"/>
      <c r="C1856" s="6"/>
      <c r="L1856" s="7"/>
      <c r="M1856" s="5"/>
      <c r="N1856" s="5"/>
      <c r="O1856" s="5"/>
    </row>
    <row r="1857">
      <c r="A1857" s="6"/>
      <c r="C1857" s="6"/>
      <c r="L1857" s="7"/>
      <c r="M1857" s="5"/>
      <c r="N1857" s="5"/>
      <c r="O1857" s="5"/>
    </row>
    <row r="1858">
      <c r="A1858" s="6"/>
      <c r="C1858" s="6"/>
      <c r="L1858" s="7"/>
      <c r="M1858" s="5"/>
      <c r="N1858" s="5"/>
      <c r="O1858" s="5"/>
    </row>
    <row r="1859">
      <c r="A1859" s="6"/>
      <c r="C1859" s="6"/>
      <c r="L1859" s="7"/>
      <c r="M1859" s="5"/>
      <c r="N1859" s="5"/>
      <c r="O1859" s="5"/>
    </row>
    <row r="1860">
      <c r="A1860" s="6"/>
      <c r="C1860" s="6"/>
      <c r="L1860" s="7"/>
      <c r="M1860" s="5"/>
      <c r="N1860" s="5"/>
      <c r="O1860" s="5"/>
    </row>
    <row r="1861">
      <c r="A1861" s="6"/>
      <c r="C1861" s="6"/>
      <c r="L1861" s="7"/>
      <c r="M1861" s="5"/>
      <c r="N1861" s="5"/>
      <c r="O1861" s="5"/>
    </row>
    <row r="1862">
      <c r="A1862" s="6"/>
      <c r="C1862" s="6"/>
      <c r="L1862" s="7"/>
      <c r="M1862" s="5"/>
      <c r="N1862" s="5"/>
      <c r="O1862" s="5"/>
    </row>
    <row r="1863">
      <c r="A1863" s="6"/>
      <c r="C1863" s="6"/>
      <c r="L1863" s="7"/>
      <c r="M1863" s="5"/>
      <c r="N1863" s="5"/>
      <c r="O1863" s="5"/>
    </row>
    <row r="1864">
      <c r="A1864" s="6"/>
      <c r="C1864" s="6"/>
      <c r="L1864" s="7"/>
      <c r="M1864" s="5"/>
      <c r="N1864" s="5"/>
      <c r="O1864" s="5"/>
    </row>
    <row r="1865">
      <c r="A1865" s="6"/>
      <c r="C1865" s="6"/>
      <c r="L1865" s="7"/>
      <c r="M1865" s="5"/>
      <c r="N1865" s="5"/>
      <c r="O1865" s="5"/>
    </row>
    <row r="1866">
      <c r="A1866" s="6"/>
      <c r="C1866" s="6"/>
      <c r="L1866" s="7"/>
      <c r="M1866" s="5"/>
      <c r="N1866" s="5"/>
      <c r="O1866" s="5"/>
    </row>
    <row r="1867">
      <c r="A1867" s="6"/>
      <c r="C1867" s="6"/>
      <c r="L1867" s="7"/>
      <c r="M1867" s="5"/>
      <c r="N1867" s="5"/>
      <c r="O1867" s="5"/>
    </row>
    <row r="1868">
      <c r="A1868" s="6"/>
      <c r="C1868" s="6"/>
      <c r="L1868" s="7"/>
      <c r="M1868" s="5"/>
      <c r="N1868" s="5"/>
      <c r="O1868" s="5"/>
    </row>
    <row r="1869">
      <c r="A1869" s="6"/>
      <c r="C1869" s="6"/>
      <c r="L1869" s="7"/>
      <c r="M1869" s="5"/>
      <c r="N1869" s="5"/>
      <c r="O1869" s="5"/>
    </row>
    <row r="1870">
      <c r="A1870" s="6"/>
      <c r="C1870" s="6"/>
      <c r="L1870" s="7"/>
      <c r="M1870" s="5"/>
      <c r="N1870" s="5"/>
      <c r="O1870" s="5"/>
    </row>
    <row r="1871">
      <c r="A1871" s="6"/>
      <c r="C1871" s="6"/>
      <c r="L1871" s="7"/>
      <c r="M1871" s="5"/>
      <c r="N1871" s="5"/>
      <c r="O1871" s="5"/>
    </row>
    <row r="1872">
      <c r="A1872" s="6"/>
      <c r="C1872" s="6"/>
      <c r="L1872" s="7"/>
      <c r="M1872" s="5"/>
      <c r="N1872" s="5"/>
      <c r="O1872" s="5"/>
    </row>
    <row r="1873">
      <c r="A1873" s="6"/>
      <c r="C1873" s="6"/>
      <c r="L1873" s="7"/>
      <c r="M1873" s="5"/>
      <c r="N1873" s="5"/>
      <c r="O1873" s="5"/>
    </row>
    <row r="1874">
      <c r="A1874" s="6"/>
      <c r="C1874" s="6"/>
      <c r="L1874" s="7"/>
      <c r="M1874" s="5"/>
      <c r="N1874" s="5"/>
      <c r="O1874" s="5"/>
    </row>
    <row r="1875">
      <c r="A1875" s="6"/>
      <c r="C1875" s="6"/>
      <c r="L1875" s="7"/>
      <c r="M1875" s="5"/>
      <c r="N1875" s="5"/>
      <c r="O1875" s="5"/>
    </row>
    <row r="1876">
      <c r="A1876" s="6"/>
      <c r="C1876" s="6"/>
      <c r="L1876" s="7"/>
      <c r="M1876" s="5"/>
      <c r="N1876" s="5"/>
      <c r="O1876" s="5"/>
    </row>
    <row r="1877">
      <c r="A1877" s="6"/>
      <c r="C1877" s="6"/>
      <c r="L1877" s="7"/>
      <c r="M1877" s="5"/>
      <c r="N1877" s="5"/>
      <c r="O1877" s="5"/>
    </row>
    <row r="1878">
      <c r="A1878" s="6"/>
      <c r="C1878" s="6"/>
      <c r="L1878" s="7"/>
      <c r="M1878" s="5"/>
      <c r="N1878" s="5"/>
      <c r="O1878" s="5"/>
    </row>
    <row r="1879">
      <c r="A1879" s="6"/>
      <c r="C1879" s="6"/>
      <c r="L1879" s="7"/>
      <c r="M1879" s="5"/>
      <c r="N1879" s="5"/>
      <c r="O1879" s="5"/>
    </row>
    <row r="1880">
      <c r="A1880" s="6"/>
      <c r="C1880" s="6"/>
      <c r="L1880" s="7"/>
      <c r="M1880" s="5"/>
      <c r="N1880" s="5"/>
      <c r="O1880" s="5"/>
    </row>
    <row r="1881">
      <c r="A1881" s="6"/>
      <c r="C1881" s="6"/>
      <c r="L1881" s="7"/>
      <c r="M1881" s="5"/>
      <c r="N1881" s="5"/>
      <c r="O1881" s="5"/>
    </row>
    <row r="1882">
      <c r="A1882" s="6"/>
      <c r="C1882" s="6"/>
      <c r="L1882" s="7"/>
      <c r="M1882" s="5"/>
      <c r="N1882" s="5"/>
      <c r="O1882" s="5"/>
    </row>
    <row r="1883">
      <c r="A1883" s="6"/>
      <c r="C1883" s="6"/>
      <c r="L1883" s="7"/>
      <c r="M1883" s="5"/>
      <c r="N1883" s="5"/>
      <c r="O1883" s="5"/>
    </row>
    <row r="1884">
      <c r="A1884" s="6"/>
      <c r="C1884" s="6"/>
      <c r="L1884" s="7"/>
      <c r="M1884" s="5"/>
      <c r="N1884" s="5"/>
      <c r="O1884" s="5"/>
    </row>
    <row r="1885">
      <c r="A1885" s="6"/>
      <c r="C1885" s="6"/>
      <c r="L1885" s="7"/>
      <c r="M1885" s="5"/>
      <c r="N1885" s="5"/>
      <c r="O1885" s="5"/>
    </row>
    <row r="1886">
      <c r="A1886" s="6"/>
      <c r="C1886" s="6"/>
      <c r="L1886" s="7"/>
      <c r="M1886" s="5"/>
      <c r="N1886" s="5"/>
      <c r="O1886" s="5"/>
    </row>
    <row r="1887">
      <c r="A1887" s="6"/>
      <c r="C1887" s="6"/>
      <c r="L1887" s="7"/>
      <c r="M1887" s="5"/>
      <c r="N1887" s="5"/>
      <c r="O1887" s="5"/>
    </row>
    <row r="1888">
      <c r="A1888" s="6"/>
      <c r="C1888" s="6"/>
      <c r="L1888" s="7"/>
      <c r="M1888" s="5"/>
      <c r="N1888" s="5"/>
      <c r="O1888" s="5"/>
    </row>
    <row r="1889">
      <c r="A1889" s="6"/>
      <c r="C1889" s="6"/>
      <c r="L1889" s="7"/>
      <c r="M1889" s="5"/>
      <c r="N1889" s="5"/>
      <c r="O1889" s="5"/>
    </row>
    <row r="1890">
      <c r="A1890" s="6"/>
      <c r="C1890" s="6"/>
      <c r="L1890" s="7"/>
      <c r="M1890" s="5"/>
      <c r="N1890" s="5"/>
      <c r="O1890" s="5"/>
    </row>
    <row r="1891">
      <c r="A1891" s="6"/>
      <c r="C1891" s="6"/>
      <c r="L1891" s="7"/>
      <c r="M1891" s="5"/>
      <c r="N1891" s="5"/>
      <c r="O1891" s="5"/>
    </row>
    <row r="1892">
      <c r="A1892" s="6"/>
      <c r="C1892" s="6"/>
      <c r="L1892" s="7"/>
      <c r="M1892" s="5"/>
      <c r="N1892" s="5"/>
      <c r="O1892" s="5"/>
    </row>
    <row r="1893">
      <c r="A1893" s="6"/>
      <c r="C1893" s="6"/>
      <c r="L1893" s="7"/>
      <c r="M1893" s="5"/>
      <c r="N1893" s="5"/>
      <c r="O1893" s="5"/>
    </row>
    <row r="1894">
      <c r="A1894" s="6"/>
      <c r="C1894" s="6"/>
      <c r="L1894" s="7"/>
      <c r="M1894" s="5"/>
      <c r="N1894" s="5"/>
      <c r="O1894" s="5"/>
    </row>
    <row r="1895">
      <c r="A1895" s="6"/>
      <c r="C1895" s="6"/>
      <c r="L1895" s="7"/>
      <c r="M1895" s="5"/>
      <c r="N1895" s="5"/>
      <c r="O1895" s="5"/>
    </row>
    <row r="1896">
      <c r="A1896" s="6"/>
      <c r="C1896" s="6"/>
      <c r="L1896" s="7"/>
      <c r="M1896" s="5"/>
      <c r="N1896" s="5"/>
      <c r="O1896" s="5"/>
    </row>
    <row r="1897">
      <c r="A1897" s="6"/>
      <c r="C1897" s="6"/>
      <c r="L1897" s="7"/>
      <c r="M1897" s="5"/>
      <c r="N1897" s="5"/>
      <c r="O1897" s="5"/>
    </row>
    <row r="1898">
      <c r="A1898" s="6"/>
      <c r="C1898" s="6"/>
      <c r="L1898" s="7"/>
      <c r="M1898" s="5"/>
      <c r="N1898" s="5"/>
      <c r="O1898" s="5"/>
    </row>
    <row r="1899">
      <c r="A1899" s="6"/>
      <c r="C1899" s="6"/>
      <c r="L1899" s="7"/>
      <c r="M1899" s="5"/>
      <c r="N1899" s="5"/>
      <c r="O1899" s="5"/>
    </row>
    <row r="1900">
      <c r="A1900" s="6"/>
      <c r="C1900" s="6"/>
      <c r="L1900" s="7"/>
      <c r="M1900" s="5"/>
      <c r="N1900" s="5"/>
      <c r="O1900" s="5"/>
    </row>
    <row r="1901">
      <c r="A1901" s="6"/>
      <c r="C1901" s="6"/>
      <c r="L1901" s="7"/>
      <c r="M1901" s="5"/>
      <c r="N1901" s="5"/>
      <c r="O1901" s="5"/>
    </row>
    <row r="1902">
      <c r="A1902" s="6"/>
      <c r="C1902" s="6"/>
      <c r="L1902" s="7"/>
      <c r="M1902" s="5"/>
      <c r="N1902" s="5"/>
      <c r="O1902" s="5"/>
    </row>
    <row r="1903">
      <c r="A1903" s="6"/>
      <c r="C1903" s="6"/>
      <c r="L1903" s="7"/>
      <c r="M1903" s="5"/>
      <c r="N1903" s="5"/>
      <c r="O1903" s="5"/>
    </row>
    <row r="1904">
      <c r="A1904" s="6"/>
      <c r="C1904" s="6"/>
      <c r="L1904" s="7"/>
      <c r="M1904" s="5"/>
      <c r="N1904" s="5"/>
      <c r="O1904" s="5"/>
    </row>
    <row r="1905">
      <c r="A1905" s="6"/>
      <c r="C1905" s="6"/>
      <c r="L1905" s="7"/>
      <c r="M1905" s="5"/>
      <c r="N1905" s="5"/>
      <c r="O1905" s="5"/>
    </row>
    <row r="1906">
      <c r="A1906" s="6"/>
      <c r="C1906" s="6"/>
      <c r="L1906" s="7"/>
      <c r="M1906" s="5"/>
      <c r="N1906" s="5"/>
      <c r="O1906" s="5"/>
    </row>
    <row r="1907">
      <c r="A1907" s="6"/>
      <c r="C1907" s="6"/>
      <c r="L1907" s="7"/>
      <c r="M1907" s="5"/>
      <c r="N1907" s="5"/>
      <c r="O1907" s="5"/>
    </row>
    <row r="1908">
      <c r="A1908" s="6"/>
      <c r="C1908" s="6"/>
      <c r="L1908" s="7"/>
      <c r="M1908" s="5"/>
      <c r="N1908" s="5"/>
      <c r="O1908" s="5"/>
    </row>
    <row r="1909">
      <c r="A1909" s="6"/>
      <c r="C1909" s="6"/>
      <c r="L1909" s="7"/>
      <c r="M1909" s="5"/>
      <c r="N1909" s="5"/>
      <c r="O1909" s="5"/>
    </row>
    <row r="1910">
      <c r="A1910" s="6"/>
      <c r="C1910" s="6"/>
      <c r="L1910" s="7"/>
      <c r="M1910" s="5"/>
      <c r="N1910" s="5"/>
      <c r="O1910" s="5"/>
    </row>
    <row r="1911">
      <c r="A1911" s="6"/>
      <c r="C1911" s="6"/>
      <c r="L1911" s="7"/>
      <c r="M1911" s="5"/>
      <c r="N1911" s="5"/>
      <c r="O1911" s="5"/>
    </row>
    <row r="1912">
      <c r="A1912" s="6"/>
      <c r="C1912" s="6"/>
      <c r="L1912" s="7"/>
      <c r="M1912" s="5"/>
      <c r="N1912" s="5"/>
      <c r="O1912" s="5"/>
    </row>
    <row r="1913">
      <c r="A1913" s="6"/>
      <c r="C1913" s="6"/>
      <c r="L1913" s="7"/>
      <c r="M1913" s="5"/>
      <c r="N1913" s="5"/>
      <c r="O1913" s="5"/>
    </row>
    <row r="1914">
      <c r="A1914" s="6"/>
      <c r="C1914" s="6"/>
      <c r="L1914" s="7"/>
      <c r="M1914" s="5"/>
      <c r="N1914" s="5"/>
      <c r="O1914" s="5"/>
    </row>
    <row r="1915">
      <c r="A1915" s="6"/>
      <c r="C1915" s="6"/>
      <c r="L1915" s="7"/>
      <c r="M1915" s="5"/>
      <c r="N1915" s="5"/>
      <c r="O1915" s="5"/>
    </row>
    <row r="1916">
      <c r="A1916" s="6"/>
      <c r="C1916" s="6"/>
      <c r="L1916" s="7"/>
      <c r="M1916" s="5"/>
      <c r="N1916" s="5"/>
      <c r="O1916" s="5"/>
    </row>
    <row r="1917">
      <c r="A1917" s="6"/>
      <c r="C1917" s="6"/>
      <c r="L1917" s="7"/>
      <c r="M1917" s="5"/>
      <c r="N1917" s="5"/>
      <c r="O1917" s="5"/>
    </row>
    <row r="1918">
      <c r="A1918" s="6"/>
      <c r="C1918" s="6"/>
      <c r="L1918" s="7"/>
      <c r="M1918" s="5"/>
      <c r="N1918" s="5"/>
      <c r="O1918" s="5"/>
    </row>
    <row r="1919">
      <c r="A1919" s="6"/>
      <c r="C1919" s="6"/>
      <c r="L1919" s="7"/>
      <c r="M1919" s="5"/>
      <c r="N1919" s="5"/>
      <c r="O1919" s="5"/>
    </row>
    <row r="1920">
      <c r="A1920" s="6"/>
      <c r="C1920" s="6"/>
      <c r="L1920" s="7"/>
      <c r="M1920" s="5"/>
      <c r="N1920" s="5"/>
      <c r="O1920" s="5"/>
    </row>
    <row r="1921">
      <c r="A1921" s="6"/>
      <c r="C1921" s="6"/>
      <c r="L1921" s="7"/>
      <c r="M1921" s="5"/>
      <c r="N1921" s="5"/>
      <c r="O1921" s="5"/>
    </row>
    <row r="1922">
      <c r="A1922" s="6"/>
      <c r="C1922" s="6"/>
      <c r="L1922" s="7"/>
      <c r="M1922" s="5"/>
      <c r="N1922" s="5"/>
      <c r="O1922" s="5"/>
    </row>
    <row r="1923">
      <c r="A1923" s="6"/>
      <c r="C1923" s="6"/>
      <c r="L1923" s="7"/>
      <c r="M1923" s="5"/>
      <c r="N1923" s="5"/>
      <c r="O1923" s="5"/>
    </row>
    <row r="1924">
      <c r="A1924" s="6"/>
      <c r="C1924" s="6"/>
      <c r="L1924" s="7"/>
      <c r="M1924" s="5"/>
      <c r="N1924" s="5"/>
      <c r="O1924" s="5"/>
    </row>
    <row r="1925">
      <c r="A1925" s="6"/>
      <c r="C1925" s="6"/>
      <c r="L1925" s="7"/>
      <c r="M1925" s="5"/>
      <c r="N1925" s="5"/>
      <c r="O1925" s="5"/>
    </row>
    <row r="1926">
      <c r="A1926" s="6"/>
      <c r="C1926" s="6"/>
      <c r="L1926" s="7"/>
      <c r="M1926" s="5"/>
      <c r="N1926" s="5"/>
      <c r="O1926" s="5"/>
    </row>
    <row r="1927">
      <c r="A1927" s="6"/>
      <c r="C1927" s="6"/>
      <c r="L1927" s="7"/>
      <c r="M1927" s="5"/>
      <c r="N1927" s="5"/>
      <c r="O1927" s="5"/>
    </row>
    <row r="1928">
      <c r="A1928" s="6"/>
      <c r="C1928" s="6"/>
      <c r="L1928" s="7"/>
      <c r="M1928" s="5"/>
      <c r="N1928" s="5"/>
      <c r="O1928" s="5"/>
    </row>
    <row r="1929">
      <c r="A1929" s="6"/>
      <c r="C1929" s="6"/>
      <c r="L1929" s="7"/>
      <c r="M1929" s="5"/>
      <c r="N1929" s="5"/>
      <c r="O1929" s="5"/>
    </row>
    <row r="1930">
      <c r="A1930" s="6"/>
      <c r="C1930" s="6"/>
      <c r="L1930" s="7"/>
      <c r="M1930" s="5"/>
      <c r="N1930" s="5"/>
      <c r="O1930" s="5"/>
    </row>
    <row r="1931">
      <c r="A1931" s="6"/>
      <c r="C1931" s="6"/>
      <c r="L1931" s="7"/>
      <c r="M1931" s="5"/>
      <c r="N1931" s="5"/>
      <c r="O1931" s="5"/>
    </row>
    <row r="1932">
      <c r="A1932" s="6"/>
      <c r="C1932" s="6"/>
      <c r="L1932" s="7"/>
      <c r="M1932" s="5"/>
      <c r="N1932" s="5"/>
      <c r="O1932" s="5"/>
    </row>
    <row r="1933">
      <c r="A1933" s="6"/>
      <c r="C1933" s="6"/>
      <c r="L1933" s="7"/>
      <c r="M1933" s="5"/>
      <c r="N1933" s="5"/>
      <c r="O1933" s="5"/>
    </row>
    <row r="1934">
      <c r="A1934" s="6"/>
      <c r="C1934" s="6"/>
      <c r="L1934" s="7"/>
      <c r="M1934" s="5"/>
      <c r="N1934" s="5"/>
      <c r="O1934" s="5"/>
    </row>
    <row r="1935">
      <c r="A1935" s="6"/>
      <c r="C1935" s="6"/>
      <c r="L1935" s="7"/>
      <c r="M1935" s="5"/>
      <c r="N1935" s="5"/>
      <c r="O1935" s="5"/>
    </row>
    <row r="1936">
      <c r="A1936" s="6"/>
      <c r="C1936" s="6"/>
      <c r="L1936" s="7"/>
      <c r="M1936" s="5"/>
      <c r="N1936" s="5"/>
      <c r="O1936" s="5"/>
    </row>
    <row r="1937">
      <c r="A1937" s="6"/>
      <c r="C1937" s="6"/>
      <c r="L1937" s="7"/>
      <c r="M1937" s="5"/>
      <c r="N1937" s="5"/>
      <c r="O1937" s="5"/>
    </row>
    <row r="1938">
      <c r="A1938" s="6"/>
      <c r="C1938" s="6"/>
      <c r="L1938" s="7"/>
      <c r="M1938" s="5"/>
      <c r="N1938" s="5"/>
      <c r="O1938" s="5"/>
    </row>
    <row r="1939">
      <c r="A1939" s="6"/>
      <c r="C1939" s="6"/>
      <c r="L1939" s="7"/>
      <c r="M1939" s="5"/>
      <c r="N1939" s="5"/>
      <c r="O1939" s="5"/>
    </row>
    <row r="1940">
      <c r="A1940" s="6"/>
      <c r="C1940" s="6"/>
      <c r="L1940" s="7"/>
      <c r="M1940" s="5"/>
      <c r="N1940" s="5"/>
      <c r="O1940" s="5"/>
    </row>
    <row r="1941">
      <c r="A1941" s="6"/>
      <c r="C1941" s="6"/>
      <c r="L1941" s="7"/>
      <c r="M1941" s="5"/>
      <c r="N1941" s="5"/>
      <c r="O1941" s="5"/>
    </row>
    <row r="1942">
      <c r="A1942" s="6"/>
      <c r="C1942" s="6"/>
      <c r="L1942" s="7"/>
      <c r="M1942" s="5"/>
      <c r="N1942" s="5"/>
      <c r="O1942" s="5"/>
    </row>
    <row r="1943">
      <c r="A1943" s="6"/>
      <c r="C1943" s="6"/>
      <c r="L1943" s="7"/>
      <c r="M1943" s="5"/>
      <c r="N1943" s="5"/>
      <c r="O1943" s="5"/>
    </row>
    <row r="1944">
      <c r="A1944" s="6"/>
      <c r="C1944" s="6"/>
      <c r="L1944" s="7"/>
      <c r="M1944" s="5"/>
      <c r="N1944" s="5"/>
      <c r="O1944" s="5"/>
    </row>
    <row r="1945">
      <c r="A1945" s="6"/>
      <c r="C1945" s="6"/>
      <c r="L1945" s="7"/>
      <c r="M1945" s="5"/>
      <c r="N1945" s="5"/>
      <c r="O1945" s="5"/>
    </row>
    <row r="1946">
      <c r="A1946" s="6"/>
      <c r="C1946" s="6"/>
      <c r="L1946" s="7"/>
      <c r="M1946" s="5"/>
      <c r="N1946" s="5"/>
      <c r="O1946" s="5"/>
    </row>
    <row r="1947">
      <c r="A1947" s="6"/>
      <c r="C1947" s="6"/>
      <c r="L1947" s="7"/>
      <c r="M1947" s="5"/>
      <c r="N1947" s="5"/>
      <c r="O1947" s="5"/>
    </row>
    <row r="1948">
      <c r="A1948" s="6"/>
      <c r="C1948" s="6"/>
      <c r="L1948" s="7"/>
      <c r="M1948" s="5"/>
      <c r="N1948" s="5"/>
      <c r="O1948" s="5"/>
    </row>
    <row r="1949">
      <c r="A1949" s="6"/>
      <c r="C1949" s="6"/>
      <c r="L1949" s="7"/>
      <c r="M1949" s="5"/>
      <c r="N1949" s="5"/>
      <c r="O1949" s="5"/>
    </row>
    <row r="1950">
      <c r="A1950" s="6"/>
      <c r="C1950" s="6"/>
      <c r="L1950" s="7"/>
      <c r="M1950" s="5"/>
      <c r="N1950" s="5"/>
      <c r="O1950" s="5"/>
    </row>
    <row r="1951">
      <c r="A1951" s="6"/>
      <c r="C1951" s="6"/>
      <c r="L1951" s="7"/>
      <c r="M1951" s="5"/>
      <c r="N1951" s="5"/>
      <c r="O1951" s="5"/>
    </row>
    <row r="1952">
      <c r="A1952" s="6"/>
      <c r="C1952" s="6"/>
      <c r="L1952" s="7"/>
      <c r="M1952" s="5"/>
      <c r="N1952" s="5"/>
      <c r="O1952" s="5"/>
    </row>
    <row r="1953">
      <c r="A1953" s="6"/>
      <c r="C1953" s="6"/>
      <c r="L1953" s="7"/>
      <c r="M1953" s="5"/>
      <c r="N1953" s="5"/>
      <c r="O1953" s="5"/>
    </row>
    <row r="1954">
      <c r="A1954" s="6"/>
      <c r="C1954" s="6"/>
      <c r="L1954" s="7"/>
      <c r="M1954" s="5"/>
      <c r="N1954" s="5"/>
      <c r="O1954" s="5"/>
    </row>
    <row r="1955">
      <c r="A1955" s="6"/>
      <c r="C1955" s="6"/>
      <c r="L1955" s="7"/>
      <c r="M1955" s="5"/>
      <c r="N1955" s="5"/>
      <c r="O1955" s="5"/>
    </row>
    <row r="1956">
      <c r="A1956" s="6"/>
      <c r="C1956" s="6"/>
      <c r="L1956" s="7"/>
      <c r="M1956" s="5"/>
      <c r="N1956" s="5"/>
      <c r="O1956" s="5"/>
    </row>
    <row r="1957">
      <c r="A1957" s="6"/>
      <c r="C1957" s="6"/>
      <c r="L1957" s="7"/>
      <c r="M1957" s="5"/>
      <c r="N1957" s="5"/>
      <c r="O1957" s="5"/>
    </row>
    <row r="1958">
      <c r="A1958" s="6"/>
      <c r="C1958" s="6"/>
      <c r="L1958" s="7"/>
      <c r="M1958" s="5"/>
      <c r="N1958" s="5"/>
      <c r="O1958" s="5"/>
    </row>
    <row r="1959">
      <c r="A1959" s="6"/>
      <c r="C1959" s="6"/>
      <c r="L1959" s="7"/>
      <c r="M1959" s="5"/>
      <c r="N1959" s="5"/>
      <c r="O1959" s="5"/>
    </row>
    <row r="1960">
      <c r="A1960" s="6"/>
      <c r="C1960" s="6"/>
      <c r="L1960" s="7"/>
      <c r="M1960" s="5"/>
      <c r="N1960" s="5"/>
      <c r="O1960" s="5"/>
    </row>
    <row r="1961">
      <c r="A1961" s="6"/>
      <c r="C1961" s="6"/>
      <c r="L1961" s="7"/>
      <c r="M1961" s="5"/>
      <c r="N1961" s="5"/>
      <c r="O1961" s="5"/>
    </row>
    <row r="1962">
      <c r="A1962" s="6"/>
      <c r="C1962" s="6"/>
      <c r="L1962" s="7"/>
      <c r="M1962" s="5"/>
      <c r="N1962" s="5"/>
      <c r="O1962" s="5"/>
    </row>
    <row r="1963">
      <c r="A1963" s="6"/>
      <c r="C1963" s="6"/>
      <c r="L1963" s="7"/>
      <c r="M1963" s="5"/>
      <c r="N1963" s="5"/>
      <c r="O1963" s="5"/>
    </row>
    <row r="1964">
      <c r="A1964" s="6"/>
      <c r="C1964" s="6"/>
      <c r="L1964" s="7"/>
      <c r="M1964" s="5"/>
      <c r="N1964" s="5"/>
      <c r="O1964" s="5"/>
    </row>
    <row r="1965">
      <c r="A1965" s="6"/>
      <c r="C1965" s="6"/>
      <c r="L1965" s="7"/>
      <c r="M1965" s="5"/>
      <c r="N1965" s="5"/>
      <c r="O1965" s="5"/>
    </row>
    <row r="1966">
      <c r="A1966" s="6"/>
      <c r="C1966" s="6"/>
      <c r="L1966" s="7"/>
      <c r="M1966" s="5"/>
      <c r="N1966" s="5"/>
      <c r="O1966" s="5"/>
    </row>
    <row r="1967">
      <c r="A1967" s="6"/>
      <c r="C1967" s="6"/>
      <c r="L1967" s="7"/>
      <c r="M1967" s="5"/>
      <c r="N1967" s="5"/>
      <c r="O1967" s="5"/>
    </row>
    <row r="1968">
      <c r="A1968" s="6"/>
      <c r="C1968" s="6"/>
      <c r="L1968" s="7"/>
      <c r="M1968" s="5"/>
      <c r="N1968" s="5"/>
      <c r="O1968" s="5"/>
    </row>
    <row r="1969">
      <c r="A1969" s="6"/>
      <c r="C1969" s="6"/>
      <c r="L1969" s="7"/>
      <c r="M1969" s="5"/>
      <c r="N1969" s="5"/>
      <c r="O1969" s="5"/>
    </row>
    <row r="1970">
      <c r="A1970" s="6"/>
      <c r="C1970" s="6"/>
      <c r="L1970" s="7"/>
      <c r="M1970" s="5"/>
      <c r="N1970" s="5"/>
      <c r="O1970" s="5"/>
    </row>
    <row r="1971">
      <c r="A1971" s="6"/>
      <c r="C1971" s="6"/>
      <c r="L1971" s="7"/>
      <c r="M1971" s="5"/>
      <c r="N1971" s="5"/>
      <c r="O1971" s="5"/>
    </row>
    <row r="1972">
      <c r="A1972" s="6"/>
      <c r="C1972" s="6"/>
      <c r="L1972" s="7"/>
      <c r="M1972" s="5"/>
      <c r="N1972" s="5"/>
      <c r="O1972" s="5"/>
    </row>
    <row r="1973">
      <c r="A1973" s="6"/>
      <c r="C1973" s="6"/>
      <c r="L1973" s="7"/>
      <c r="M1973" s="5"/>
      <c r="N1973" s="5"/>
      <c r="O1973" s="5"/>
    </row>
    <row r="1974">
      <c r="A1974" s="6"/>
      <c r="C1974" s="6"/>
      <c r="L1974" s="7"/>
      <c r="M1974" s="5"/>
      <c r="N1974" s="5"/>
      <c r="O1974" s="5"/>
    </row>
    <row r="1975">
      <c r="A1975" s="6"/>
      <c r="C1975" s="6"/>
      <c r="L1975" s="7"/>
      <c r="M1975" s="5"/>
      <c r="N1975" s="5"/>
      <c r="O1975" s="5"/>
    </row>
    <row r="1976">
      <c r="A1976" s="6"/>
      <c r="C1976" s="6"/>
      <c r="L1976" s="7"/>
      <c r="M1976" s="5"/>
      <c r="N1976" s="5"/>
      <c r="O1976" s="5"/>
    </row>
    <row r="1977">
      <c r="A1977" s="6"/>
      <c r="C1977" s="6"/>
      <c r="L1977" s="7"/>
      <c r="M1977" s="5"/>
      <c r="N1977" s="5"/>
      <c r="O1977" s="5"/>
    </row>
    <row r="1978">
      <c r="A1978" s="6"/>
      <c r="C1978" s="6"/>
      <c r="L1978" s="7"/>
      <c r="M1978" s="5"/>
      <c r="N1978" s="5"/>
      <c r="O1978" s="5"/>
    </row>
    <row r="1979">
      <c r="A1979" s="6"/>
      <c r="C1979" s="6"/>
      <c r="L1979" s="7"/>
      <c r="M1979" s="5"/>
      <c r="N1979" s="5"/>
      <c r="O1979" s="5"/>
    </row>
    <row r="1980">
      <c r="A1980" s="6"/>
      <c r="C1980" s="6"/>
      <c r="L1980" s="7"/>
      <c r="M1980" s="5"/>
      <c r="N1980" s="5"/>
      <c r="O1980" s="5"/>
    </row>
    <row r="1981">
      <c r="A1981" s="6"/>
      <c r="C1981" s="6"/>
      <c r="L1981" s="7"/>
      <c r="M1981" s="5"/>
      <c r="N1981" s="5"/>
      <c r="O1981" s="5"/>
    </row>
    <row r="1982">
      <c r="A1982" s="6"/>
      <c r="C1982" s="6"/>
      <c r="L1982" s="7"/>
      <c r="M1982" s="5"/>
      <c r="N1982" s="5"/>
      <c r="O1982" s="5"/>
    </row>
    <row r="1983">
      <c r="A1983" s="6"/>
      <c r="C1983" s="6"/>
      <c r="L1983" s="7"/>
      <c r="M1983" s="5"/>
      <c r="N1983" s="5"/>
      <c r="O1983" s="5"/>
    </row>
    <row r="1984">
      <c r="A1984" s="6"/>
      <c r="C1984" s="6"/>
      <c r="L1984" s="7"/>
      <c r="M1984" s="5"/>
      <c r="N1984" s="5"/>
      <c r="O1984" s="5"/>
    </row>
    <row r="1985">
      <c r="A1985" s="6"/>
      <c r="C1985" s="6"/>
      <c r="L1985" s="7"/>
      <c r="M1985" s="5"/>
      <c r="N1985" s="5"/>
      <c r="O1985" s="5"/>
    </row>
    <row r="1986">
      <c r="A1986" s="6"/>
      <c r="C1986" s="6"/>
      <c r="L1986" s="7"/>
      <c r="M1986" s="5"/>
      <c r="N1986" s="5"/>
      <c r="O1986" s="5"/>
    </row>
    <row r="1987">
      <c r="A1987" s="6"/>
      <c r="C1987" s="6"/>
      <c r="L1987" s="7"/>
      <c r="M1987" s="5"/>
      <c r="N1987" s="5"/>
      <c r="O1987" s="5"/>
    </row>
    <row r="1988">
      <c r="A1988" s="6"/>
      <c r="C1988" s="6"/>
      <c r="L1988" s="7"/>
      <c r="M1988" s="5"/>
      <c r="N1988" s="5"/>
      <c r="O1988" s="5"/>
    </row>
    <row r="1989">
      <c r="A1989" s="6"/>
      <c r="C1989" s="6"/>
      <c r="L1989" s="7"/>
      <c r="M1989" s="5"/>
      <c r="N1989" s="5"/>
      <c r="O1989" s="5"/>
    </row>
    <row r="1990">
      <c r="A1990" s="6"/>
      <c r="C1990" s="6"/>
      <c r="L1990" s="7"/>
      <c r="M1990" s="5"/>
      <c r="N1990" s="5"/>
      <c r="O1990" s="5"/>
    </row>
    <row r="1991">
      <c r="A1991" s="6"/>
      <c r="C1991" s="6"/>
      <c r="L1991" s="7"/>
      <c r="M1991" s="5"/>
      <c r="N1991" s="5"/>
      <c r="O1991" s="5"/>
    </row>
    <row r="1992">
      <c r="A1992" s="6"/>
      <c r="C1992" s="6"/>
      <c r="L1992" s="7"/>
      <c r="M1992" s="5"/>
      <c r="N1992" s="5"/>
      <c r="O1992" s="5"/>
    </row>
    <row r="1993">
      <c r="A1993" s="6"/>
      <c r="C1993" s="6"/>
      <c r="L1993" s="7"/>
      <c r="M1993" s="5"/>
      <c r="N1993" s="5"/>
      <c r="O1993" s="5"/>
    </row>
    <row r="1994">
      <c r="A1994" s="6"/>
      <c r="C1994" s="6"/>
      <c r="L1994" s="7"/>
      <c r="M1994" s="5"/>
      <c r="N1994" s="5"/>
      <c r="O1994" s="5"/>
    </row>
    <row r="1995">
      <c r="A1995" s="6"/>
      <c r="C1995" s="6"/>
      <c r="L1995" s="7"/>
      <c r="M1995" s="5"/>
      <c r="N1995" s="5"/>
      <c r="O1995" s="5"/>
    </row>
    <row r="1996">
      <c r="A1996" s="6"/>
      <c r="C1996" s="6"/>
      <c r="L1996" s="7"/>
      <c r="M1996" s="5"/>
      <c r="N1996" s="5"/>
      <c r="O1996" s="5"/>
    </row>
    <row r="1997">
      <c r="A1997" s="6"/>
      <c r="C1997" s="6"/>
      <c r="L1997" s="7"/>
      <c r="M1997" s="5"/>
      <c r="N1997" s="5"/>
      <c r="O1997" s="5"/>
    </row>
    <row r="1998">
      <c r="A1998" s="6"/>
      <c r="C1998" s="6"/>
      <c r="L1998" s="7"/>
      <c r="M1998" s="5"/>
      <c r="N1998" s="5"/>
      <c r="O1998" s="5"/>
    </row>
    <row r="1999">
      <c r="A1999" s="6"/>
      <c r="C1999" s="6"/>
      <c r="L1999" s="7"/>
      <c r="M1999" s="5"/>
      <c r="N1999" s="5"/>
      <c r="O1999" s="5"/>
    </row>
    <row r="2000">
      <c r="A2000" s="6"/>
      <c r="C2000" s="6"/>
      <c r="L2000" s="7"/>
      <c r="M2000" s="5"/>
      <c r="N2000" s="5"/>
      <c r="O2000" s="5"/>
    </row>
    <row r="2001">
      <c r="A2001" s="6"/>
      <c r="C2001" s="6"/>
      <c r="L2001" s="7"/>
      <c r="M2001" s="5"/>
      <c r="N2001" s="5"/>
      <c r="O2001" s="5"/>
    </row>
    <row r="2002">
      <c r="A2002" s="6"/>
      <c r="C2002" s="6"/>
      <c r="L2002" s="7"/>
      <c r="M2002" s="5"/>
      <c r="N2002" s="5"/>
      <c r="O2002" s="5"/>
    </row>
    <row r="2003">
      <c r="A2003" s="6"/>
      <c r="C2003" s="6"/>
      <c r="L2003" s="7"/>
      <c r="M2003" s="5"/>
      <c r="N2003" s="5"/>
      <c r="O2003" s="5"/>
    </row>
    <row r="2004">
      <c r="A2004" s="6"/>
      <c r="C2004" s="6"/>
      <c r="L2004" s="7"/>
      <c r="M2004" s="5"/>
      <c r="N2004" s="5"/>
      <c r="O2004" s="5"/>
    </row>
    <row r="2005">
      <c r="A2005" s="6"/>
      <c r="C2005" s="6"/>
      <c r="L2005" s="7"/>
      <c r="M2005" s="5"/>
      <c r="N2005" s="5"/>
      <c r="O2005" s="5"/>
    </row>
    <row r="2006">
      <c r="A2006" s="6"/>
      <c r="C2006" s="6"/>
      <c r="L2006" s="7"/>
      <c r="M2006" s="5"/>
      <c r="N2006" s="5"/>
      <c r="O2006" s="5"/>
    </row>
    <row r="2007">
      <c r="A2007" s="6"/>
      <c r="C2007" s="6"/>
      <c r="L2007" s="7"/>
      <c r="M2007" s="5"/>
      <c r="N2007" s="5"/>
      <c r="O2007" s="5"/>
    </row>
    <row r="2008">
      <c r="A2008" s="6"/>
      <c r="C2008" s="6"/>
      <c r="L2008" s="7"/>
      <c r="M2008" s="5"/>
      <c r="N2008" s="5"/>
      <c r="O2008" s="5"/>
    </row>
    <row r="2009">
      <c r="A2009" s="6"/>
      <c r="C2009" s="6"/>
      <c r="L2009" s="7"/>
      <c r="M2009" s="5"/>
      <c r="N2009" s="5"/>
      <c r="O2009" s="5"/>
    </row>
    <row r="2010">
      <c r="A2010" s="6"/>
      <c r="C2010" s="6"/>
      <c r="L2010" s="7"/>
      <c r="M2010" s="5"/>
      <c r="N2010" s="5"/>
      <c r="O2010" s="5"/>
    </row>
    <row r="2011">
      <c r="A2011" s="6"/>
      <c r="C2011" s="6"/>
      <c r="L2011" s="7"/>
      <c r="M2011" s="5"/>
      <c r="N2011" s="5"/>
      <c r="O2011" s="5"/>
    </row>
    <row r="2012">
      <c r="A2012" s="6"/>
      <c r="C2012" s="6"/>
      <c r="L2012" s="7"/>
      <c r="M2012" s="5"/>
      <c r="N2012" s="5"/>
      <c r="O2012" s="5"/>
    </row>
    <row r="2013">
      <c r="A2013" s="6"/>
      <c r="C2013" s="6"/>
      <c r="L2013" s="7"/>
      <c r="M2013" s="5"/>
      <c r="N2013" s="5"/>
      <c r="O2013" s="5"/>
    </row>
    <row r="2014">
      <c r="A2014" s="6"/>
      <c r="C2014" s="6"/>
      <c r="L2014" s="7"/>
      <c r="M2014" s="5"/>
      <c r="N2014" s="5"/>
      <c r="O2014" s="5"/>
    </row>
    <row r="2015">
      <c r="A2015" s="6"/>
      <c r="C2015" s="6"/>
      <c r="L2015" s="7"/>
      <c r="M2015" s="5"/>
      <c r="N2015" s="5"/>
      <c r="O2015" s="5"/>
    </row>
    <row r="2016">
      <c r="A2016" s="6"/>
      <c r="C2016" s="6"/>
      <c r="L2016" s="7"/>
      <c r="M2016" s="5"/>
      <c r="N2016" s="5"/>
      <c r="O2016" s="5"/>
    </row>
    <row r="2017">
      <c r="A2017" s="6"/>
      <c r="C2017" s="6"/>
      <c r="L2017" s="7"/>
      <c r="M2017" s="5"/>
      <c r="N2017" s="5"/>
      <c r="O2017" s="5"/>
    </row>
    <row r="2018">
      <c r="A2018" s="6"/>
      <c r="C2018" s="6"/>
      <c r="L2018" s="7"/>
      <c r="M2018" s="5"/>
      <c r="N2018" s="5"/>
      <c r="O2018" s="5"/>
    </row>
    <row r="2019">
      <c r="A2019" s="6"/>
      <c r="C2019" s="6"/>
      <c r="L2019" s="7"/>
      <c r="M2019" s="5"/>
      <c r="N2019" s="5"/>
      <c r="O2019" s="5"/>
    </row>
    <row r="2020">
      <c r="A2020" s="6"/>
      <c r="C2020" s="6"/>
      <c r="L2020" s="7"/>
      <c r="M2020" s="5"/>
      <c r="N2020" s="5"/>
      <c r="O2020" s="5"/>
    </row>
    <row r="2021">
      <c r="A2021" s="6"/>
      <c r="C2021" s="6"/>
      <c r="L2021" s="7"/>
      <c r="M2021" s="5"/>
      <c r="N2021" s="5"/>
      <c r="O2021" s="5"/>
    </row>
    <row r="2022">
      <c r="A2022" s="6"/>
      <c r="C2022" s="6"/>
      <c r="L2022" s="7"/>
      <c r="M2022" s="5"/>
      <c r="N2022" s="5"/>
      <c r="O2022" s="5"/>
    </row>
    <row r="2023">
      <c r="A2023" s="6"/>
      <c r="C2023" s="6"/>
      <c r="L2023" s="7"/>
      <c r="M2023" s="5"/>
      <c r="N2023" s="5"/>
      <c r="O2023" s="5"/>
    </row>
    <row r="2024">
      <c r="A2024" s="6"/>
      <c r="C2024" s="6"/>
      <c r="L2024" s="7"/>
      <c r="M2024" s="5"/>
      <c r="N2024" s="5"/>
      <c r="O2024" s="5"/>
    </row>
    <row r="2025">
      <c r="A2025" s="6"/>
      <c r="C2025" s="6"/>
      <c r="L2025" s="7"/>
      <c r="M2025" s="5"/>
      <c r="N2025" s="5"/>
      <c r="O2025" s="5"/>
    </row>
    <row r="2026">
      <c r="A2026" s="6"/>
      <c r="C2026" s="6"/>
      <c r="L2026" s="7"/>
      <c r="M2026" s="5"/>
      <c r="N2026" s="5"/>
      <c r="O2026" s="5"/>
    </row>
    <row r="2027">
      <c r="A2027" s="6"/>
      <c r="C2027" s="6"/>
      <c r="L2027" s="7"/>
      <c r="M2027" s="5"/>
      <c r="N2027" s="5"/>
      <c r="O2027" s="5"/>
    </row>
    <row r="2028">
      <c r="A2028" s="6"/>
      <c r="C2028" s="6"/>
      <c r="L2028" s="7"/>
      <c r="M2028" s="5"/>
      <c r="N2028" s="5"/>
      <c r="O2028" s="5"/>
    </row>
    <row r="2029">
      <c r="A2029" s="6"/>
      <c r="C2029" s="6"/>
      <c r="L2029" s="7"/>
      <c r="M2029" s="5"/>
      <c r="N2029" s="5"/>
      <c r="O2029" s="5"/>
    </row>
    <row r="2030">
      <c r="A2030" s="6"/>
      <c r="C2030" s="6"/>
      <c r="L2030" s="7"/>
      <c r="M2030" s="5"/>
      <c r="N2030" s="5"/>
      <c r="O2030" s="5"/>
    </row>
    <row r="2031">
      <c r="A2031" s="6"/>
      <c r="C2031" s="6"/>
      <c r="L2031" s="7"/>
      <c r="M2031" s="5"/>
      <c r="N2031" s="5"/>
      <c r="O2031" s="5"/>
    </row>
    <row r="2032">
      <c r="A2032" s="6"/>
      <c r="C2032" s="6"/>
      <c r="L2032" s="7"/>
      <c r="M2032" s="5"/>
      <c r="N2032" s="5"/>
      <c r="O2032" s="5"/>
    </row>
    <row r="2033">
      <c r="A2033" s="6"/>
      <c r="C2033" s="6"/>
      <c r="L2033" s="7"/>
      <c r="M2033" s="5"/>
      <c r="N2033" s="5"/>
      <c r="O2033" s="5"/>
    </row>
    <row r="2034">
      <c r="A2034" s="6"/>
      <c r="C2034" s="6"/>
      <c r="L2034" s="7"/>
      <c r="M2034" s="5"/>
      <c r="N2034" s="5"/>
      <c r="O2034" s="5"/>
    </row>
    <row r="2035">
      <c r="A2035" s="6"/>
      <c r="C2035" s="6"/>
      <c r="L2035" s="7"/>
      <c r="M2035" s="5"/>
      <c r="N2035" s="5"/>
      <c r="O2035" s="5"/>
    </row>
    <row r="2036">
      <c r="A2036" s="6"/>
      <c r="C2036" s="6"/>
      <c r="L2036" s="7"/>
      <c r="M2036" s="5"/>
      <c r="N2036" s="5"/>
      <c r="O2036" s="5"/>
    </row>
    <row r="2037">
      <c r="A2037" s="6"/>
      <c r="C2037" s="6"/>
      <c r="L2037" s="7"/>
      <c r="M2037" s="5"/>
      <c r="N2037" s="5"/>
      <c r="O2037" s="5"/>
    </row>
    <row r="2038">
      <c r="A2038" s="6"/>
      <c r="C2038" s="6"/>
      <c r="L2038" s="7"/>
      <c r="M2038" s="5"/>
      <c r="N2038" s="5"/>
      <c r="O2038" s="5"/>
    </row>
    <row r="2039">
      <c r="A2039" s="6"/>
      <c r="C2039" s="6"/>
      <c r="L2039" s="7"/>
      <c r="M2039" s="5"/>
      <c r="N2039" s="5"/>
      <c r="O2039" s="5"/>
    </row>
    <row r="2040">
      <c r="A2040" s="6"/>
      <c r="C2040" s="6"/>
      <c r="L2040" s="7"/>
      <c r="M2040" s="5"/>
      <c r="N2040" s="5"/>
      <c r="O2040" s="5"/>
    </row>
    <row r="2041">
      <c r="A2041" s="6"/>
      <c r="C2041" s="6"/>
      <c r="L2041" s="7"/>
      <c r="M2041" s="5"/>
      <c r="N2041" s="5"/>
      <c r="O2041" s="5"/>
    </row>
    <row r="2042">
      <c r="A2042" s="6"/>
      <c r="C2042" s="6"/>
      <c r="L2042" s="7"/>
      <c r="M2042" s="5"/>
      <c r="N2042" s="5"/>
      <c r="O2042" s="5"/>
    </row>
    <row r="2043">
      <c r="A2043" s="6"/>
      <c r="C2043" s="6"/>
      <c r="L2043" s="7"/>
      <c r="M2043" s="5"/>
      <c r="N2043" s="5"/>
      <c r="O2043" s="5"/>
    </row>
    <row r="2044">
      <c r="A2044" s="6"/>
      <c r="C2044" s="6"/>
      <c r="L2044" s="7"/>
      <c r="M2044" s="5"/>
      <c r="N2044" s="5"/>
      <c r="O2044" s="5"/>
    </row>
    <row r="2045">
      <c r="A2045" s="6"/>
      <c r="C2045" s="6"/>
      <c r="L2045" s="7"/>
      <c r="M2045" s="5"/>
      <c r="N2045" s="5"/>
      <c r="O2045" s="5"/>
    </row>
    <row r="2046">
      <c r="A2046" s="6"/>
      <c r="C2046" s="6"/>
      <c r="L2046" s="7"/>
      <c r="M2046" s="5"/>
      <c r="N2046" s="5"/>
      <c r="O2046" s="5"/>
    </row>
    <row r="2047">
      <c r="A2047" s="6"/>
      <c r="C2047" s="6"/>
      <c r="L2047" s="7"/>
      <c r="M2047" s="5"/>
      <c r="N2047" s="5"/>
      <c r="O2047" s="5"/>
    </row>
    <row r="2048">
      <c r="A2048" s="6"/>
      <c r="C2048" s="6"/>
      <c r="L2048" s="7"/>
      <c r="M2048" s="5"/>
      <c r="N2048" s="5"/>
      <c r="O2048" s="5"/>
    </row>
    <row r="2049">
      <c r="A2049" s="6"/>
      <c r="C2049" s="6"/>
      <c r="L2049" s="7"/>
      <c r="M2049" s="5"/>
      <c r="N2049" s="5"/>
      <c r="O2049" s="5"/>
    </row>
    <row r="2050">
      <c r="A2050" s="6"/>
      <c r="C2050" s="6"/>
      <c r="L2050" s="7"/>
      <c r="M2050" s="5"/>
      <c r="N2050" s="5"/>
      <c r="O2050" s="5"/>
    </row>
    <row r="2051">
      <c r="A2051" s="6"/>
      <c r="C2051" s="6"/>
      <c r="L2051" s="7"/>
      <c r="M2051" s="5"/>
      <c r="N2051" s="5"/>
      <c r="O2051" s="5"/>
    </row>
    <row r="2052">
      <c r="A2052" s="6"/>
      <c r="C2052" s="6"/>
      <c r="L2052" s="7"/>
      <c r="M2052" s="5"/>
      <c r="N2052" s="5"/>
      <c r="O2052" s="5"/>
    </row>
    <row r="2053">
      <c r="A2053" s="6"/>
      <c r="C2053" s="6"/>
      <c r="L2053" s="7"/>
      <c r="M2053" s="5"/>
      <c r="N2053" s="5"/>
      <c r="O2053" s="5"/>
    </row>
    <row r="2054">
      <c r="A2054" s="6"/>
      <c r="C2054" s="6"/>
      <c r="L2054" s="7"/>
      <c r="M2054" s="5"/>
      <c r="N2054" s="5"/>
      <c r="O2054" s="5"/>
    </row>
    <row r="2055">
      <c r="A2055" s="6"/>
      <c r="C2055" s="6"/>
      <c r="L2055" s="7"/>
      <c r="M2055" s="5"/>
      <c r="N2055" s="5"/>
      <c r="O2055" s="5"/>
    </row>
    <row r="2056">
      <c r="A2056" s="6"/>
      <c r="C2056" s="6"/>
      <c r="L2056" s="7"/>
      <c r="M2056" s="5"/>
      <c r="N2056" s="5"/>
      <c r="O2056" s="5"/>
    </row>
    <row r="2057">
      <c r="A2057" s="6"/>
      <c r="C2057" s="6"/>
      <c r="L2057" s="7"/>
      <c r="M2057" s="5"/>
      <c r="N2057" s="5"/>
      <c r="O2057" s="5"/>
    </row>
    <row r="2058">
      <c r="A2058" s="6"/>
      <c r="C2058" s="6"/>
      <c r="L2058" s="7"/>
      <c r="M2058" s="5"/>
      <c r="N2058" s="5"/>
      <c r="O2058" s="5"/>
    </row>
    <row r="2059">
      <c r="A2059" s="6"/>
      <c r="C2059" s="6"/>
      <c r="L2059" s="7"/>
      <c r="M2059" s="5"/>
      <c r="N2059" s="5"/>
      <c r="O2059" s="5"/>
    </row>
    <row r="2060">
      <c r="A2060" s="6"/>
      <c r="C2060" s="6"/>
      <c r="L2060" s="7"/>
      <c r="M2060" s="5"/>
      <c r="N2060" s="5"/>
      <c r="O2060" s="5"/>
    </row>
    <row r="2061">
      <c r="A2061" s="6"/>
      <c r="C2061" s="6"/>
      <c r="L2061" s="7"/>
      <c r="M2061" s="5"/>
      <c r="N2061" s="5"/>
      <c r="O2061" s="5"/>
    </row>
    <row r="2062">
      <c r="A2062" s="6"/>
      <c r="C2062" s="6"/>
      <c r="L2062" s="7"/>
      <c r="M2062" s="5"/>
      <c r="N2062" s="5"/>
      <c r="O2062" s="5"/>
    </row>
    <row r="2063">
      <c r="A2063" s="6"/>
      <c r="C2063" s="6"/>
      <c r="L2063" s="7"/>
      <c r="M2063" s="5"/>
      <c r="N2063" s="5"/>
      <c r="O2063" s="5"/>
    </row>
    <row r="2064">
      <c r="A2064" s="6"/>
      <c r="C2064" s="6"/>
      <c r="L2064" s="7"/>
      <c r="M2064" s="5"/>
      <c r="N2064" s="5"/>
      <c r="O2064" s="5"/>
    </row>
    <row r="2065">
      <c r="A2065" s="6"/>
      <c r="C2065" s="6"/>
      <c r="L2065" s="7"/>
      <c r="M2065" s="5"/>
      <c r="N2065" s="5"/>
      <c r="O2065" s="5"/>
    </row>
    <row r="2066">
      <c r="A2066" s="6"/>
      <c r="C2066" s="6"/>
      <c r="L2066" s="7"/>
      <c r="M2066" s="5"/>
      <c r="N2066" s="5"/>
      <c r="O2066" s="5"/>
    </row>
    <row r="2067">
      <c r="A2067" s="6"/>
      <c r="C2067" s="6"/>
      <c r="L2067" s="7"/>
      <c r="M2067" s="5"/>
      <c r="N2067" s="5"/>
      <c r="O2067" s="5"/>
    </row>
    <row r="2068">
      <c r="A2068" s="6"/>
      <c r="C2068" s="6"/>
      <c r="L2068" s="7"/>
      <c r="M2068" s="5"/>
      <c r="N2068" s="5"/>
      <c r="O2068" s="5"/>
    </row>
    <row r="2069">
      <c r="A2069" s="6"/>
      <c r="C2069" s="6"/>
      <c r="L2069" s="7"/>
      <c r="M2069" s="5"/>
      <c r="N2069" s="5"/>
      <c r="O2069" s="5"/>
    </row>
    <row r="2070">
      <c r="A2070" s="6"/>
      <c r="C2070" s="6"/>
      <c r="L2070" s="7"/>
      <c r="M2070" s="5"/>
      <c r="N2070" s="5"/>
      <c r="O2070" s="5"/>
    </row>
    <row r="2071">
      <c r="A2071" s="6"/>
      <c r="C2071" s="6"/>
      <c r="L2071" s="7"/>
      <c r="M2071" s="5"/>
      <c r="N2071" s="5"/>
      <c r="O2071" s="5"/>
    </row>
    <row r="2072">
      <c r="A2072" s="6"/>
      <c r="C2072" s="6"/>
      <c r="L2072" s="7"/>
      <c r="M2072" s="5"/>
      <c r="N2072" s="5"/>
      <c r="O2072" s="5"/>
    </row>
    <row r="2073">
      <c r="A2073" s="6"/>
      <c r="C2073" s="6"/>
      <c r="L2073" s="7"/>
      <c r="M2073" s="5"/>
      <c r="N2073" s="5"/>
      <c r="O2073" s="5"/>
    </row>
    <row r="2074">
      <c r="A2074" s="6"/>
      <c r="C2074" s="6"/>
      <c r="L2074" s="7"/>
      <c r="M2074" s="5"/>
      <c r="N2074" s="5"/>
      <c r="O2074" s="5"/>
    </row>
    <row r="2075">
      <c r="A2075" s="6"/>
      <c r="C2075" s="6"/>
      <c r="L2075" s="7"/>
      <c r="M2075" s="5"/>
      <c r="N2075" s="5"/>
      <c r="O2075" s="5"/>
    </row>
    <row r="2076">
      <c r="A2076" s="6"/>
      <c r="C2076" s="6"/>
      <c r="L2076" s="7"/>
      <c r="M2076" s="5"/>
      <c r="N2076" s="5"/>
      <c r="O2076" s="5"/>
    </row>
    <row r="2077">
      <c r="A2077" s="6"/>
      <c r="C2077" s="6"/>
      <c r="L2077" s="7"/>
      <c r="M2077" s="5"/>
      <c r="N2077" s="5"/>
      <c r="O2077" s="5"/>
    </row>
    <row r="2078">
      <c r="A2078" s="6"/>
      <c r="C2078" s="6"/>
      <c r="L2078" s="7"/>
      <c r="M2078" s="5"/>
      <c r="N2078" s="5"/>
      <c r="O2078" s="5"/>
    </row>
    <row r="2079">
      <c r="A2079" s="6"/>
      <c r="C2079" s="6"/>
      <c r="L2079" s="7"/>
      <c r="M2079" s="5"/>
      <c r="N2079" s="5"/>
      <c r="O2079" s="5"/>
    </row>
    <row r="2080">
      <c r="A2080" s="6"/>
      <c r="C2080" s="6"/>
      <c r="L2080" s="7"/>
      <c r="M2080" s="5"/>
      <c r="N2080" s="5"/>
      <c r="O2080" s="5"/>
    </row>
    <row r="2081">
      <c r="A2081" s="6"/>
      <c r="C2081" s="6"/>
      <c r="L2081" s="7"/>
      <c r="M2081" s="5"/>
      <c r="N2081" s="5"/>
      <c r="O2081" s="5"/>
    </row>
    <row r="2082">
      <c r="A2082" s="6"/>
      <c r="C2082" s="6"/>
      <c r="L2082" s="7"/>
      <c r="M2082" s="5"/>
      <c r="N2082" s="5"/>
      <c r="O2082" s="5"/>
    </row>
    <row r="2083">
      <c r="A2083" s="6"/>
      <c r="C2083" s="6"/>
      <c r="L2083" s="7"/>
      <c r="M2083" s="5"/>
      <c r="N2083" s="5"/>
      <c r="O2083" s="5"/>
    </row>
    <row r="2084">
      <c r="A2084" s="6"/>
      <c r="C2084" s="6"/>
      <c r="L2084" s="7"/>
      <c r="M2084" s="5"/>
      <c r="N2084" s="5"/>
      <c r="O2084" s="5"/>
    </row>
    <row r="2085">
      <c r="A2085" s="6"/>
      <c r="C2085" s="6"/>
      <c r="L2085" s="7"/>
      <c r="M2085" s="5"/>
      <c r="N2085" s="5"/>
      <c r="O2085" s="5"/>
    </row>
    <row r="2086">
      <c r="A2086" s="6"/>
      <c r="C2086" s="6"/>
      <c r="L2086" s="7"/>
      <c r="M2086" s="5"/>
      <c r="N2086" s="5"/>
      <c r="O2086" s="5"/>
    </row>
    <row r="2087">
      <c r="A2087" s="6"/>
      <c r="C2087" s="6"/>
      <c r="L2087" s="7"/>
      <c r="M2087" s="5"/>
      <c r="N2087" s="5"/>
      <c r="O2087" s="5"/>
    </row>
    <row r="2088">
      <c r="A2088" s="6"/>
      <c r="C2088" s="6"/>
      <c r="L2088" s="7"/>
      <c r="M2088" s="5"/>
      <c r="N2088" s="5"/>
      <c r="O2088" s="5"/>
    </row>
    <row r="2089">
      <c r="A2089" s="6"/>
      <c r="C2089" s="6"/>
      <c r="L2089" s="7"/>
      <c r="M2089" s="5"/>
      <c r="N2089" s="5"/>
      <c r="O2089" s="5"/>
    </row>
    <row r="2090">
      <c r="A2090" s="6"/>
      <c r="C2090" s="6"/>
      <c r="L2090" s="7"/>
      <c r="M2090" s="5"/>
      <c r="N2090" s="5"/>
      <c r="O2090" s="5"/>
    </row>
    <row r="2091">
      <c r="A2091" s="6"/>
      <c r="C2091" s="6"/>
      <c r="L2091" s="7"/>
      <c r="M2091" s="5"/>
      <c r="N2091" s="5"/>
      <c r="O2091" s="5"/>
    </row>
    <row r="2092">
      <c r="A2092" s="6"/>
      <c r="C2092" s="6"/>
      <c r="L2092" s="7"/>
      <c r="M2092" s="5"/>
      <c r="N2092" s="5"/>
      <c r="O2092" s="5"/>
    </row>
    <row r="2093">
      <c r="A2093" s="6"/>
      <c r="C2093" s="6"/>
      <c r="L2093" s="7"/>
      <c r="M2093" s="5"/>
      <c r="N2093" s="5"/>
      <c r="O2093" s="5"/>
    </row>
    <row r="2094">
      <c r="A2094" s="6"/>
      <c r="C2094" s="6"/>
      <c r="L2094" s="7"/>
      <c r="M2094" s="5"/>
      <c r="N2094" s="5"/>
      <c r="O2094" s="5"/>
    </row>
    <row r="2095">
      <c r="A2095" s="6"/>
      <c r="C2095" s="6"/>
      <c r="L2095" s="7"/>
      <c r="M2095" s="5"/>
      <c r="N2095" s="5"/>
      <c r="O2095" s="5"/>
    </row>
    <row r="2096">
      <c r="A2096" s="6"/>
      <c r="C2096" s="6"/>
      <c r="L2096" s="7"/>
      <c r="M2096" s="5"/>
      <c r="N2096" s="5"/>
      <c r="O2096" s="5"/>
    </row>
    <row r="2097">
      <c r="A2097" s="6"/>
      <c r="C2097" s="6"/>
      <c r="L2097" s="7"/>
      <c r="M2097" s="5"/>
      <c r="N2097" s="5"/>
      <c r="O2097" s="5"/>
    </row>
    <row r="2098">
      <c r="A2098" s="6"/>
      <c r="C2098" s="6"/>
      <c r="L2098" s="7"/>
      <c r="M2098" s="5"/>
      <c r="N2098" s="5"/>
      <c r="O2098" s="5"/>
    </row>
    <row r="2099">
      <c r="A2099" s="6"/>
      <c r="C2099" s="6"/>
      <c r="L2099" s="7"/>
      <c r="M2099" s="5"/>
      <c r="N2099" s="5"/>
      <c r="O2099" s="5"/>
    </row>
    <row r="2100">
      <c r="A2100" s="6"/>
      <c r="C2100" s="6"/>
      <c r="L2100" s="7"/>
      <c r="M2100" s="5"/>
      <c r="N2100" s="5"/>
      <c r="O2100" s="5"/>
    </row>
    <row r="2101">
      <c r="A2101" s="6"/>
      <c r="C2101" s="6"/>
      <c r="L2101" s="7"/>
      <c r="M2101" s="5"/>
      <c r="N2101" s="5"/>
      <c r="O2101" s="5"/>
    </row>
    <row r="2102">
      <c r="A2102" s="6"/>
      <c r="C2102" s="6"/>
      <c r="L2102" s="7"/>
      <c r="M2102" s="5"/>
      <c r="N2102" s="5"/>
      <c r="O2102" s="5"/>
    </row>
    <row r="2103">
      <c r="A2103" s="6"/>
      <c r="C2103" s="6"/>
      <c r="L2103" s="7"/>
      <c r="M2103" s="5"/>
      <c r="N2103" s="5"/>
      <c r="O2103" s="5"/>
    </row>
    <row r="2104">
      <c r="A2104" s="6"/>
      <c r="C2104" s="6"/>
      <c r="L2104" s="7"/>
      <c r="M2104" s="5"/>
      <c r="N2104" s="5"/>
      <c r="O2104" s="5"/>
    </row>
    <row r="2105">
      <c r="A2105" s="6"/>
      <c r="C2105" s="6"/>
      <c r="L2105" s="7"/>
      <c r="M2105" s="5"/>
      <c r="N2105" s="5"/>
      <c r="O2105" s="5"/>
    </row>
    <row r="2106">
      <c r="A2106" s="6"/>
      <c r="C2106" s="6"/>
      <c r="L2106" s="7"/>
      <c r="M2106" s="5"/>
      <c r="N2106" s="5"/>
      <c r="O2106" s="5"/>
    </row>
    <row r="2107">
      <c r="A2107" s="6"/>
      <c r="C2107" s="6"/>
      <c r="L2107" s="7"/>
      <c r="M2107" s="5"/>
      <c r="N2107" s="5"/>
      <c r="O2107" s="5"/>
    </row>
    <row r="2108">
      <c r="A2108" s="6"/>
      <c r="C2108" s="6"/>
      <c r="L2108" s="7"/>
      <c r="M2108" s="5"/>
      <c r="N2108" s="5"/>
      <c r="O2108" s="5"/>
    </row>
    <row r="2109">
      <c r="A2109" s="6"/>
      <c r="C2109" s="6"/>
      <c r="L2109" s="7"/>
      <c r="M2109" s="5"/>
      <c r="N2109" s="5"/>
      <c r="O2109" s="5"/>
    </row>
    <row r="2110">
      <c r="A2110" s="6"/>
      <c r="C2110" s="6"/>
      <c r="L2110" s="7"/>
      <c r="M2110" s="5"/>
      <c r="N2110" s="5"/>
      <c r="O2110" s="5"/>
    </row>
    <row r="2111">
      <c r="A2111" s="6"/>
      <c r="C2111" s="6"/>
      <c r="L2111" s="7"/>
      <c r="M2111" s="5"/>
      <c r="N2111" s="5"/>
      <c r="O2111" s="5"/>
    </row>
    <row r="2112">
      <c r="A2112" s="6"/>
      <c r="C2112" s="6"/>
      <c r="L2112" s="7"/>
      <c r="M2112" s="5"/>
      <c r="N2112" s="5"/>
      <c r="O2112" s="5"/>
    </row>
    <row r="2113">
      <c r="A2113" s="6"/>
      <c r="C2113" s="6"/>
      <c r="L2113" s="7"/>
      <c r="M2113" s="5"/>
      <c r="N2113" s="5"/>
      <c r="O2113" s="5"/>
    </row>
    <row r="2114">
      <c r="A2114" s="6"/>
      <c r="C2114" s="6"/>
      <c r="L2114" s="7"/>
      <c r="M2114" s="5"/>
      <c r="N2114" s="5"/>
      <c r="O2114" s="5"/>
    </row>
    <row r="2115">
      <c r="A2115" s="6"/>
      <c r="C2115" s="6"/>
      <c r="L2115" s="7"/>
      <c r="M2115" s="5"/>
      <c r="N2115" s="5"/>
      <c r="O2115" s="5"/>
    </row>
    <row r="2116">
      <c r="A2116" s="6"/>
      <c r="C2116" s="6"/>
      <c r="L2116" s="7"/>
      <c r="M2116" s="5"/>
      <c r="N2116" s="5"/>
      <c r="O2116" s="5"/>
    </row>
    <row r="2117">
      <c r="A2117" s="6"/>
      <c r="C2117" s="6"/>
      <c r="L2117" s="7"/>
      <c r="M2117" s="5"/>
      <c r="N2117" s="5"/>
      <c r="O2117" s="5"/>
    </row>
    <row r="2118">
      <c r="A2118" s="6"/>
      <c r="C2118" s="6"/>
      <c r="L2118" s="7"/>
      <c r="M2118" s="5"/>
      <c r="N2118" s="5"/>
      <c r="O2118" s="5"/>
    </row>
    <row r="2119">
      <c r="A2119" s="6"/>
      <c r="C2119" s="6"/>
      <c r="L2119" s="7"/>
      <c r="M2119" s="5"/>
      <c r="N2119" s="5"/>
      <c r="O2119" s="5"/>
    </row>
    <row r="2120">
      <c r="A2120" s="6"/>
      <c r="C2120" s="6"/>
      <c r="L2120" s="7"/>
      <c r="M2120" s="5"/>
      <c r="N2120" s="5"/>
      <c r="O2120" s="5"/>
    </row>
    <row r="2121">
      <c r="A2121" s="6"/>
      <c r="C2121" s="6"/>
      <c r="L2121" s="7"/>
      <c r="M2121" s="5"/>
      <c r="N2121" s="5"/>
      <c r="O2121" s="5"/>
    </row>
    <row r="2122">
      <c r="A2122" s="6"/>
      <c r="C2122" s="6"/>
      <c r="L2122" s="7"/>
      <c r="M2122" s="5"/>
      <c r="N2122" s="5"/>
      <c r="O2122" s="5"/>
    </row>
    <row r="2123">
      <c r="A2123" s="6"/>
      <c r="C2123" s="6"/>
      <c r="L2123" s="7"/>
      <c r="M2123" s="5"/>
      <c r="N2123" s="5"/>
      <c r="O2123" s="5"/>
    </row>
    <row r="2124">
      <c r="A2124" s="6"/>
      <c r="C2124" s="6"/>
      <c r="L2124" s="7"/>
      <c r="M2124" s="5"/>
      <c r="N2124" s="5"/>
      <c r="O2124" s="5"/>
    </row>
    <row r="2125">
      <c r="A2125" s="6"/>
      <c r="C2125" s="6"/>
      <c r="L2125" s="7"/>
      <c r="M2125" s="5"/>
      <c r="N2125" s="5"/>
      <c r="O2125" s="5"/>
    </row>
    <row r="2126">
      <c r="A2126" s="6"/>
      <c r="C2126" s="6"/>
      <c r="L2126" s="7"/>
      <c r="M2126" s="5"/>
      <c r="N2126" s="5"/>
      <c r="O2126" s="5"/>
    </row>
    <row r="2127">
      <c r="A2127" s="6"/>
      <c r="C2127" s="6"/>
      <c r="L2127" s="7"/>
      <c r="M2127" s="5"/>
      <c r="N2127" s="5"/>
      <c r="O2127" s="5"/>
    </row>
    <row r="2128">
      <c r="A2128" s="6"/>
      <c r="C2128" s="6"/>
      <c r="L2128" s="7"/>
      <c r="M2128" s="5"/>
      <c r="N2128" s="5"/>
      <c r="O2128" s="5"/>
    </row>
    <row r="2129">
      <c r="A2129" s="6"/>
      <c r="C2129" s="6"/>
      <c r="L2129" s="7"/>
      <c r="M2129" s="5"/>
      <c r="N2129" s="5"/>
      <c r="O2129" s="5"/>
    </row>
    <row r="2130">
      <c r="A2130" s="6"/>
      <c r="C2130" s="6"/>
      <c r="L2130" s="7"/>
      <c r="M2130" s="5"/>
      <c r="N2130" s="5"/>
      <c r="O2130" s="5"/>
    </row>
    <row r="2131">
      <c r="A2131" s="6"/>
      <c r="C2131" s="6"/>
      <c r="L2131" s="7"/>
      <c r="M2131" s="5"/>
      <c r="N2131" s="5"/>
      <c r="O2131" s="5"/>
    </row>
    <row r="2132">
      <c r="A2132" s="6"/>
      <c r="C2132" s="6"/>
      <c r="L2132" s="7"/>
      <c r="M2132" s="5"/>
      <c r="N2132" s="5"/>
      <c r="O2132" s="5"/>
    </row>
    <row r="2133">
      <c r="A2133" s="6"/>
      <c r="C2133" s="6"/>
      <c r="L2133" s="7"/>
      <c r="M2133" s="5"/>
      <c r="N2133" s="5"/>
      <c r="O2133" s="5"/>
    </row>
    <row r="2134">
      <c r="A2134" s="6"/>
      <c r="C2134" s="6"/>
      <c r="L2134" s="7"/>
      <c r="M2134" s="5"/>
      <c r="N2134" s="5"/>
      <c r="O2134" s="5"/>
    </row>
    <row r="2135">
      <c r="A2135" s="6"/>
      <c r="C2135" s="6"/>
      <c r="L2135" s="7"/>
      <c r="M2135" s="5"/>
      <c r="N2135" s="5"/>
      <c r="O2135" s="5"/>
    </row>
    <row r="2136">
      <c r="A2136" s="6"/>
      <c r="C2136" s="6"/>
      <c r="L2136" s="7"/>
      <c r="M2136" s="5"/>
      <c r="N2136" s="5"/>
      <c r="O2136" s="5"/>
    </row>
    <row r="2137">
      <c r="A2137" s="6"/>
      <c r="C2137" s="6"/>
      <c r="L2137" s="7"/>
      <c r="M2137" s="5"/>
      <c r="N2137" s="5"/>
      <c r="O2137" s="5"/>
    </row>
    <row r="2138">
      <c r="A2138" s="6"/>
      <c r="C2138" s="6"/>
      <c r="L2138" s="7"/>
      <c r="M2138" s="5"/>
      <c r="N2138" s="5"/>
      <c r="O2138" s="5"/>
    </row>
    <row r="2139">
      <c r="A2139" s="6"/>
      <c r="C2139" s="6"/>
      <c r="L2139" s="7"/>
      <c r="M2139" s="5"/>
      <c r="N2139" s="5"/>
      <c r="O2139" s="5"/>
    </row>
    <row r="2140">
      <c r="A2140" s="6"/>
      <c r="C2140" s="6"/>
      <c r="L2140" s="7"/>
      <c r="M2140" s="5"/>
      <c r="N2140" s="5"/>
      <c r="O2140" s="5"/>
    </row>
    <row r="2141">
      <c r="A2141" s="6"/>
      <c r="C2141" s="6"/>
      <c r="L2141" s="7"/>
      <c r="M2141" s="5"/>
      <c r="N2141" s="5"/>
      <c r="O2141" s="5"/>
    </row>
    <row r="2142">
      <c r="A2142" s="6"/>
      <c r="C2142" s="6"/>
      <c r="L2142" s="7"/>
      <c r="M2142" s="5"/>
      <c r="N2142" s="5"/>
      <c r="O2142" s="5"/>
    </row>
    <row r="2143">
      <c r="A2143" s="6"/>
      <c r="C2143" s="6"/>
      <c r="L2143" s="7"/>
      <c r="M2143" s="5"/>
      <c r="N2143" s="5"/>
      <c r="O2143" s="5"/>
    </row>
    <row r="2144">
      <c r="A2144" s="6"/>
      <c r="C2144" s="6"/>
      <c r="L2144" s="7"/>
      <c r="M2144" s="5"/>
      <c r="N2144" s="5"/>
      <c r="O2144" s="5"/>
    </row>
    <row r="2145">
      <c r="A2145" s="6"/>
      <c r="C2145" s="6"/>
      <c r="L2145" s="7"/>
      <c r="M2145" s="5"/>
      <c r="N2145" s="5"/>
      <c r="O2145" s="5"/>
    </row>
    <row r="2146">
      <c r="A2146" s="6"/>
      <c r="C2146" s="6"/>
      <c r="L2146" s="7"/>
      <c r="M2146" s="5"/>
      <c r="N2146" s="5"/>
      <c r="O2146" s="5"/>
    </row>
    <row r="2147">
      <c r="A2147" s="6"/>
      <c r="C2147" s="6"/>
      <c r="L2147" s="7"/>
      <c r="M2147" s="5"/>
      <c r="N2147" s="5"/>
      <c r="O2147" s="5"/>
    </row>
    <row r="2148">
      <c r="A2148" s="6"/>
      <c r="C2148" s="6"/>
      <c r="L2148" s="7"/>
      <c r="M2148" s="5"/>
      <c r="N2148" s="5"/>
      <c r="O2148" s="5"/>
    </row>
    <row r="2149">
      <c r="A2149" s="6"/>
      <c r="C2149" s="6"/>
      <c r="L2149" s="7"/>
      <c r="M2149" s="5"/>
      <c r="N2149" s="5"/>
      <c r="O2149" s="5"/>
    </row>
    <row r="2150">
      <c r="A2150" s="6"/>
      <c r="C2150" s="6"/>
      <c r="L2150" s="7"/>
      <c r="M2150" s="5"/>
      <c r="N2150" s="5"/>
      <c r="O2150" s="5"/>
    </row>
    <row r="2151">
      <c r="A2151" s="6"/>
      <c r="C2151" s="6"/>
      <c r="L2151" s="7"/>
      <c r="M2151" s="5"/>
      <c r="N2151" s="5"/>
      <c r="O2151" s="5"/>
    </row>
    <row r="2152">
      <c r="A2152" s="6"/>
      <c r="C2152" s="6"/>
      <c r="L2152" s="7"/>
      <c r="M2152" s="5"/>
      <c r="N2152" s="5"/>
      <c r="O2152" s="5"/>
    </row>
    <row r="2153">
      <c r="A2153" s="6"/>
      <c r="C2153" s="6"/>
      <c r="L2153" s="7"/>
      <c r="M2153" s="5"/>
      <c r="N2153" s="5"/>
      <c r="O2153" s="5"/>
    </row>
    <row r="2154">
      <c r="A2154" s="6"/>
      <c r="C2154" s="6"/>
      <c r="L2154" s="7"/>
      <c r="M2154" s="5"/>
      <c r="N2154" s="5"/>
      <c r="O2154" s="5"/>
    </row>
    <row r="2155">
      <c r="A2155" s="6"/>
      <c r="C2155" s="6"/>
      <c r="L2155" s="7"/>
      <c r="M2155" s="5"/>
      <c r="N2155" s="5"/>
      <c r="O2155" s="5"/>
    </row>
    <row r="2156">
      <c r="A2156" s="6"/>
      <c r="C2156" s="6"/>
      <c r="L2156" s="7"/>
      <c r="M2156" s="5"/>
      <c r="N2156" s="5"/>
      <c r="O2156" s="5"/>
    </row>
    <row r="2157">
      <c r="A2157" s="6"/>
      <c r="C2157" s="6"/>
      <c r="L2157" s="7"/>
      <c r="M2157" s="5"/>
      <c r="N2157" s="5"/>
      <c r="O2157" s="5"/>
    </row>
    <row r="2158">
      <c r="A2158" s="6"/>
      <c r="C2158" s="6"/>
      <c r="L2158" s="7"/>
      <c r="M2158" s="5"/>
      <c r="N2158" s="5"/>
      <c r="O2158" s="5"/>
    </row>
    <row r="2159">
      <c r="A2159" s="6"/>
      <c r="C2159" s="6"/>
      <c r="L2159" s="7"/>
      <c r="M2159" s="5"/>
      <c r="N2159" s="5"/>
      <c r="O2159" s="5"/>
    </row>
    <row r="2160">
      <c r="A2160" s="6"/>
      <c r="C2160" s="6"/>
      <c r="L2160" s="7"/>
      <c r="M2160" s="5"/>
      <c r="N2160" s="5"/>
      <c r="O2160" s="5"/>
    </row>
    <row r="2161">
      <c r="A2161" s="6"/>
      <c r="C2161" s="6"/>
      <c r="L2161" s="7"/>
      <c r="M2161" s="5"/>
      <c r="N2161" s="5"/>
      <c r="O2161" s="5"/>
    </row>
    <row r="2162">
      <c r="A2162" s="6"/>
      <c r="C2162" s="6"/>
      <c r="L2162" s="7"/>
      <c r="M2162" s="5"/>
      <c r="N2162" s="5"/>
      <c r="O2162" s="5"/>
    </row>
    <row r="2163">
      <c r="A2163" s="6"/>
      <c r="C2163" s="6"/>
      <c r="L2163" s="7"/>
      <c r="M2163" s="5"/>
      <c r="N2163" s="5"/>
      <c r="O2163" s="5"/>
    </row>
    <row r="2164">
      <c r="A2164" s="6"/>
      <c r="C2164" s="6"/>
      <c r="L2164" s="7"/>
      <c r="M2164" s="5"/>
      <c r="N2164" s="5"/>
      <c r="O2164" s="5"/>
    </row>
    <row r="2165">
      <c r="A2165" s="6"/>
      <c r="C2165" s="6"/>
      <c r="L2165" s="7"/>
      <c r="M2165" s="5"/>
      <c r="N2165" s="5"/>
      <c r="O2165" s="5"/>
    </row>
    <row r="2166">
      <c r="A2166" s="6"/>
      <c r="C2166" s="6"/>
      <c r="L2166" s="7"/>
      <c r="M2166" s="5"/>
      <c r="N2166" s="5"/>
      <c r="O2166" s="5"/>
    </row>
    <row r="2167">
      <c r="A2167" s="6"/>
      <c r="C2167" s="6"/>
      <c r="L2167" s="7"/>
      <c r="M2167" s="5"/>
      <c r="N2167" s="5"/>
      <c r="O2167" s="5"/>
    </row>
    <row r="2168">
      <c r="A2168" s="6"/>
      <c r="C2168" s="6"/>
      <c r="L2168" s="7"/>
      <c r="M2168" s="5"/>
      <c r="N2168" s="5"/>
      <c r="O2168" s="5"/>
    </row>
    <row r="2169">
      <c r="A2169" s="6"/>
      <c r="C2169" s="6"/>
      <c r="L2169" s="7"/>
      <c r="M2169" s="5"/>
      <c r="N2169" s="5"/>
      <c r="O2169" s="5"/>
    </row>
    <row r="2170">
      <c r="A2170" s="6"/>
      <c r="C2170" s="6"/>
      <c r="L2170" s="7"/>
      <c r="M2170" s="5"/>
      <c r="N2170" s="5"/>
      <c r="O2170" s="5"/>
    </row>
    <row r="2171">
      <c r="A2171" s="6"/>
      <c r="C2171" s="6"/>
      <c r="L2171" s="7"/>
      <c r="M2171" s="5"/>
      <c r="N2171" s="5"/>
      <c r="O2171" s="5"/>
    </row>
    <row r="2172">
      <c r="A2172" s="6"/>
      <c r="C2172" s="6"/>
      <c r="L2172" s="7"/>
      <c r="M2172" s="5"/>
      <c r="N2172" s="5"/>
      <c r="O2172" s="5"/>
    </row>
    <row r="2173">
      <c r="A2173" s="6"/>
      <c r="C2173" s="6"/>
      <c r="L2173" s="7"/>
      <c r="M2173" s="5"/>
      <c r="N2173" s="5"/>
      <c r="O2173" s="5"/>
    </row>
    <row r="2174">
      <c r="A2174" s="6"/>
      <c r="C2174" s="6"/>
      <c r="L2174" s="7"/>
      <c r="M2174" s="5"/>
      <c r="N2174" s="5"/>
      <c r="O2174" s="5"/>
    </row>
    <row r="2175">
      <c r="A2175" s="6"/>
      <c r="C2175" s="6"/>
      <c r="L2175" s="7"/>
      <c r="M2175" s="5"/>
      <c r="N2175" s="5"/>
      <c r="O2175" s="5"/>
    </row>
    <row r="2176">
      <c r="A2176" s="6"/>
      <c r="C2176" s="6"/>
      <c r="L2176" s="7"/>
      <c r="M2176" s="5"/>
      <c r="N2176" s="5"/>
      <c r="O2176" s="5"/>
    </row>
    <row r="2177">
      <c r="A2177" s="6"/>
      <c r="C2177" s="6"/>
      <c r="L2177" s="7"/>
      <c r="M2177" s="5"/>
      <c r="N2177" s="5"/>
      <c r="O2177" s="5"/>
    </row>
    <row r="2178">
      <c r="A2178" s="6"/>
      <c r="C2178" s="6"/>
      <c r="L2178" s="7"/>
      <c r="M2178" s="5"/>
      <c r="N2178" s="5"/>
      <c r="O2178" s="5"/>
    </row>
    <row r="2179">
      <c r="A2179" s="6"/>
      <c r="C2179" s="6"/>
      <c r="L2179" s="7"/>
      <c r="M2179" s="5"/>
      <c r="N2179" s="5"/>
      <c r="O2179" s="5"/>
    </row>
    <row r="2180">
      <c r="A2180" s="6"/>
      <c r="C2180" s="6"/>
      <c r="L2180" s="7"/>
      <c r="M2180" s="5"/>
      <c r="N2180" s="5"/>
      <c r="O2180" s="5"/>
    </row>
    <row r="2181">
      <c r="A2181" s="6"/>
      <c r="C2181" s="6"/>
      <c r="L2181" s="7"/>
      <c r="M2181" s="5"/>
      <c r="N2181" s="5"/>
      <c r="O2181" s="5"/>
    </row>
    <row r="2182">
      <c r="A2182" s="6"/>
      <c r="C2182" s="6"/>
      <c r="L2182" s="7"/>
      <c r="M2182" s="5"/>
      <c r="N2182" s="5"/>
      <c r="O2182" s="5"/>
    </row>
    <row r="2183">
      <c r="A2183" s="6"/>
      <c r="C2183" s="6"/>
      <c r="L2183" s="7"/>
      <c r="M2183" s="5"/>
      <c r="N2183" s="5"/>
      <c r="O2183" s="5"/>
    </row>
    <row r="2184">
      <c r="A2184" s="6"/>
      <c r="C2184" s="6"/>
      <c r="L2184" s="7"/>
      <c r="M2184" s="5"/>
      <c r="N2184" s="5"/>
      <c r="O2184" s="5"/>
    </row>
    <row r="2185">
      <c r="A2185" s="6"/>
      <c r="C2185" s="6"/>
      <c r="L2185" s="7"/>
      <c r="M2185" s="5"/>
      <c r="N2185" s="5"/>
      <c r="O2185" s="5"/>
    </row>
    <row r="2186">
      <c r="A2186" s="6"/>
      <c r="C2186" s="6"/>
      <c r="L2186" s="7"/>
      <c r="M2186" s="5"/>
      <c r="N2186" s="5"/>
      <c r="O2186" s="5"/>
    </row>
    <row r="2187">
      <c r="A2187" s="6"/>
      <c r="C2187" s="6"/>
      <c r="L2187" s="7"/>
      <c r="M2187" s="5"/>
      <c r="N2187" s="5"/>
      <c r="O2187" s="5"/>
    </row>
    <row r="2188">
      <c r="A2188" s="6"/>
      <c r="C2188" s="6"/>
      <c r="L2188" s="7"/>
      <c r="M2188" s="5"/>
      <c r="N2188" s="5"/>
      <c r="O2188" s="5"/>
    </row>
    <row r="2189">
      <c r="A2189" s="6"/>
      <c r="C2189" s="6"/>
      <c r="L2189" s="7"/>
      <c r="M2189" s="5"/>
      <c r="N2189" s="5"/>
      <c r="O2189" s="5"/>
    </row>
    <row r="2190">
      <c r="A2190" s="6"/>
      <c r="C2190" s="6"/>
      <c r="L2190" s="7"/>
      <c r="M2190" s="5"/>
      <c r="N2190" s="5"/>
      <c r="O2190" s="5"/>
    </row>
    <row r="2191">
      <c r="A2191" s="6"/>
      <c r="C2191" s="6"/>
      <c r="L2191" s="7"/>
      <c r="M2191" s="5"/>
      <c r="N2191" s="5"/>
      <c r="O2191" s="5"/>
    </row>
    <row r="2192">
      <c r="A2192" s="6"/>
      <c r="C2192" s="6"/>
      <c r="L2192" s="7"/>
      <c r="M2192" s="5"/>
      <c r="N2192" s="5"/>
      <c r="O2192" s="5"/>
    </row>
    <row r="2193">
      <c r="A2193" s="6"/>
      <c r="C2193" s="6"/>
      <c r="L2193" s="7"/>
      <c r="M2193" s="5"/>
      <c r="N2193" s="5"/>
      <c r="O2193" s="5"/>
    </row>
    <row r="2194">
      <c r="A2194" s="6"/>
      <c r="C2194" s="6"/>
      <c r="L2194" s="7"/>
      <c r="M2194" s="5"/>
      <c r="N2194" s="5"/>
      <c r="O2194" s="5"/>
    </row>
    <row r="2195">
      <c r="A2195" s="6"/>
      <c r="C2195" s="6"/>
      <c r="L2195" s="7"/>
      <c r="M2195" s="5"/>
      <c r="N2195" s="5"/>
      <c r="O2195" s="5"/>
    </row>
    <row r="2196">
      <c r="A2196" s="6"/>
      <c r="C2196" s="6"/>
      <c r="L2196" s="7"/>
      <c r="M2196" s="5"/>
      <c r="N2196" s="5"/>
      <c r="O2196" s="5"/>
    </row>
    <row r="2197">
      <c r="A2197" s="6"/>
      <c r="C2197" s="6"/>
      <c r="L2197" s="7"/>
      <c r="M2197" s="5"/>
      <c r="N2197" s="5"/>
      <c r="O2197" s="5"/>
    </row>
    <row r="2198">
      <c r="A2198" s="6"/>
      <c r="C2198" s="6"/>
      <c r="L2198" s="7"/>
      <c r="M2198" s="5"/>
      <c r="N2198" s="5"/>
      <c r="O2198" s="5"/>
    </row>
    <row r="2199">
      <c r="A2199" s="6"/>
      <c r="C2199" s="6"/>
      <c r="L2199" s="7"/>
      <c r="M2199" s="5"/>
      <c r="N2199" s="5"/>
      <c r="O2199" s="5"/>
    </row>
    <row r="2200">
      <c r="A2200" s="6"/>
      <c r="C2200" s="6"/>
      <c r="L2200" s="7"/>
      <c r="M2200" s="5"/>
      <c r="N2200" s="5"/>
      <c r="O2200" s="5"/>
    </row>
    <row r="2201">
      <c r="A2201" s="6"/>
      <c r="C2201" s="6"/>
      <c r="L2201" s="7"/>
      <c r="M2201" s="5"/>
      <c r="N2201" s="5"/>
      <c r="O2201" s="5"/>
    </row>
    <row r="2202">
      <c r="A2202" s="6"/>
      <c r="C2202" s="6"/>
      <c r="L2202" s="7"/>
      <c r="M2202" s="5"/>
      <c r="N2202" s="5"/>
      <c r="O2202" s="5"/>
    </row>
    <row r="2203">
      <c r="A2203" s="6"/>
      <c r="C2203" s="6"/>
      <c r="L2203" s="7"/>
      <c r="M2203" s="5"/>
      <c r="N2203" s="5"/>
      <c r="O2203" s="5"/>
    </row>
    <row r="2204">
      <c r="A2204" s="6"/>
      <c r="C2204" s="6"/>
      <c r="L2204" s="7"/>
      <c r="M2204" s="5"/>
      <c r="N2204" s="5"/>
      <c r="O2204" s="5"/>
    </row>
    <row r="2205">
      <c r="A2205" s="6"/>
      <c r="C2205" s="6"/>
      <c r="L2205" s="7"/>
      <c r="M2205" s="5"/>
      <c r="N2205" s="5"/>
      <c r="O2205" s="5"/>
    </row>
    <row r="2206">
      <c r="A2206" s="6"/>
      <c r="C2206" s="6"/>
      <c r="L2206" s="7"/>
      <c r="M2206" s="5"/>
      <c r="N2206" s="5"/>
      <c r="O2206" s="5"/>
    </row>
    <row r="2207">
      <c r="A2207" s="6"/>
      <c r="C2207" s="6"/>
      <c r="L2207" s="7"/>
      <c r="M2207" s="5"/>
      <c r="N2207" s="5"/>
      <c r="O2207" s="5"/>
    </row>
    <row r="2208">
      <c r="A2208" s="6"/>
      <c r="C2208" s="6"/>
      <c r="L2208" s="7"/>
      <c r="M2208" s="5"/>
      <c r="N2208" s="5"/>
      <c r="O2208" s="5"/>
    </row>
    <row r="2209">
      <c r="A2209" s="6"/>
      <c r="C2209" s="6"/>
      <c r="L2209" s="7"/>
      <c r="M2209" s="5"/>
      <c r="N2209" s="5"/>
      <c r="O2209" s="5"/>
    </row>
    <row r="2210">
      <c r="A2210" s="6"/>
      <c r="C2210" s="6"/>
      <c r="L2210" s="7"/>
      <c r="M2210" s="5"/>
      <c r="N2210" s="5"/>
      <c r="O2210" s="5"/>
    </row>
    <row r="2211">
      <c r="A2211" s="6"/>
      <c r="C2211" s="6"/>
      <c r="L2211" s="7"/>
      <c r="M2211" s="5"/>
      <c r="N2211" s="5"/>
      <c r="O2211" s="5"/>
    </row>
    <row r="2212">
      <c r="A2212" s="6"/>
      <c r="C2212" s="6"/>
      <c r="L2212" s="7"/>
      <c r="M2212" s="5"/>
      <c r="N2212" s="5"/>
      <c r="O2212" s="5"/>
    </row>
    <row r="2213">
      <c r="A2213" s="6"/>
      <c r="C2213" s="6"/>
      <c r="L2213" s="7"/>
      <c r="M2213" s="5"/>
      <c r="N2213" s="5"/>
      <c r="O2213" s="5"/>
    </row>
    <row r="2214">
      <c r="A2214" s="6"/>
      <c r="C2214" s="6"/>
      <c r="L2214" s="7"/>
      <c r="M2214" s="5"/>
      <c r="N2214" s="5"/>
      <c r="O2214" s="5"/>
    </row>
    <row r="2215">
      <c r="A2215" s="6"/>
      <c r="C2215" s="6"/>
      <c r="L2215" s="7"/>
      <c r="M2215" s="5"/>
      <c r="N2215" s="5"/>
      <c r="O2215" s="5"/>
    </row>
    <row r="2216">
      <c r="A2216" s="6"/>
      <c r="C2216" s="6"/>
      <c r="L2216" s="7"/>
      <c r="M2216" s="5"/>
      <c r="N2216" s="5"/>
      <c r="O2216" s="5"/>
    </row>
    <row r="2217">
      <c r="A2217" s="6"/>
      <c r="C2217" s="6"/>
      <c r="L2217" s="7"/>
      <c r="M2217" s="5"/>
      <c r="N2217" s="5"/>
      <c r="O2217" s="5"/>
    </row>
    <row r="2218">
      <c r="A2218" s="6"/>
      <c r="C2218" s="6"/>
      <c r="L2218" s="7"/>
      <c r="M2218" s="5"/>
      <c r="N2218" s="5"/>
      <c r="O2218" s="5"/>
    </row>
    <row r="2219">
      <c r="A2219" s="6"/>
      <c r="C2219" s="6"/>
      <c r="L2219" s="7"/>
      <c r="M2219" s="5"/>
      <c r="N2219" s="5"/>
      <c r="O2219" s="5"/>
    </row>
    <row r="2220">
      <c r="A2220" s="6"/>
      <c r="C2220" s="6"/>
      <c r="L2220" s="7"/>
      <c r="M2220" s="5"/>
      <c r="N2220" s="5"/>
      <c r="O2220" s="5"/>
    </row>
    <row r="2221">
      <c r="A2221" s="6"/>
      <c r="C2221" s="6"/>
      <c r="L2221" s="7"/>
      <c r="M2221" s="5"/>
      <c r="N2221" s="5"/>
      <c r="O2221" s="5"/>
    </row>
    <row r="2222">
      <c r="A2222" s="6"/>
      <c r="C2222" s="6"/>
      <c r="L2222" s="7"/>
      <c r="M2222" s="5"/>
      <c r="N2222" s="5"/>
      <c r="O2222" s="5"/>
    </row>
    <row r="2223">
      <c r="A2223" s="6"/>
      <c r="C2223" s="6"/>
      <c r="L2223" s="7"/>
      <c r="M2223" s="5"/>
      <c r="N2223" s="5"/>
      <c r="O2223" s="5"/>
    </row>
    <row r="2224">
      <c r="A2224" s="6"/>
      <c r="C2224" s="6"/>
      <c r="L2224" s="7"/>
      <c r="M2224" s="5"/>
      <c r="N2224" s="5"/>
      <c r="O2224" s="5"/>
    </row>
    <row r="2225">
      <c r="A2225" s="6"/>
      <c r="C2225" s="6"/>
      <c r="L2225" s="7"/>
      <c r="M2225" s="5"/>
      <c r="N2225" s="5"/>
      <c r="O2225" s="5"/>
    </row>
    <row r="2226">
      <c r="A2226" s="6"/>
      <c r="C2226" s="6"/>
      <c r="L2226" s="7"/>
      <c r="M2226" s="5"/>
      <c r="N2226" s="5"/>
      <c r="O2226" s="5"/>
    </row>
    <row r="2227">
      <c r="A2227" s="6"/>
      <c r="C2227" s="6"/>
      <c r="L2227" s="7"/>
      <c r="M2227" s="5"/>
      <c r="N2227" s="5"/>
      <c r="O2227" s="5"/>
    </row>
    <row r="2228">
      <c r="A2228" s="6"/>
      <c r="C2228" s="6"/>
      <c r="L2228" s="7"/>
      <c r="M2228" s="5"/>
      <c r="N2228" s="5"/>
      <c r="O2228" s="5"/>
    </row>
    <row r="2229">
      <c r="A2229" s="6"/>
      <c r="C2229" s="6"/>
      <c r="L2229" s="7"/>
      <c r="M2229" s="5"/>
      <c r="N2229" s="5"/>
      <c r="O2229" s="5"/>
    </row>
    <row r="2230">
      <c r="A2230" s="6"/>
      <c r="C2230" s="6"/>
      <c r="L2230" s="7"/>
      <c r="M2230" s="5"/>
      <c r="N2230" s="5"/>
      <c r="O2230" s="5"/>
    </row>
    <row r="2231">
      <c r="A2231" s="6"/>
      <c r="C2231" s="6"/>
      <c r="L2231" s="7"/>
      <c r="M2231" s="5"/>
      <c r="N2231" s="5"/>
      <c r="O2231" s="5"/>
    </row>
    <row r="2232">
      <c r="A2232" s="6"/>
      <c r="C2232" s="6"/>
      <c r="L2232" s="7"/>
      <c r="M2232" s="5"/>
      <c r="N2232" s="5"/>
      <c r="O2232" s="5"/>
    </row>
    <row r="2233">
      <c r="A2233" s="6"/>
      <c r="C2233" s="6"/>
      <c r="L2233" s="7"/>
      <c r="M2233" s="5"/>
      <c r="N2233" s="5"/>
      <c r="O2233" s="5"/>
    </row>
    <row r="2234">
      <c r="A2234" s="6"/>
      <c r="C2234" s="6"/>
      <c r="L2234" s="7"/>
      <c r="M2234" s="5"/>
      <c r="N2234" s="5"/>
      <c r="O2234" s="5"/>
    </row>
    <row r="2235">
      <c r="A2235" s="6"/>
      <c r="C2235" s="6"/>
      <c r="L2235" s="7"/>
      <c r="M2235" s="5"/>
      <c r="N2235" s="5"/>
      <c r="O2235" s="5"/>
    </row>
    <row r="2236">
      <c r="A2236" s="6"/>
      <c r="C2236" s="6"/>
      <c r="L2236" s="7"/>
      <c r="M2236" s="5"/>
      <c r="N2236" s="5"/>
      <c r="O2236" s="5"/>
    </row>
    <row r="2237">
      <c r="A2237" s="6"/>
      <c r="C2237" s="6"/>
      <c r="L2237" s="7"/>
      <c r="M2237" s="5"/>
      <c r="N2237" s="5"/>
      <c r="O2237" s="5"/>
    </row>
    <row r="2238">
      <c r="A2238" s="6"/>
      <c r="C2238" s="6"/>
      <c r="L2238" s="7"/>
      <c r="M2238" s="5"/>
      <c r="N2238" s="5"/>
      <c r="O2238" s="5"/>
    </row>
    <row r="2239">
      <c r="A2239" s="6"/>
      <c r="C2239" s="6"/>
      <c r="L2239" s="7"/>
      <c r="M2239" s="5"/>
      <c r="N2239" s="5"/>
      <c r="O2239" s="5"/>
    </row>
    <row r="2240">
      <c r="A2240" s="6"/>
      <c r="C2240" s="6"/>
      <c r="L2240" s="7"/>
      <c r="M2240" s="5"/>
      <c r="N2240" s="5"/>
      <c r="O2240" s="5"/>
    </row>
    <row r="2241">
      <c r="A2241" s="6"/>
      <c r="C2241" s="6"/>
      <c r="L2241" s="7"/>
      <c r="M2241" s="5"/>
      <c r="N2241" s="5"/>
      <c r="O2241" s="5"/>
    </row>
    <row r="2242">
      <c r="A2242" s="6"/>
      <c r="C2242" s="6"/>
      <c r="L2242" s="7"/>
      <c r="M2242" s="5"/>
      <c r="N2242" s="5"/>
      <c r="O2242" s="5"/>
    </row>
    <row r="2243">
      <c r="A2243" s="6"/>
      <c r="C2243" s="6"/>
      <c r="L2243" s="7"/>
      <c r="M2243" s="5"/>
      <c r="N2243" s="5"/>
      <c r="O2243" s="5"/>
    </row>
    <row r="2244">
      <c r="A2244" s="6"/>
      <c r="C2244" s="6"/>
      <c r="L2244" s="7"/>
      <c r="M2244" s="5"/>
      <c r="N2244" s="5"/>
      <c r="O2244" s="5"/>
    </row>
    <row r="2245">
      <c r="A2245" s="6"/>
      <c r="C2245" s="6"/>
      <c r="L2245" s="7"/>
      <c r="M2245" s="5"/>
      <c r="N2245" s="5"/>
      <c r="O2245" s="5"/>
    </row>
    <row r="2246">
      <c r="A2246" s="6"/>
      <c r="C2246" s="6"/>
      <c r="L2246" s="7"/>
      <c r="M2246" s="5"/>
      <c r="N2246" s="5"/>
      <c r="O2246" s="5"/>
    </row>
    <row r="2247">
      <c r="A2247" s="6"/>
      <c r="C2247" s="6"/>
      <c r="L2247" s="7"/>
      <c r="M2247" s="5"/>
      <c r="N2247" s="5"/>
      <c r="O2247" s="5"/>
    </row>
    <row r="2248">
      <c r="A2248" s="6"/>
      <c r="C2248" s="6"/>
      <c r="L2248" s="7"/>
      <c r="M2248" s="5"/>
      <c r="N2248" s="5"/>
      <c r="O2248" s="5"/>
    </row>
    <row r="2249">
      <c r="A2249" s="6"/>
      <c r="C2249" s="6"/>
      <c r="L2249" s="7"/>
      <c r="M2249" s="5"/>
      <c r="N2249" s="5"/>
      <c r="O2249" s="5"/>
    </row>
    <row r="2250">
      <c r="A2250" s="6"/>
      <c r="C2250" s="6"/>
      <c r="L2250" s="7"/>
      <c r="M2250" s="5"/>
      <c r="N2250" s="5"/>
      <c r="O2250" s="5"/>
    </row>
    <row r="2251">
      <c r="A2251" s="6"/>
      <c r="C2251" s="6"/>
      <c r="L2251" s="7"/>
      <c r="M2251" s="5"/>
      <c r="N2251" s="5"/>
      <c r="O2251" s="5"/>
    </row>
    <row r="2252">
      <c r="A2252" s="6"/>
      <c r="C2252" s="6"/>
      <c r="L2252" s="7"/>
      <c r="M2252" s="5"/>
      <c r="N2252" s="5"/>
      <c r="O2252" s="5"/>
    </row>
    <row r="2253">
      <c r="A2253" s="6"/>
      <c r="C2253" s="6"/>
      <c r="L2253" s="7"/>
      <c r="M2253" s="5"/>
      <c r="N2253" s="5"/>
      <c r="O2253" s="5"/>
    </row>
    <row r="2254">
      <c r="A2254" s="6"/>
      <c r="C2254" s="6"/>
      <c r="L2254" s="7"/>
      <c r="M2254" s="5"/>
      <c r="N2254" s="5"/>
      <c r="O2254" s="5"/>
    </row>
    <row r="2255">
      <c r="A2255" s="6"/>
      <c r="C2255" s="6"/>
      <c r="L2255" s="7"/>
      <c r="M2255" s="5"/>
      <c r="N2255" s="5"/>
      <c r="O2255" s="5"/>
    </row>
    <row r="2256">
      <c r="A2256" s="6"/>
      <c r="C2256" s="6"/>
      <c r="L2256" s="7"/>
      <c r="M2256" s="5"/>
      <c r="N2256" s="5"/>
      <c r="O2256" s="5"/>
    </row>
    <row r="2257">
      <c r="A2257" s="6"/>
      <c r="C2257" s="6"/>
      <c r="L2257" s="7"/>
      <c r="M2257" s="5"/>
      <c r="N2257" s="5"/>
      <c r="O2257" s="5"/>
    </row>
    <row r="2258">
      <c r="A2258" s="6"/>
      <c r="C2258" s="6"/>
      <c r="L2258" s="7"/>
      <c r="M2258" s="5"/>
      <c r="N2258" s="5"/>
      <c r="O2258" s="5"/>
    </row>
    <row r="2259">
      <c r="A2259" s="6"/>
      <c r="C2259" s="6"/>
      <c r="L2259" s="7"/>
      <c r="M2259" s="5"/>
      <c r="N2259" s="5"/>
      <c r="O2259" s="5"/>
    </row>
    <row r="2260">
      <c r="A2260" s="6"/>
      <c r="C2260" s="6"/>
      <c r="L2260" s="7"/>
      <c r="M2260" s="5"/>
      <c r="N2260" s="5"/>
      <c r="O2260" s="5"/>
    </row>
    <row r="2261">
      <c r="A2261" s="6"/>
      <c r="C2261" s="6"/>
      <c r="L2261" s="7"/>
      <c r="M2261" s="5"/>
      <c r="N2261" s="5"/>
      <c r="O2261" s="5"/>
    </row>
    <row r="2262">
      <c r="A2262" s="6"/>
      <c r="C2262" s="6"/>
      <c r="L2262" s="7"/>
      <c r="M2262" s="5"/>
      <c r="N2262" s="5"/>
      <c r="O2262" s="5"/>
    </row>
    <row r="2263">
      <c r="A2263" s="6"/>
      <c r="C2263" s="6"/>
      <c r="L2263" s="7"/>
      <c r="M2263" s="5"/>
      <c r="N2263" s="5"/>
      <c r="O2263" s="5"/>
    </row>
    <row r="2264">
      <c r="A2264" s="6"/>
      <c r="C2264" s="6"/>
      <c r="L2264" s="7"/>
      <c r="M2264" s="5"/>
      <c r="N2264" s="5"/>
      <c r="O2264" s="5"/>
    </row>
    <row r="2265">
      <c r="A2265" s="6"/>
      <c r="C2265" s="6"/>
      <c r="L2265" s="7"/>
      <c r="M2265" s="5"/>
      <c r="N2265" s="5"/>
      <c r="O2265" s="5"/>
    </row>
    <row r="2266">
      <c r="A2266" s="6"/>
      <c r="C2266" s="6"/>
      <c r="L2266" s="7"/>
      <c r="M2266" s="5"/>
      <c r="N2266" s="5"/>
      <c r="O2266" s="5"/>
    </row>
    <row r="2267">
      <c r="A2267" s="6"/>
      <c r="C2267" s="6"/>
      <c r="L2267" s="7"/>
      <c r="M2267" s="5"/>
      <c r="N2267" s="5"/>
      <c r="O2267" s="5"/>
    </row>
    <row r="2268">
      <c r="A2268" s="6"/>
      <c r="C2268" s="6"/>
      <c r="L2268" s="7"/>
      <c r="M2268" s="5"/>
      <c r="N2268" s="5"/>
      <c r="O2268" s="5"/>
    </row>
    <row r="2269">
      <c r="A2269" s="6"/>
      <c r="C2269" s="6"/>
      <c r="L2269" s="7"/>
      <c r="M2269" s="5"/>
      <c r="N2269" s="5"/>
      <c r="O2269" s="5"/>
    </row>
    <row r="2270">
      <c r="A2270" s="6"/>
      <c r="C2270" s="6"/>
      <c r="L2270" s="7"/>
      <c r="M2270" s="5"/>
      <c r="N2270" s="5"/>
      <c r="O2270" s="5"/>
    </row>
    <row r="2271">
      <c r="A2271" s="6"/>
      <c r="C2271" s="6"/>
      <c r="L2271" s="7"/>
      <c r="M2271" s="5"/>
      <c r="N2271" s="5"/>
      <c r="O2271" s="5"/>
    </row>
    <row r="2272">
      <c r="A2272" s="6"/>
      <c r="C2272" s="6"/>
      <c r="L2272" s="7"/>
      <c r="M2272" s="5"/>
      <c r="N2272" s="5"/>
      <c r="O2272" s="5"/>
    </row>
    <row r="2273">
      <c r="A2273" s="6"/>
      <c r="C2273" s="6"/>
      <c r="L2273" s="7"/>
      <c r="M2273" s="5"/>
      <c r="N2273" s="5"/>
      <c r="O2273" s="5"/>
    </row>
    <row r="2274">
      <c r="A2274" s="6"/>
      <c r="C2274" s="6"/>
      <c r="L2274" s="7"/>
      <c r="M2274" s="5"/>
      <c r="N2274" s="5"/>
      <c r="O2274" s="5"/>
    </row>
    <row r="2275">
      <c r="A2275" s="6"/>
      <c r="C2275" s="6"/>
      <c r="L2275" s="7"/>
      <c r="M2275" s="5"/>
      <c r="N2275" s="5"/>
      <c r="O2275" s="5"/>
    </row>
    <row r="2276">
      <c r="A2276" s="6"/>
      <c r="C2276" s="6"/>
      <c r="L2276" s="7"/>
      <c r="M2276" s="5"/>
      <c r="N2276" s="5"/>
      <c r="O2276" s="5"/>
    </row>
    <row r="2277">
      <c r="A2277" s="6"/>
      <c r="C2277" s="6"/>
      <c r="L2277" s="7"/>
      <c r="M2277" s="5"/>
      <c r="N2277" s="5"/>
      <c r="O2277" s="5"/>
    </row>
    <row r="2278">
      <c r="A2278" s="6"/>
      <c r="C2278" s="6"/>
      <c r="L2278" s="7"/>
      <c r="M2278" s="5"/>
      <c r="N2278" s="5"/>
      <c r="O2278" s="5"/>
    </row>
    <row r="2279">
      <c r="A2279" s="6"/>
      <c r="C2279" s="6"/>
      <c r="L2279" s="7"/>
      <c r="M2279" s="5"/>
      <c r="N2279" s="5"/>
      <c r="O2279" s="5"/>
    </row>
    <row r="2280">
      <c r="A2280" s="6"/>
      <c r="C2280" s="6"/>
      <c r="L2280" s="7"/>
      <c r="M2280" s="5"/>
      <c r="N2280" s="5"/>
      <c r="O2280" s="5"/>
    </row>
    <row r="2281">
      <c r="A2281" s="6"/>
      <c r="C2281" s="6"/>
      <c r="L2281" s="7"/>
      <c r="M2281" s="5"/>
      <c r="N2281" s="5"/>
      <c r="O2281" s="5"/>
    </row>
    <row r="2282">
      <c r="A2282" s="6"/>
      <c r="C2282" s="6"/>
      <c r="L2282" s="7"/>
      <c r="M2282" s="5"/>
      <c r="N2282" s="5"/>
      <c r="O2282" s="5"/>
    </row>
    <row r="2283">
      <c r="A2283" s="6"/>
      <c r="C2283" s="6"/>
      <c r="L2283" s="7"/>
      <c r="M2283" s="5"/>
      <c r="N2283" s="5"/>
      <c r="O2283" s="5"/>
    </row>
    <row r="2284">
      <c r="A2284" s="6"/>
      <c r="C2284" s="6"/>
      <c r="L2284" s="7"/>
      <c r="M2284" s="5"/>
      <c r="N2284" s="5"/>
      <c r="O2284" s="5"/>
    </row>
    <row r="2285">
      <c r="A2285" s="6"/>
      <c r="C2285" s="6"/>
      <c r="L2285" s="7"/>
      <c r="M2285" s="5"/>
      <c r="N2285" s="5"/>
      <c r="O2285" s="5"/>
    </row>
    <row r="2286">
      <c r="A2286" s="6"/>
      <c r="C2286" s="6"/>
      <c r="L2286" s="7"/>
      <c r="M2286" s="5"/>
      <c r="N2286" s="5"/>
      <c r="O2286" s="5"/>
    </row>
    <row r="2287">
      <c r="A2287" s="6"/>
      <c r="C2287" s="6"/>
      <c r="L2287" s="7"/>
      <c r="M2287" s="5"/>
      <c r="N2287" s="5"/>
      <c r="O2287" s="5"/>
    </row>
    <row r="2288">
      <c r="A2288" s="6"/>
      <c r="C2288" s="6"/>
      <c r="L2288" s="7"/>
      <c r="M2288" s="5"/>
      <c r="N2288" s="5"/>
      <c r="O2288" s="5"/>
    </row>
    <row r="2289">
      <c r="A2289" s="6"/>
      <c r="C2289" s="6"/>
      <c r="L2289" s="7"/>
      <c r="M2289" s="5"/>
      <c r="N2289" s="5"/>
      <c r="O2289" s="5"/>
    </row>
    <row r="2290">
      <c r="A2290" s="6"/>
      <c r="C2290" s="6"/>
      <c r="L2290" s="7"/>
      <c r="M2290" s="5"/>
      <c r="N2290" s="5"/>
      <c r="O2290" s="5"/>
    </row>
    <row r="2291">
      <c r="A2291" s="6"/>
      <c r="C2291" s="6"/>
      <c r="L2291" s="7"/>
      <c r="M2291" s="5"/>
      <c r="N2291" s="5"/>
      <c r="O2291" s="5"/>
    </row>
    <row r="2292">
      <c r="A2292" s="6"/>
      <c r="C2292" s="6"/>
      <c r="L2292" s="7"/>
      <c r="M2292" s="5"/>
      <c r="N2292" s="5"/>
      <c r="O2292" s="5"/>
    </row>
    <row r="2293">
      <c r="A2293" s="6"/>
      <c r="C2293" s="6"/>
      <c r="L2293" s="7"/>
      <c r="M2293" s="5"/>
      <c r="N2293" s="5"/>
      <c r="O2293" s="5"/>
    </row>
    <row r="2294">
      <c r="A2294" s="6"/>
      <c r="C2294" s="6"/>
      <c r="L2294" s="7"/>
      <c r="M2294" s="5"/>
      <c r="N2294" s="5"/>
      <c r="O2294" s="5"/>
    </row>
    <row r="2295">
      <c r="A2295" s="6"/>
      <c r="C2295" s="6"/>
      <c r="L2295" s="7"/>
      <c r="M2295" s="5"/>
      <c r="N2295" s="5"/>
      <c r="O2295" s="5"/>
    </row>
    <row r="2296">
      <c r="A2296" s="6"/>
      <c r="C2296" s="6"/>
      <c r="L2296" s="7"/>
      <c r="M2296" s="5"/>
      <c r="N2296" s="5"/>
      <c r="O2296" s="5"/>
    </row>
    <row r="2297">
      <c r="A2297" s="6"/>
      <c r="C2297" s="6"/>
      <c r="L2297" s="7"/>
      <c r="M2297" s="5"/>
      <c r="N2297" s="5"/>
      <c r="O2297" s="5"/>
    </row>
    <row r="2298">
      <c r="A2298" s="6"/>
      <c r="C2298" s="6"/>
      <c r="L2298" s="7"/>
      <c r="M2298" s="5"/>
      <c r="N2298" s="5"/>
      <c r="O2298" s="5"/>
    </row>
    <row r="2299">
      <c r="A2299" s="6"/>
      <c r="C2299" s="6"/>
      <c r="L2299" s="7"/>
      <c r="M2299" s="5"/>
      <c r="N2299" s="5"/>
      <c r="O2299" s="5"/>
    </row>
    <row r="2300">
      <c r="A2300" s="6"/>
      <c r="C2300" s="6"/>
      <c r="L2300" s="7"/>
      <c r="M2300" s="5"/>
      <c r="N2300" s="5"/>
      <c r="O2300" s="5"/>
    </row>
    <row r="2301">
      <c r="A2301" s="6"/>
      <c r="C2301" s="6"/>
      <c r="L2301" s="7"/>
      <c r="M2301" s="5"/>
      <c r="N2301" s="5"/>
      <c r="O2301" s="5"/>
    </row>
    <row r="2302">
      <c r="A2302" s="6"/>
      <c r="C2302" s="6"/>
      <c r="L2302" s="7"/>
      <c r="M2302" s="5"/>
      <c r="N2302" s="5"/>
      <c r="O2302" s="5"/>
    </row>
    <row r="2303">
      <c r="A2303" s="6"/>
      <c r="C2303" s="6"/>
      <c r="L2303" s="7"/>
      <c r="M2303" s="5"/>
      <c r="N2303" s="5"/>
      <c r="O2303" s="5"/>
    </row>
    <row r="2304">
      <c r="A2304" s="6"/>
      <c r="C2304" s="6"/>
      <c r="L2304" s="7"/>
      <c r="M2304" s="5"/>
      <c r="N2304" s="5"/>
      <c r="O2304" s="5"/>
    </row>
    <row r="2305">
      <c r="A2305" s="6"/>
      <c r="C2305" s="6"/>
      <c r="L2305" s="7"/>
      <c r="M2305" s="5"/>
      <c r="N2305" s="5"/>
      <c r="O2305" s="5"/>
    </row>
    <row r="2306">
      <c r="A2306" s="6"/>
      <c r="C2306" s="6"/>
      <c r="L2306" s="7"/>
      <c r="M2306" s="5"/>
      <c r="N2306" s="5"/>
      <c r="O2306" s="5"/>
    </row>
    <row r="2307">
      <c r="A2307" s="6"/>
      <c r="C2307" s="6"/>
      <c r="L2307" s="7"/>
      <c r="M2307" s="5"/>
      <c r="N2307" s="5"/>
      <c r="O2307" s="5"/>
    </row>
    <row r="2308">
      <c r="A2308" s="6"/>
      <c r="C2308" s="6"/>
      <c r="L2308" s="7"/>
      <c r="M2308" s="5"/>
      <c r="N2308" s="5"/>
      <c r="O2308" s="5"/>
    </row>
    <row r="2309">
      <c r="A2309" s="6"/>
      <c r="C2309" s="6"/>
      <c r="L2309" s="7"/>
      <c r="M2309" s="5"/>
      <c r="N2309" s="5"/>
      <c r="O2309" s="5"/>
    </row>
    <row r="2310">
      <c r="A2310" s="6"/>
      <c r="C2310" s="6"/>
      <c r="L2310" s="7"/>
      <c r="M2310" s="5"/>
      <c r="N2310" s="5"/>
      <c r="O2310" s="5"/>
    </row>
    <row r="2311">
      <c r="A2311" s="6"/>
      <c r="C2311" s="6"/>
      <c r="L2311" s="7"/>
      <c r="M2311" s="5"/>
      <c r="N2311" s="5"/>
      <c r="O2311" s="5"/>
    </row>
    <row r="2312">
      <c r="A2312" s="6"/>
      <c r="C2312" s="6"/>
      <c r="L2312" s="7"/>
      <c r="M2312" s="5"/>
      <c r="N2312" s="5"/>
      <c r="O2312" s="5"/>
    </row>
    <row r="2313">
      <c r="A2313" s="6"/>
      <c r="C2313" s="6"/>
      <c r="L2313" s="7"/>
      <c r="M2313" s="5"/>
      <c r="N2313" s="5"/>
      <c r="O2313" s="5"/>
    </row>
    <row r="2314">
      <c r="A2314" s="6"/>
      <c r="C2314" s="6"/>
      <c r="L2314" s="7"/>
      <c r="M2314" s="5"/>
      <c r="N2314" s="5"/>
      <c r="O2314" s="5"/>
    </row>
    <row r="2315">
      <c r="A2315" s="6"/>
      <c r="C2315" s="6"/>
      <c r="L2315" s="7"/>
      <c r="M2315" s="5"/>
      <c r="N2315" s="5"/>
      <c r="O2315" s="5"/>
    </row>
    <row r="2316">
      <c r="A2316" s="6"/>
      <c r="C2316" s="6"/>
      <c r="L2316" s="7"/>
      <c r="M2316" s="5"/>
      <c r="N2316" s="5"/>
      <c r="O2316" s="5"/>
    </row>
    <row r="2317">
      <c r="A2317" s="6"/>
      <c r="C2317" s="6"/>
      <c r="L2317" s="7"/>
      <c r="M2317" s="5"/>
      <c r="N2317" s="5"/>
      <c r="O2317" s="5"/>
    </row>
    <row r="2318">
      <c r="A2318" s="6"/>
      <c r="C2318" s="6"/>
      <c r="L2318" s="7"/>
      <c r="M2318" s="5"/>
      <c r="N2318" s="5"/>
      <c r="O2318" s="5"/>
    </row>
    <row r="2319">
      <c r="A2319" s="6"/>
      <c r="C2319" s="6"/>
      <c r="L2319" s="7"/>
      <c r="M2319" s="5"/>
      <c r="N2319" s="5"/>
      <c r="O2319" s="5"/>
    </row>
    <row r="2320">
      <c r="A2320" s="6"/>
      <c r="C2320" s="6"/>
      <c r="L2320" s="7"/>
      <c r="M2320" s="5"/>
      <c r="N2320" s="5"/>
      <c r="O2320" s="5"/>
    </row>
    <row r="2321">
      <c r="A2321" s="6"/>
      <c r="C2321" s="6"/>
      <c r="L2321" s="7"/>
      <c r="M2321" s="5"/>
      <c r="N2321" s="5"/>
      <c r="O2321" s="5"/>
    </row>
    <row r="2322">
      <c r="A2322" s="6"/>
      <c r="C2322" s="6"/>
      <c r="L2322" s="7"/>
      <c r="M2322" s="5"/>
      <c r="N2322" s="5"/>
      <c r="O2322" s="5"/>
    </row>
    <row r="2323">
      <c r="A2323" s="6"/>
      <c r="C2323" s="6"/>
      <c r="L2323" s="7"/>
      <c r="M2323" s="5"/>
      <c r="N2323" s="5"/>
      <c r="O2323" s="5"/>
    </row>
    <row r="2324">
      <c r="A2324" s="6"/>
      <c r="C2324" s="6"/>
      <c r="L2324" s="7"/>
      <c r="M2324" s="5"/>
      <c r="N2324" s="5"/>
      <c r="O2324" s="5"/>
    </row>
    <row r="2325">
      <c r="A2325" s="6"/>
      <c r="C2325" s="6"/>
      <c r="L2325" s="7"/>
      <c r="M2325" s="5"/>
      <c r="N2325" s="5"/>
      <c r="O2325" s="5"/>
    </row>
    <row r="2326">
      <c r="A2326" s="6"/>
      <c r="C2326" s="6"/>
      <c r="L2326" s="7"/>
      <c r="M2326" s="5"/>
      <c r="N2326" s="5"/>
      <c r="O2326" s="5"/>
    </row>
    <row r="2327">
      <c r="A2327" s="6"/>
      <c r="C2327" s="6"/>
      <c r="L2327" s="7"/>
      <c r="M2327" s="5"/>
      <c r="N2327" s="5"/>
      <c r="O2327" s="5"/>
    </row>
    <row r="2328">
      <c r="A2328" s="6"/>
      <c r="C2328" s="6"/>
      <c r="L2328" s="7"/>
      <c r="M2328" s="5"/>
      <c r="N2328" s="5"/>
      <c r="O2328" s="5"/>
    </row>
    <row r="2329">
      <c r="A2329" s="6"/>
      <c r="C2329" s="6"/>
      <c r="L2329" s="7"/>
      <c r="M2329" s="5"/>
      <c r="N2329" s="5"/>
      <c r="O2329" s="5"/>
    </row>
    <row r="2330">
      <c r="A2330" s="6"/>
      <c r="C2330" s="6"/>
      <c r="L2330" s="7"/>
      <c r="M2330" s="5"/>
      <c r="N2330" s="5"/>
      <c r="O2330" s="5"/>
    </row>
    <row r="2331">
      <c r="A2331" s="6"/>
      <c r="C2331" s="6"/>
      <c r="L2331" s="7"/>
      <c r="M2331" s="5"/>
      <c r="N2331" s="5"/>
      <c r="O2331" s="5"/>
    </row>
    <row r="2332">
      <c r="A2332" s="6"/>
      <c r="C2332" s="6"/>
      <c r="L2332" s="7"/>
      <c r="M2332" s="5"/>
      <c r="N2332" s="5"/>
      <c r="O2332" s="5"/>
    </row>
    <row r="2333">
      <c r="A2333" s="6"/>
      <c r="C2333" s="6"/>
      <c r="L2333" s="7"/>
      <c r="M2333" s="5"/>
      <c r="N2333" s="5"/>
      <c r="O2333" s="5"/>
    </row>
    <row r="2334">
      <c r="A2334" s="6"/>
      <c r="C2334" s="6"/>
      <c r="L2334" s="7"/>
      <c r="M2334" s="5"/>
      <c r="N2334" s="5"/>
      <c r="O2334" s="5"/>
    </row>
    <row r="2335">
      <c r="A2335" s="6"/>
      <c r="C2335" s="6"/>
      <c r="L2335" s="7"/>
      <c r="M2335" s="5"/>
      <c r="N2335" s="5"/>
      <c r="O2335" s="5"/>
    </row>
    <row r="2336">
      <c r="A2336" s="6"/>
      <c r="C2336" s="6"/>
      <c r="L2336" s="7"/>
      <c r="M2336" s="5"/>
      <c r="N2336" s="5"/>
      <c r="O2336" s="5"/>
    </row>
    <row r="2337">
      <c r="A2337" s="6"/>
      <c r="C2337" s="6"/>
      <c r="L2337" s="7"/>
      <c r="M2337" s="5"/>
      <c r="N2337" s="5"/>
      <c r="O2337" s="5"/>
    </row>
    <row r="2338">
      <c r="A2338" s="6"/>
      <c r="C2338" s="6"/>
      <c r="L2338" s="7"/>
      <c r="M2338" s="5"/>
      <c r="N2338" s="5"/>
      <c r="O2338" s="5"/>
    </row>
    <row r="2339">
      <c r="A2339" s="6"/>
      <c r="C2339" s="6"/>
      <c r="L2339" s="7"/>
      <c r="M2339" s="5"/>
      <c r="N2339" s="5"/>
      <c r="O2339" s="5"/>
    </row>
    <row r="2340">
      <c r="A2340" s="6"/>
      <c r="C2340" s="6"/>
      <c r="L2340" s="7"/>
      <c r="M2340" s="5"/>
      <c r="N2340" s="5"/>
      <c r="O2340" s="5"/>
    </row>
    <row r="2341">
      <c r="A2341" s="6"/>
      <c r="C2341" s="6"/>
      <c r="L2341" s="7"/>
      <c r="M2341" s="5"/>
      <c r="N2341" s="5"/>
      <c r="O2341" s="5"/>
    </row>
    <row r="2342">
      <c r="A2342" s="6"/>
      <c r="C2342" s="6"/>
      <c r="L2342" s="7"/>
      <c r="M2342" s="5"/>
      <c r="N2342" s="5"/>
      <c r="O2342" s="5"/>
    </row>
    <row r="2343">
      <c r="A2343" s="6"/>
      <c r="C2343" s="6"/>
      <c r="L2343" s="7"/>
      <c r="M2343" s="5"/>
      <c r="N2343" s="5"/>
      <c r="O2343" s="5"/>
    </row>
    <row r="2344">
      <c r="A2344" s="6"/>
      <c r="C2344" s="6"/>
      <c r="L2344" s="7"/>
      <c r="M2344" s="5"/>
      <c r="N2344" s="5"/>
      <c r="O2344" s="5"/>
    </row>
    <row r="2345">
      <c r="A2345" s="6"/>
      <c r="C2345" s="6"/>
      <c r="L2345" s="7"/>
      <c r="M2345" s="5"/>
      <c r="N2345" s="5"/>
      <c r="O2345" s="5"/>
    </row>
    <row r="2346">
      <c r="A2346" s="6"/>
      <c r="C2346" s="6"/>
      <c r="L2346" s="7"/>
      <c r="M2346" s="5"/>
      <c r="N2346" s="5"/>
      <c r="O2346" s="5"/>
    </row>
    <row r="2347">
      <c r="A2347" s="6"/>
      <c r="C2347" s="6"/>
      <c r="L2347" s="7"/>
      <c r="M2347" s="5"/>
      <c r="N2347" s="5"/>
      <c r="O2347" s="5"/>
    </row>
    <row r="2348">
      <c r="A2348" s="6"/>
      <c r="C2348" s="6"/>
      <c r="L2348" s="7"/>
      <c r="M2348" s="5"/>
      <c r="N2348" s="5"/>
      <c r="O2348" s="5"/>
    </row>
    <row r="2349">
      <c r="A2349" s="6"/>
      <c r="C2349" s="6"/>
      <c r="L2349" s="7"/>
      <c r="M2349" s="5"/>
      <c r="N2349" s="5"/>
      <c r="O2349" s="5"/>
    </row>
    <row r="2350">
      <c r="A2350" s="6"/>
      <c r="C2350" s="6"/>
      <c r="L2350" s="7"/>
      <c r="M2350" s="5"/>
      <c r="N2350" s="5"/>
      <c r="O2350" s="5"/>
    </row>
    <row r="2351">
      <c r="A2351" s="6"/>
      <c r="C2351" s="6"/>
      <c r="L2351" s="7"/>
      <c r="M2351" s="5"/>
      <c r="N2351" s="5"/>
      <c r="O2351" s="5"/>
    </row>
    <row r="2352">
      <c r="A2352" s="6"/>
      <c r="C2352" s="6"/>
      <c r="L2352" s="7"/>
      <c r="M2352" s="5"/>
      <c r="N2352" s="5"/>
      <c r="O2352" s="5"/>
    </row>
    <row r="2353">
      <c r="A2353" s="6"/>
      <c r="C2353" s="6"/>
      <c r="L2353" s="7"/>
      <c r="M2353" s="5"/>
      <c r="N2353" s="5"/>
      <c r="O2353" s="5"/>
    </row>
    <row r="2354">
      <c r="A2354" s="6"/>
      <c r="C2354" s="6"/>
      <c r="L2354" s="7"/>
      <c r="M2354" s="5"/>
      <c r="N2354" s="5"/>
      <c r="O2354" s="5"/>
    </row>
    <row r="2355">
      <c r="A2355" s="6"/>
      <c r="C2355" s="6"/>
      <c r="L2355" s="7"/>
      <c r="M2355" s="5"/>
      <c r="N2355" s="5"/>
      <c r="O2355" s="5"/>
    </row>
    <row r="2356">
      <c r="A2356" s="6"/>
      <c r="C2356" s="6"/>
      <c r="L2356" s="7"/>
      <c r="M2356" s="5"/>
      <c r="N2356" s="5"/>
      <c r="O2356" s="5"/>
    </row>
    <row r="2357">
      <c r="A2357" s="6"/>
      <c r="C2357" s="6"/>
      <c r="L2357" s="7"/>
      <c r="M2357" s="5"/>
      <c r="N2357" s="5"/>
      <c r="O2357" s="5"/>
    </row>
    <row r="2358">
      <c r="A2358" s="6"/>
      <c r="C2358" s="6"/>
      <c r="L2358" s="7"/>
      <c r="M2358" s="5"/>
      <c r="N2358" s="5"/>
      <c r="O2358" s="5"/>
    </row>
    <row r="2359">
      <c r="A2359" s="6"/>
      <c r="C2359" s="6"/>
      <c r="L2359" s="7"/>
      <c r="M2359" s="5"/>
      <c r="N2359" s="5"/>
      <c r="O2359" s="5"/>
    </row>
    <row r="2360">
      <c r="A2360" s="6"/>
      <c r="C2360" s="6"/>
      <c r="L2360" s="7"/>
      <c r="M2360" s="5"/>
      <c r="N2360" s="5"/>
      <c r="O2360" s="5"/>
    </row>
    <row r="2361">
      <c r="A2361" s="6"/>
      <c r="C2361" s="6"/>
      <c r="L2361" s="7"/>
      <c r="M2361" s="5"/>
      <c r="N2361" s="5"/>
      <c r="O2361" s="5"/>
    </row>
    <row r="2362">
      <c r="A2362" s="6"/>
      <c r="C2362" s="6"/>
      <c r="L2362" s="7"/>
      <c r="M2362" s="5"/>
      <c r="N2362" s="5"/>
      <c r="O2362" s="5"/>
    </row>
    <row r="2363">
      <c r="A2363" s="6"/>
      <c r="C2363" s="6"/>
      <c r="L2363" s="7"/>
      <c r="M2363" s="5"/>
      <c r="N2363" s="5"/>
      <c r="O2363" s="5"/>
    </row>
    <row r="2364">
      <c r="A2364" s="6"/>
      <c r="C2364" s="6"/>
      <c r="L2364" s="7"/>
      <c r="M2364" s="5"/>
      <c r="N2364" s="5"/>
      <c r="O2364" s="5"/>
    </row>
    <row r="2365">
      <c r="A2365" s="6"/>
      <c r="C2365" s="6"/>
      <c r="L2365" s="7"/>
      <c r="M2365" s="5"/>
      <c r="N2365" s="5"/>
      <c r="O2365" s="5"/>
    </row>
    <row r="2366">
      <c r="A2366" s="6"/>
      <c r="C2366" s="6"/>
      <c r="L2366" s="7"/>
      <c r="M2366" s="5"/>
      <c r="N2366" s="5"/>
      <c r="O2366" s="5"/>
    </row>
    <row r="2367">
      <c r="A2367" s="6"/>
      <c r="C2367" s="6"/>
      <c r="L2367" s="7"/>
      <c r="M2367" s="5"/>
      <c r="N2367" s="5"/>
      <c r="O2367" s="5"/>
    </row>
    <row r="2368">
      <c r="A2368" s="6"/>
      <c r="C2368" s="6"/>
      <c r="L2368" s="7"/>
      <c r="M2368" s="5"/>
      <c r="N2368" s="5"/>
      <c r="O2368" s="5"/>
    </row>
    <row r="2369">
      <c r="A2369" s="6"/>
      <c r="C2369" s="6"/>
      <c r="L2369" s="7"/>
      <c r="M2369" s="5"/>
      <c r="N2369" s="5"/>
      <c r="O2369" s="5"/>
    </row>
    <row r="2370">
      <c r="A2370" s="6"/>
      <c r="C2370" s="6"/>
      <c r="L2370" s="7"/>
      <c r="M2370" s="5"/>
      <c r="N2370" s="5"/>
      <c r="O2370" s="5"/>
    </row>
    <row r="2371">
      <c r="A2371" s="6"/>
      <c r="C2371" s="6"/>
      <c r="L2371" s="7"/>
      <c r="M2371" s="5"/>
      <c r="N2371" s="5"/>
      <c r="O2371" s="5"/>
    </row>
    <row r="2372">
      <c r="A2372" s="6"/>
      <c r="C2372" s="6"/>
      <c r="L2372" s="7"/>
      <c r="M2372" s="5"/>
      <c r="N2372" s="5"/>
      <c r="O2372" s="5"/>
    </row>
    <row r="2373">
      <c r="A2373" s="6"/>
      <c r="C2373" s="6"/>
      <c r="L2373" s="7"/>
      <c r="M2373" s="5"/>
      <c r="N2373" s="5"/>
      <c r="O2373" s="5"/>
    </row>
    <row r="2374">
      <c r="A2374" s="6"/>
      <c r="C2374" s="6"/>
      <c r="L2374" s="7"/>
      <c r="M2374" s="5"/>
      <c r="N2374" s="5"/>
      <c r="O2374" s="5"/>
    </row>
    <row r="2375">
      <c r="A2375" s="6"/>
      <c r="C2375" s="6"/>
      <c r="L2375" s="7"/>
      <c r="M2375" s="5"/>
      <c r="N2375" s="5"/>
      <c r="O2375" s="5"/>
    </row>
    <row r="2376">
      <c r="A2376" s="6"/>
      <c r="C2376" s="6"/>
      <c r="L2376" s="7"/>
      <c r="M2376" s="5"/>
      <c r="N2376" s="5"/>
      <c r="O2376" s="5"/>
    </row>
    <row r="2377">
      <c r="A2377" s="6"/>
      <c r="C2377" s="6"/>
      <c r="L2377" s="7"/>
      <c r="M2377" s="5"/>
      <c r="N2377" s="5"/>
      <c r="O2377" s="5"/>
    </row>
    <row r="2378">
      <c r="A2378" s="6"/>
      <c r="C2378" s="6"/>
      <c r="L2378" s="7"/>
      <c r="M2378" s="5"/>
      <c r="N2378" s="5"/>
      <c r="O2378" s="5"/>
    </row>
    <row r="2379">
      <c r="A2379" s="6"/>
      <c r="C2379" s="6"/>
      <c r="L2379" s="7"/>
      <c r="M2379" s="5"/>
      <c r="N2379" s="5"/>
      <c r="O2379" s="5"/>
    </row>
    <row r="2380">
      <c r="A2380" s="6"/>
      <c r="C2380" s="6"/>
      <c r="L2380" s="7"/>
      <c r="M2380" s="5"/>
      <c r="N2380" s="5"/>
      <c r="O2380" s="5"/>
    </row>
    <row r="2381">
      <c r="A2381" s="6"/>
      <c r="C2381" s="6"/>
      <c r="L2381" s="7"/>
      <c r="M2381" s="5"/>
      <c r="N2381" s="5"/>
      <c r="O2381" s="5"/>
    </row>
    <row r="2382">
      <c r="A2382" s="6"/>
      <c r="C2382" s="6"/>
      <c r="L2382" s="7"/>
      <c r="M2382" s="5"/>
      <c r="N2382" s="5"/>
      <c r="O2382" s="5"/>
    </row>
    <row r="2383">
      <c r="A2383" s="6"/>
      <c r="C2383" s="6"/>
      <c r="L2383" s="7"/>
      <c r="M2383" s="5"/>
      <c r="N2383" s="5"/>
      <c r="O2383" s="5"/>
    </row>
    <row r="2384">
      <c r="A2384" s="6"/>
      <c r="C2384" s="6"/>
      <c r="L2384" s="7"/>
      <c r="M2384" s="5"/>
      <c r="N2384" s="5"/>
      <c r="O2384" s="5"/>
    </row>
    <row r="2385">
      <c r="A2385" s="6"/>
      <c r="C2385" s="6"/>
      <c r="L2385" s="7"/>
      <c r="M2385" s="5"/>
      <c r="N2385" s="5"/>
      <c r="O2385" s="5"/>
    </row>
    <row r="2386">
      <c r="A2386" s="6"/>
      <c r="C2386" s="6"/>
      <c r="L2386" s="7"/>
      <c r="M2386" s="5"/>
      <c r="N2386" s="5"/>
      <c r="O2386" s="5"/>
    </row>
    <row r="2387">
      <c r="A2387" s="6"/>
      <c r="C2387" s="6"/>
      <c r="L2387" s="7"/>
      <c r="M2387" s="5"/>
      <c r="N2387" s="5"/>
      <c r="O2387" s="5"/>
    </row>
    <row r="2388">
      <c r="A2388" s="6"/>
      <c r="C2388" s="6"/>
      <c r="L2388" s="7"/>
      <c r="M2388" s="5"/>
      <c r="N2388" s="5"/>
      <c r="O2388" s="5"/>
    </row>
    <row r="2389">
      <c r="A2389" s="6"/>
      <c r="C2389" s="6"/>
      <c r="L2389" s="7"/>
      <c r="M2389" s="5"/>
      <c r="N2389" s="5"/>
      <c r="O2389" s="5"/>
    </row>
    <row r="2390">
      <c r="A2390" s="6"/>
      <c r="C2390" s="6"/>
      <c r="L2390" s="7"/>
      <c r="M2390" s="5"/>
      <c r="N2390" s="5"/>
      <c r="O2390" s="5"/>
    </row>
    <row r="2391">
      <c r="A2391" s="6"/>
      <c r="C2391" s="6"/>
      <c r="L2391" s="7"/>
      <c r="M2391" s="5"/>
      <c r="N2391" s="5"/>
      <c r="O2391" s="5"/>
    </row>
    <row r="2392">
      <c r="A2392" s="6"/>
      <c r="C2392" s="6"/>
      <c r="L2392" s="7"/>
      <c r="M2392" s="5"/>
      <c r="N2392" s="5"/>
      <c r="O2392" s="5"/>
    </row>
    <row r="2393">
      <c r="A2393" s="6"/>
      <c r="C2393" s="6"/>
      <c r="L2393" s="7"/>
      <c r="M2393" s="5"/>
      <c r="N2393" s="5"/>
      <c r="O2393" s="5"/>
    </row>
    <row r="2394">
      <c r="A2394" s="6"/>
      <c r="C2394" s="6"/>
      <c r="L2394" s="7"/>
      <c r="M2394" s="5"/>
      <c r="N2394" s="5"/>
      <c r="O2394" s="5"/>
    </row>
    <row r="2395">
      <c r="A2395" s="6"/>
      <c r="C2395" s="6"/>
      <c r="L2395" s="7"/>
      <c r="M2395" s="5"/>
      <c r="N2395" s="5"/>
      <c r="O2395" s="5"/>
    </row>
    <row r="2396">
      <c r="A2396" s="6"/>
      <c r="C2396" s="6"/>
      <c r="L2396" s="7"/>
      <c r="M2396" s="5"/>
      <c r="N2396" s="5"/>
      <c r="O2396" s="5"/>
    </row>
    <row r="2397">
      <c r="A2397" s="6"/>
      <c r="C2397" s="6"/>
      <c r="L2397" s="7"/>
      <c r="M2397" s="5"/>
      <c r="N2397" s="5"/>
      <c r="O2397" s="5"/>
    </row>
    <row r="2398">
      <c r="A2398" s="6"/>
      <c r="C2398" s="6"/>
      <c r="L2398" s="7"/>
      <c r="M2398" s="5"/>
      <c r="N2398" s="5"/>
      <c r="O2398" s="5"/>
    </row>
    <row r="2399">
      <c r="A2399" s="6"/>
      <c r="C2399" s="6"/>
      <c r="L2399" s="7"/>
      <c r="M2399" s="5"/>
      <c r="N2399" s="5"/>
      <c r="O2399" s="5"/>
    </row>
    <row r="2400">
      <c r="A2400" s="6"/>
      <c r="C2400" s="6"/>
      <c r="L2400" s="7"/>
      <c r="M2400" s="5"/>
      <c r="N2400" s="5"/>
      <c r="O2400" s="5"/>
    </row>
    <row r="2401">
      <c r="A2401" s="6"/>
      <c r="C2401" s="6"/>
      <c r="L2401" s="7"/>
      <c r="M2401" s="5"/>
      <c r="N2401" s="5"/>
      <c r="O2401" s="5"/>
    </row>
    <row r="2402">
      <c r="A2402" s="6"/>
      <c r="C2402" s="6"/>
      <c r="L2402" s="7"/>
      <c r="M2402" s="5"/>
      <c r="N2402" s="5"/>
      <c r="O2402" s="5"/>
    </row>
    <row r="2403">
      <c r="A2403" s="6"/>
      <c r="C2403" s="6"/>
      <c r="L2403" s="7"/>
      <c r="M2403" s="5"/>
      <c r="N2403" s="5"/>
      <c r="O2403" s="5"/>
    </row>
    <row r="2404">
      <c r="A2404" s="6"/>
      <c r="C2404" s="6"/>
      <c r="L2404" s="7"/>
      <c r="M2404" s="5"/>
      <c r="N2404" s="5"/>
      <c r="O2404" s="5"/>
    </row>
    <row r="2405">
      <c r="A2405" s="6"/>
      <c r="C2405" s="6"/>
      <c r="L2405" s="7"/>
      <c r="M2405" s="5"/>
      <c r="N2405" s="5"/>
      <c r="O2405" s="5"/>
    </row>
    <row r="2406">
      <c r="A2406" s="6"/>
      <c r="C2406" s="6"/>
      <c r="L2406" s="7"/>
      <c r="M2406" s="5"/>
      <c r="N2406" s="5"/>
      <c r="O2406" s="5"/>
    </row>
    <row r="2407">
      <c r="A2407" s="6"/>
      <c r="C2407" s="6"/>
      <c r="L2407" s="7"/>
      <c r="M2407" s="5"/>
      <c r="N2407" s="5"/>
      <c r="O2407" s="5"/>
    </row>
    <row r="2408">
      <c r="A2408" s="6"/>
      <c r="C2408" s="6"/>
      <c r="L2408" s="7"/>
      <c r="M2408" s="5"/>
      <c r="N2408" s="5"/>
      <c r="O2408" s="5"/>
    </row>
    <row r="2409">
      <c r="A2409" s="6"/>
      <c r="C2409" s="6"/>
      <c r="L2409" s="7"/>
      <c r="M2409" s="5"/>
      <c r="N2409" s="5"/>
      <c r="O2409" s="5"/>
    </row>
    <row r="2410">
      <c r="A2410" s="6"/>
      <c r="C2410" s="6"/>
      <c r="L2410" s="7"/>
      <c r="M2410" s="5"/>
      <c r="N2410" s="5"/>
      <c r="O2410" s="5"/>
    </row>
    <row r="2411">
      <c r="A2411" s="6"/>
      <c r="C2411" s="6"/>
      <c r="L2411" s="7"/>
      <c r="M2411" s="5"/>
      <c r="N2411" s="5"/>
      <c r="O2411" s="5"/>
    </row>
    <row r="2412">
      <c r="A2412" s="6"/>
      <c r="C2412" s="6"/>
      <c r="L2412" s="7"/>
      <c r="M2412" s="5"/>
      <c r="N2412" s="5"/>
      <c r="O2412" s="5"/>
    </row>
    <row r="2413">
      <c r="A2413" s="6"/>
      <c r="C2413" s="6"/>
      <c r="L2413" s="7"/>
      <c r="M2413" s="5"/>
      <c r="N2413" s="5"/>
      <c r="O2413" s="5"/>
    </row>
    <row r="2414">
      <c r="A2414" s="6"/>
      <c r="C2414" s="6"/>
      <c r="L2414" s="7"/>
      <c r="M2414" s="5"/>
      <c r="N2414" s="5"/>
      <c r="O2414" s="5"/>
    </row>
    <row r="2415">
      <c r="A2415" s="6"/>
      <c r="C2415" s="6"/>
      <c r="L2415" s="7"/>
      <c r="M2415" s="5"/>
      <c r="N2415" s="5"/>
      <c r="O2415" s="5"/>
    </row>
    <row r="2416">
      <c r="A2416" s="6"/>
      <c r="C2416" s="6"/>
      <c r="L2416" s="7"/>
      <c r="M2416" s="5"/>
      <c r="N2416" s="5"/>
      <c r="O2416" s="5"/>
    </row>
    <row r="2417">
      <c r="A2417" s="6"/>
      <c r="C2417" s="6"/>
      <c r="L2417" s="7"/>
      <c r="M2417" s="5"/>
      <c r="N2417" s="5"/>
      <c r="O2417" s="5"/>
    </row>
    <row r="2418">
      <c r="A2418" s="6"/>
      <c r="C2418" s="6"/>
      <c r="L2418" s="7"/>
      <c r="M2418" s="5"/>
      <c r="N2418" s="5"/>
      <c r="O2418" s="5"/>
    </row>
    <row r="2419">
      <c r="A2419" s="6"/>
      <c r="C2419" s="6"/>
      <c r="L2419" s="7"/>
      <c r="M2419" s="5"/>
      <c r="N2419" s="5"/>
      <c r="O2419" s="5"/>
    </row>
    <row r="2420">
      <c r="A2420" s="6"/>
      <c r="C2420" s="6"/>
      <c r="L2420" s="7"/>
      <c r="M2420" s="5"/>
      <c r="N2420" s="5"/>
      <c r="O2420" s="5"/>
    </row>
    <row r="2421">
      <c r="A2421" s="6"/>
      <c r="C2421" s="6"/>
      <c r="L2421" s="7"/>
      <c r="M2421" s="5"/>
      <c r="N2421" s="5"/>
      <c r="O2421" s="5"/>
    </row>
    <row r="2422">
      <c r="A2422" s="6"/>
      <c r="C2422" s="6"/>
      <c r="L2422" s="7"/>
      <c r="M2422" s="5"/>
      <c r="N2422" s="5"/>
      <c r="O2422" s="5"/>
    </row>
    <row r="2423">
      <c r="A2423" s="6"/>
      <c r="C2423" s="6"/>
      <c r="L2423" s="7"/>
      <c r="M2423" s="5"/>
      <c r="N2423" s="5"/>
      <c r="O2423" s="5"/>
    </row>
    <row r="2424">
      <c r="A2424" s="6"/>
      <c r="C2424" s="6"/>
      <c r="L2424" s="7"/>
      <c r="M2424" s="5"/>
      <c r="N2424" s="5"/>
      <c r="O2424" s="5"/>
    </row>
    <row r="2425">
      <c r="A2425" s="6"/>
      <c r="C2425" s="6"/>
      <c r="L2425" s="7"/>
      <c r="M2425" s="5"/>
      <c r="N2425" s="5"/>
      <c r="O2425" s="5"/>
    </row>
    <row r="2426">
      <c r="A2426" s="6"/>
      <c r="C2426" s="6"/>
      <c r="L2426" s="7"/>
      <c r="M2426" s="5"/>
      <c r="N2426" s="5"/>
      <c r="O2426" s="5"/>
    </row>
    <row r="2427">
      <c r="A2427" s="6"/>
      <c r="C2427" s="6"/>
      <c r="L2427" s="7"/>
      <c r="M2427" s="5"/>
      <c r="N2427" s="5"/>
      <c r="O2427" s="5"/>
    </row>
    <row r="2428">
      <c r="A2428" s="6"/>
      <c r="C2428" s="6"/>
      <c r="L2428" s="7"/>
      <c r="M2428" s="5"/>
      <c r="N2428" s="5"/>
      <c r="O2428" s="5"/>
    </row>
    <row r="2429">
      <c r="A2429" s="6"/>
      <c r="C2429" s="6"/>
      <c r="L2429" s="7"/>
      <c r="M2429" s="5"/>
      <c r="N2429" s="5"/>
      <c r="O2429" s="5"/>
    </row>
    <row r="2430">
      <c r="A2430" s="6"/>
      <c r="C2430" s="6"/>
      <c r="L2430" s="7"/>
      <c r="M2430" s="5"/>
      <c r="N2430" s="5"/>
      <c r="O2430" s="5"/>
    </row>
    <row r="2431">
      <c r="A2431" s="6"/>
      <c r="C2431" s="6"/>
      <c r="L2431" s="7"/>
      <c r="M2431" s="5"/>
      <c r="N2431" s="5"/>
      <c r="O2431" s="5"/>
    </row>
    <row r="2432">
      <c r="A2432" s="6"/>
      <c r="C2432" s="6"/>
      <c r="L2432" s="7"/>
      <c r="M2432" s="5"/>
      <c r="N2432" s="5"/>
      <c r="O2432" s="5"/>
    </row>
    <row r="2433">
      <c r="A2433" s="6"/>
      <c r="C2433" s="6"/>
      <c r="L2433" s="7"/>
      <c r="M2433" s="5"/>
      <c r="N2433" s="5"/>
      <c r="O2433" s="5"/>
    </row>
    <row r="2434">
      <c r="A2434" s="6"/>
      <c r="C2434" s="6"/>
      <c r="L2434" s="7"/>
      <c r="M2434" s="5"/>
      <c r="N2434" s="5"/>
      <c r="O2434" s="5"/>
    </row>
    <row r="2435">
      <c r="A2435" s="6"/>
      <c r="C2435" s="6"/>
      <c r="L2435" s="7"/>
      <c r="M2435" s="5"/>
      <c r="N2435" s="5"/>
      <c r="O2435" s="5"/>
    </row>
    <row r="2436">
      <c r="A2436" s="6"/>
      <c r="C2436" s="6"/>
      <c r="L2436" s="7"/>
      <c r="M2436" s="5"/>
      <c r="N2436" s="5"/>
      <c r="O2436" s="5"/>
    </row>
    <row r="2437">
      <c r="A2437" s="6"/>
      <c r="C2437" s="6"/>
      <c r="L2437" s="7"/>
      <c r="M2437" s="5"/>
      <c r="N2437" s="5"/>
      <c r="O2437" s="5"/>
    </row>
    <row r="2438">
      <c r="A2438" s="6"/>
      <c r="C2438" s="6"/>
      <c r="L2438" s="7"/>
      <c r="M2438" s="5"/>
      <c r="N2438" s="5"/>
      <c r="O2438" s="5"/>
    </row>
    <row r="2439">
      <c r="A2439" s="6"/>
      <c r="C2439" s="6"/>
      <c r="L2439" s="7"/>
      <c r="M2439" s="5"/>
      <c r="N2439" s="5"/>
      <c r="O2439" s="5"/>
    </row>
    <row r="2440">
      <c r="A2440" s="6"/>
      <c r="C2440" s="6"/>
      <c r="L2440" s="7"/>
      <c r="M2440" s="5"/>
      <c r="N2440" s="5"/>
      <c r="O2440" s="5"/>
    </row>
    <row r="2441">
      <c r="A2441" s="6"/>
      <c r="C2441" s="6"/>
      <c r="L2441" s="7"/>
      <c r="M2441" s="5"/>
      <c r="N2441" s="5"/>
      <c r="O2441" s="5"/>
    </row>
    <row r="2442">
      <c r="A2442" s="6"/>
      <c r="C2442" s="6"/>
      <c r="L2442" s="7"/>
      <c r="M2442" s="5"/>
      <c r="N2442" s="5"/>
      <c r="O2442" s="5"/>
    </row>
    <row r="2443">
      <c r="A2443" s="6"/>
      <c r="C2443" s="6"/>
      <c r="L2443" s="7"/>
      <c r="M2443" s="5"/>
      <c r="N2443" s="5"/>
      <c r="O2443" s="5"/>
    </row>
    <row r="2444">
      <c r="A2444" s="6"/>
      <c r="C2444" s="6"/>
      <c r="L2444" s="7"/>
      <c r="M2444" s="5"/>
      <c r="N2444" s="5"/>
      <c r="O2444" s="5"/>
    </row>
    <row r="2445">
      <c r="A2445" s="6"/>
      <c r="C2445" s="6"/>
      <c r="L2445" s="7"/>
      <c r="M2445" s="5"/>
      <c r="N2445" s="5"/>
      <c r="O2445" s="5"/>
    </row>
    <row r="2446">
      <c r="A2446" s="6"/>
      <c r="C2446" s="6"/>
      <c r="L2446" s="7"/>
      <c r="M2446" s="5"/>
      <c r="N2446" s="5"/>
      <c r="O2446" s="5"/>
    </row>
    <row r="2447">
      <c r="A2447" s="6"/>
      <c r="C2447" s="6"/>
      <c r="L2447" s="7"/>
      <c r="M2447" s="5"/>
      <c r="N2447" s="5"/>
      <c r="O2447" s="5"/>
    </row>
    <row r="2448">
      <c r="A2448" s="6"/>
      <c r="C2448" s="6"/>
      <c r="L2448" s="7"/>
      <c r="M2448" s="5"/>
      <c r="N2448" s="5"/>
      <c r="O2448" s="5"/>
    </row>
    <row r="2449">
      <c r="A2449" s="6"/>
      <c r="C2449" s="6"/>
      <c r="L2449" s="7"/>
      <c r="M2449" s="5"/>
      <c r="N2449" s="5"/>
      <c r="O2449" s="5"/>
    </row>
    <row r="2450">
      <c r="A2450" s="6"/>
      <c r="C2450" s="6"/>
      <c r="L2450" s="7"/>
      <c r="M2450" s="5"/>
      <c r="N2450" s="5"/>
      <c r="O2450" s="5"/>
    </row>
    <row r="2451">
      <c r="A2451" s="6"/>
      <c r="C2451" s="6"/>
      <c r="L2451" s="7"/>
      <c r="M2451" s="5"/>
      <c r="N2451" s="5"/>
      <c r="O2451" s="5"/>
    </row>
    <row r="2452">
      <c r="A2452" s="6"/>
      <c r="C2452" s="6"/>
      <c r="L2452" s="7"/>
      <c r="M2452" s="5"/>
      <c r="N2452" s="5"/>
      <c r="O2452" s="5"/>
    </row>
    <row r="2453">
      <c r="A2453" s="6"/>
      <c r="C2453" s="6"/>
      <c r="L2453" s="7"/>
      <c r="M2453" s="5"/>
      <c r="N2453" s="5"/>
      <c r="O2453" s="5"/>
    </row>
    <row r="2454">
      <c r="A2454" s="6"/>
      <c r="C2454" s="6"/>
      <c r="L2454" s="7"/>
      <c r="M2454" s="5"/>
      <c r="N2454" s="5"/>
      <c r="O2454" s="5"/>
    </row>
    <row r="2455">
      <c r="A2455" s="6"/>
      <c r="C2455" s="6"/>
      <c r="L2455" s="7"/>
      <c r="M2455" s="5"/>
      <c r="N2455" s="5"/>
      <c r="O2455" s="5"/>
    </row>
    <row r="2456">
      <c r="A2456" s="6"/>
      <c r="C2456" s="6"/>
      <c r="L2456" s="7"/>
      <c r="M2456" s="5"/>
      <c r="N2456" s="5"/>
      <c r="O2456" s="5"/>
    </row>
    <row r="2457">
      <c r="A2457" s="6"/>
      <c r="C2457" s="6"/>
      <c r="L2457" s="7"/>
      <c r="M2457" s="5"/>
      <c r="N2457" s="5"/>
      <c r="O2457" s="5"/>
    </row>
    <row r="2458">
      <c r="A2458" s="6"/>
      <c r="C2458" s="6"/>
      <c r="L2458" s="7"/>
      <c r="M2458" s="5"/>
      <c r="N2458" s="5"/>
      <c r="O2458" s="5"/>
    </row>
    <row r="2459">
      <c r="A2459" s="6"/>
      <c r="C2459" s="6"/>
      <c r="L2459" s="7"/>
      <c r="M2459" s="5"/>
      <c r="N2459" s="5"/>
      <c r="O2459" s="5"/>
    </row>
    <row r="2460">
      <c r="A2460" s="6"/>
      <c r="C2460" s="6"/>
      <c r="L2460" s="7"/>
      <c r="M2460" s="5"/>
      <c r="N2460" s="5"/>
      <c r="O2460" s="5"/>
    </row>
    <row r="2461">
      <c r="A2461" s="6"/>
      <c r="C2461" s="6"/>
      <c r="L2461" s="7"/>
      <c r="M2461" s="5"/>
      <c r="N2461" s="5"/>
      <c r="O2461" s="5"/>
    </row>
    <row r="2462">
      <c r="A2462" s="6"/>
      <c r="C2462" s="6"/>
      <c r="L2462" s="7"/>
      <c r="M2462" s="5"/>
      <c r="N2462" s="5"/>
      <c r="O2462" s="5"/>
    </row>
    <row r="2463">
      <c r="A2463" s="6"/>
      <c r="C2463" s="6"/>
      <c r="L2463" s="7"/>
      <c r="M2463" s="5"/>
      <c r="N2463" s="5"/>
      <c r="O2463" s="5"/>
    </row>
    <row r="2464">
      <c r="A2464" s="6"/>
      <c r="C2464" s="6"/>
      <c r="L2464" s="7"/>
      <c r="M2464" s="5"/>
      <c r="N2464" s="5"/>
      <c r="O2464" s="5"/>
    </row>
    <row r="2465">
      <c r="A2465" s="6"/>
      <c r="C2465" s="6"/>
      <c r="L2465" s="7"/>
      <c r="M2465" s="5"/>
      <c r="N2465" s="5"/>
      <c r="O2465" s="5"/>
    </row>
    <row r="2466">
      <c r="A2466" s="6"/>
      <c r="C2466" s="6"/>
      <c r="L2466" s="7"/>
      <c r="M2466" s="5"/>
      <c r="N2466" s="5"/>
      <c r="O2466" s="5"/>
    </row>
    <row r="2467">
      <c r="A2467" s="6"/>
      <c r="C2467" s="6"/>
      <c r="L2467" s="7"/>
      <c r="M2467" s="5"/>
      <c r="N2467" s="5"/>
      <c r="O2467" s="5"/>
    </row>
    <row r="2468">
      <c r="A2468" s="6"/>
      <c r="C2468" s="6"/>
      <c r="L2468" s="7"/>
      <c r="M2468" s="5"/>
      <c r="N2468" s="5"/>
      <c r="O2468" s="5"/>
    </row>
    <row r="2469">
      <c r="A2469" s="6"/>
      <c r="C2469" s="6"/>
      <c r="L2469" s="7"/>
      <c r="M2469" s="5"/>
      <c r="N2469" s="5"/>
      <c r="O2469" s="5"/>
    </row>
    <row r="2470">
      <c r="A2470" s="6"/>
      <c r="C2470" s="6"/>
      <c r="L2470" s="7"/>
      <c r="M2470" s="5"/>
      <c r="N2470" s="5"/>
      <c r="O2470" s="5"/>
    </row>
    <row r="2471">
      <c r="A2471" s="6"/>
      <c r="C2471" s="6"/>
      <c r="L2471" s="7"/>
      <c r="M2471" s="5"/>
      <c r="N2471" s="5"/>
      <c r="O2471" s="5"/>
    </row>
    <row r="2472">
      <c r="A2472" s="6"/>
      <c r="C2472" s="6"/>
      <c r="L2472" s="7"/>
      <c r="M2472" s="5"/>
      <c r="N2472" s="5"/>
      <c r="O2472" s="5"/>
    </row>
    <row r="2473">
      <c r="A2473" s="6"/>
      <c r="C2473" s="6"/>
      <c r="L2473" s="7"/>
      <c r="M2473" s="5"/>
      <c r="N2473" s="5"/>
      <c r="O2473" s="5"/>
    </row>
    <row r="2474">
      <c r="A2474" s="6"/>
      <c r="C2474" s="6"/>
      <c r="L2474" s="7"/>
      <c r="M2474" s="5"/>
      <c r="N2474" s="5"/>
      <c r="O2474" s="5"/>
    </row>
    <row r="2475">
      <c r="A2475" s="6"/>
      <c r="C2475" s="6"/>
      <c r="L2475" s="7"/>
      <c r="M2475" s="5"/>
      <c r="N2475" s="5"/>
      <c r="O2475" s="5"/>
    </row>
    <row r="2476">
      <c r="A2476" s="6"/>
      <c r="C2476" s="6"/>
      <c r="L2476" s="7"/>
      <c r="M2476" s="5"/>
      <c r="N2476" s="5"/>
      <c r="O2476" s="5"/>
    </row>
    <row r="2477">
      <c r="A2477" s="6"/>
      <c r="C2477" s="6"/>
      <c r="L2477" s="7"/>
      <c r="M2477" s="5"/>
      <c r="N2477" s="5"/>
      <c r="O2477" s="5"/>
    </row>
    <row r="2478">
      <c r="A2478" s="6"/>
      <c r="C2478" s="6"/>
      <c r="L2478" s="7"/>
      <c r="M2478" s="5"/>
      <c r="N2478" s="5"/>
      <c r="O2478" s="5"/>
    </row>
    <row r="2479">
      <c r="A2479" s="6"/>
      <c r="C2479" s="6"/>
      <c r="L2479" s="7"/>
      <c r="M2479" s="5"/>
      <c r="N2479" s="5"/>
      <c r="O2479" s="5"/>
    </row>
    <row r="2480">
      <c r="A2480" s="6"/>
      <c r="C2480" s="6"/>
      <c r="L2480" s="7"/>
      <c r="M2480" s="5"/>
      <c r="N2480" s="5"/>
      <c r="O2480" s="5"/>
    </row>
    <row r="2481">
      <c r="A2481" s="6"/>
      <c r="C2481" s="6"/>
      <c r="L2481" s="7"/>
      <c r="M2481" s="5"/>
      <c r="N2481" s="5"/>
      <c r="O2481" s="5"/>
    </row>
    <row r="2482">
      <c r="A2482" s="6"/>
      <c r="C2482" s="6"/>
      <c r="L2482" s="7"/>
      <c r="M2482" s="5"/>
      <c r="N2482" s="5"/>
      <c r="O2482" s="5"/>
    </row>
    <row r="2483">
      <c r="A2483" s="6"/>
      <c r="C2483" s="6"/>
      <c r="L2483" s="7"/>
      <c r="M2483" s="5"/>
      <c r="N2483" s="5"/>
      <c r="O2483" s="5"/>
    </row>
    <row r="2484">
      <c r="A2484" s="6"/>
      <c r="C2484" s="6"/>
      <c r="L2484" s="7"/>
      <c r="M2484" s="5"/>
      <c r="N2484" s="5"/>
      <c r="O2484" s="5"/>
    </row>
    <row r="2485">
      <c r="A2485" s="6"/>
      <c r="C2485" s="6"/>
      <c r="L2485" s="7"/>
      <c r="M2485" s="5"/>
      <c r="N2485" s="5"/>
      <c r="O2485" s="5"/>
    </row>
    <row r="2486">
      <c r="A2486" s="6"/>
      <c r="C2486" s="6"/>
      <c r="L2486" s="7"/>
      <c r="M2486" s="5"/>
      <c r="N2486" s="5"/>
      <c r="O2486" s="5"/>
    </row>
    <row r="2487">
      <c r="A2487" s="6"/>
      <c r="C2487" s="6"/>
      <c r="L2487" s="7"/>
      <c r="M2487" s="5"/>
      <c r="N2487" s="5"/>
      <c r="O2487" s="5"/>
    </row>
    <row r="2488">
      <c r="A2488" s="6"/>
      <c r="C2488" s="6"/>
      <c r="L2488" s="7"/>
      <c r="M2488" s="5"/>
      <c r="N2488" s="5"/>
      <c r="O2488" s="5"/>
    </row>
    <row r="2489">
      <c r="A2489" s="6"/>
      <c r="C2489" s="6"/>
      <c r="L2489" s="7"/>
      <c r="M2489" s="5"/>
      <c r="N2489" s="5"/>
      <c r="O2489" s="5"/>
    </row>
    <row r="2490">
      <c r="A2490" s="6"/>
      <c r="C2490" s="6"/>
      <c r="L2490" s="7"/>
      <c r="M2490" s="5"/>
      <c r="N2490" s="5"/>
      <c r="O2490" s="5"/>
    </row>
    <row r="2491">
      <c r="A2491" s="6"/>
      <c r="C2491" s="6"/>
      <c r="L2491" s="7"/>
      <c r="M2491" s="5"/>
      <c r="N2491" s="5"/>
      <c r="O2491" s="5"/>
    </row>
    <row r="2492">
      <c r="A2492" s="6"/>
      <c r="C2492" s="6"/>
      <c r="L2492" s="7"/>
      <c r="M2492" s="5"/>
      <c r="N2492" s="5"/>
      <c r="O2492" s="5"/>
    </row>
    <row r="2493">
      <c r="A2493" s="6"/>
      <c r="C2493" s="6"/>
      <c r="L2493" s="7"/>
      <c r="M2493" s="5"/>
      <c r="N2493" s="5"/>
      <c r="O2493" s="5"/>
    </row>
    <row r="2494">
      <c r="A2494" s="6"/>
      <c r="C2494" s="6"/>
      <c r="L2494" s="7"/>
      <c r="M2494" s="5"/>
      <c r="N2494" s="5"/>
      <c r="O2494" s="5"/>
    </row>
    <row r="2495">
      <c r="A2495" s="6"/>
      <c r="C2495" s="6"/>
      <c r="L2495" s="7"/>
      <c r="M2495" s="5"/>
      <c r="N2495" s="5"/>
      <c r="O2495" s="5"/>
    </row>
    <row r="2496">
      <c r="A2496" s="6"/>
      <c r="C2496" s="6"/>
      <c r="L2496" s="7"/>
      <c r="M2496" s="5"/>
      <c r="N2496" s="5"/>
      <c r="O2496" s="5"/>
    </row>
    <row r="2497">
      <c r="A2497" s="6"/>
      <c r="C2497" s="6"/>
      <c r="L2497" s="7"/>
      <c r="M2497" s="5"/>
      <c r="N2497" s="5"/>
      <c r="O2497" s="5"/>
    </row>
    <row r="2498">
      <c r="A2498" s="6"/>
      <c r="C2498" s="6"/>
      <c r="L2498" s="7"/>
      <c r="M2498" s="5"/>
      <c r="N2498" s="5"/>
      <c r="O2498" s="5"/>
    </row>
    <row r="2499">
      <c r="A2499" s="6"/>
      <c r="C2499" s="6"/>
      <c r="L2499" s="7"/>
      <c r="M2499" s="5"/>
      <c r="N2499" s="5"/>
      <c r="O2499" s="5"/>
    </row>
    <row r="2500">
      <c r="A2500" s="6"/>
      <c r="C2500" s="6"/>
      <c r="L2500" s="7"/>
      <c r="M2500" s="5"/>
      <c r="N2500" s="5"/>
      <c r="O2500" s="5"/>
    </row>
    <row r="2501">
      <c r="A2501" s="6"/>
      <c r="C2501" s="6"/>
      <c r="L2501" s="7"/>
      <c r="M2501" s="5"/>
      <c r="N2501" s="5"/>
      <c r="O2501" s="5"/>
    </row>
    <row r="2502">
      <c r="A2502" s="6"/>
      <c r="C2502" s="6"/>
      <c r="L2502" s="7"/>
      <c r="M2502" s="5"/>
      <c r="N2502" s="5"/>
      <c r="O2502" s="5"/>
    </row>
    <row r="2503">
      <c r="A2503" s="6"/>
      <c r="C2503" s="6"/>
      <c r="L2503" s="7"/>
      <c r="M2503" s="5"/>
      <c r="N2503" s="5"/>
      <c r="O2503" s="5"/>
    </row>
    <row r="2504">
      <c r="A2504" s="6"/>
      <c r="C2504" s="6"/>
      <c r="L2504" s="7"/>
      <c r="M2504" s="5"/>
      <c r="N2504" s="5"/>
      <c r="O2504" s="5"/>
    </row>
    <row r="2505">
      <c r="A2505" s="6"/>
      <c r="C2505" s="6"/>
      <c r="L2505" s="7"/>
      <c r="M2505" s="5"/>
      <c r="N2505" s="5"/>
      <c r="O2505" s="5"/>
    </row>
    <row r="2506">
      <c r="A2506" s="6"/>
      <c r="C2506" s="6"/>
      <c r="L2506" s="7"/>
      <c r="M2506" s="5"/>
      <c r="N2506" s="5"/>
      <c r="O2506" s="5"/>
    </row>
    <row r="2507">
      <c r="A2507" s="6"/>
      <c r="C2507" s="6"/>
      <c r="L2507" s="7"/>
      <c r="M2507" s="5"/>
      <c r="N2507" s="5"/>
      <c r="O2507" s="5"/>
    </row>
    <row r="2508">
      <c r="A2508" s="6"/>
      <c r="C2508" s="6"/>
      <c r="L2508" s="7"/>
      <c r="M2508" s="5"/>
      <c r="N2508" s="5"/>
      <c r="O2508" s="5"/>
    </row>
    <row r="2509">
      <c r="A2509" s="6"/>
      <c r="C2509" s="6"/>
      <c r="L2509" s="7"/>
      <c r="M2509" s="5"/>
      <c r="N2509" s="5"/>
      <c r="O2509" s="5"/>
    </row>
    <row r="2510">
      <c r="A2510" s="6"/>
      <c r="C2510" s="6"/>
      <c r="L2510" s="7"/>
      <c r="M2510" s="5"/>
      <c r="N2510" s="5"/>
      <c r="O2510" s="5"/>
    </row>
    <row r="2511">
      <c r="A2511" s="6"/>
      <c r="C2511" s="6"/>
      <c r="L2511" s="7"/>
      <c r="M2511" s="5"/>
      <c r="N2511" s="5"/>
      <c r="O2511" s="5"/>
    </row>
    <row r="2512">
      <c r="A2512" s="6"/>
      <c r="C2512" s="6"/>
      <c r="L2512" s="7"/>
      <c r="M2512" s="5"/>
      <c r="N2512" s="5"/>
      <c r="O2512" s="5"/>
    </row>
    <row r="2513">
      <c r="A2513" s="6"/>
      <c r="C2513" s="6"/>
      <c r="L2513" s="7"/>
      <c r="M2513" s="5"/>
      <c r="N2513" s="5"/>
      <c r="O2513" s="5"/>
    </row>
    <row r="2514">
      <c r="A2514" s="6"/>
      <c r="C2514" s="6"/>
      <c r="L2514" s="7"/>
      <c r="M2514" s="5"/>
      <c r="N2514" s="5"/>
      <c r="O2514" s="5"/>
    </row>
    <row r="2515">
      <c r="A2515" s="6"/>
      <c r="C2515" s="6"/>
      <c r="L2515" s="7"/>
      <c r="M2515" s="5"/>
      <c r="N2515" s="5"/>
      <c r="O2515" s="5"/>
    </row>
    <row r="2516">
      <c r="A2516" s="6"/>
      <c r="C2516" s="6"/>
      <c r="L2516" s="7"/>
      <c r="M2516" s="5"/>
      <c r="N2516" s="5"/>
      <c r="O2516" s="5"/>
    </row>
    <row r="2517">
      <c r="A2517" s="6"/>
      <c r="C2517" s="6"/>
      <c r="L2517" s="7"/>
      <c r="M2517" s="5"/>
      <c r="N2517" s="5"/>
      <c r="O2517" s="5"/>
    </row>
    <row r="2518">
      <c r="A2518" s="6"/>
      <c r="C2518" s="6"/>
      <c r="L2518" s="7"/>
      <c r="M2518" s="5"/>
      <c r="N2518" s="5"/>
      <c r="O2518" s="5"/>
    </row>
    <row r="2519">
      <c r="A2519" s="6"/>
      <c r="C2519" s="6"/>
      <c r="L2519" s="7"/>
      <c r="M2519" s="5"/>
      <c r="N2519" s="5"/>
      <c r="O2519" s="5"/>
    </row>
    <row r="2520">
      <c r="A2520" s="6"/>
      <c r="C2520" s="6"/>
      <c r="L2520" s="7"/>
      <c r="M2520" s="5"/>
      <c r="N2520" s="5"/>
      <c r="O2520" s="5"/>
    </row>
    <row r="2521">
      <c r="A2521" s="6"/>
      <c r="C2521" s="6"/>
      <c r="L2521" s="7"/>
      <c r="M2521" s="5"/>
      <c r="N2521" s="5"/>
      <c r="O2521" s="5"/>
    </row>
    <row r="2522">
      <c r="A2522" s="6"/>
      <c r="C2522" s="6"/>
      <c r="L2522" s="7"/>
      <c r="M2522" s="5"/>
      <c r="N2522" s="5"/>
      <c r="O2522" s="5"/>
    </row>
    <row r="2523">
      <c r="A2523" s="6"/>
      <c r="C2523" s="6"/>
      <c r="L2523" s="7"/>
      <c r="M2523" s="5"/>
      <c r="N2523" s="5"/>
      <c r="O2523" s="5"/>
    </row>
    <row r="2524">
      <c r="A2524" s="6"/>
      <c r="C2524" s="6"/>
      <c r="L2524" s="7"/>
      <c r="M2524" s="5"/>
      <c r="N2524" s="5"/>
      <c r="O2524" s="5"/>
    </row>
    <row r="2525">
      <c r="A2525" s="6"/>
      <c r="C2525" s="6"/>
      <c r="L2525" s="7"/>
      <c r="M2525" s="5"/>
      <c r="N2525" s="5"/>
      <c r="O2525" s="5"/>
    </row>
    <row r="2526">
      <c r="A2526" s="6"/>
      <c r="C2526" s="6"/>
      <c r="L2526" s="7"/>
      <c r="M2526" s="5"/>
      <c r="N2526" s="5"/>
      <c r="O2526" s="5"/>
    </row>
    <row r="2527">
      <c r="A2527" s="6"/>
      <c r="C2527" s="6"/>
      <c r="L2527" s="7"/>
      <c r="M2527" s="5"/>
      <c r="N2527" s="5"/>
      <c r="O2527" s="5"/>
    </row>
    <row r="2528">
      <c r="A2528" s="6"/>
      <c r="C2528" s="6"/>
      <c r="L2528" s="7"/>
      <c r="M2528" s="5"/>
      <c r="N2528" s="5"/>
      <c r="O2528" s="5"/>
    </row>
    <row r="2529">
      <c r="A2529" s="6"/>
      <c r="C2529" s="6"/>
      <c r="L2529" s="7"/>
      <c r="M2529" s="5"/>
      <c r="N2529" s="5"/>
      <c r="O2529" s="5"/>
    </row>
    <row r="2530">
      <c r="A2530" s="6"/>
      <c r="C2530" s="6"/>
      <c r="L2530" s="7"/>
      <c r="M2530" s="5"/>
      <c r="N2530" s="5"/>
      <c r="O2530" s="5"/>
    </row>
    <row r="2531">
      <c r="A2531" s="6"/>
      <c r="C2531" s="6"/>
      <c r="L2531" s="7"/>
      <c r="M2531" s="5"/>
      <c r="N2531" s="5"/>
      <c r="O2531" s="5"/>
    </row>
    <row r="2532">
      <c r="A2532" s="6"/>
      <c r="C2532" s="6"/>
      <c r="L2532" s="7"/>
      <c r="M2532" s="5"/>
      <c r="N2532" s="5"/>
      <c r="O2532" s="5"/>
    </row>
    <row r="2533">
      <c r="A2533" s="6"/>
      <c r="C2533" s="6"/>
      <c r="L2533" s="7"/>
      <c r="M2533" s="5"/>
      <c r="N2533" s="5"/>
      <c r="O2533" s="5"/>
    </row>
    <row r="2534">
      <c r="A2534" s="6"/>
      <c r="C2534" s="6"/>
      <c r="L2534" s="7"/>
      <c r="M2534" s="5"/>
      <c r="N2534" s="5"/>
      <c r="O2534" s="5"/>
    </row>
    <row r="2535">
      <c r="A2535" s="6"/>
      <c r="C2535" s="6"/>
      <c r="L2535" s="7"/>
      <c r="M2535" s="5"/>
      <c r="N2535" s="5"/>
      <c r="O2535" s="5"/>
    </row>
    <row r="2536">
      <c r="A2536" s="6"/>
      <c r="C2536" s="6"/>
      <c r="L2536" s="7"/>
      <c r="M2536" s="5"/>
      <c r="N2536" s="5"/>
      <c r="O2536" s="5"/>
    </row>
    <row r="2537">
      <c r="A2537" s="6"/>
      <c r="C2537" s="6"/>
      <c r="L2537" s="7"/>
      <c r="M2537" s="5"/>
      <c r="N2537" s="5"/>
      <c r="O2537" s="5"/>
    </row>
    <row r="2538">
      <c r="A2538" s="6"/>
      <c r="C2538" s="6"/>
      <c r="L2538" s="7"/>
      <c r="M2538" s="5"/>
      <c r="N2538" s="5"/>
      <c r="O2538" s="5"/>
    </row>
    <row r="2539">
      <c r="A2539" s="6"/>
      <c r="C2539" s="6"/>
      <c r="L2539" s="7"/>
      <c r="M2539" s="5"/>
      <c r="N2539" s="5"/>
      <c r="O2539" s="5"/>
    </row>
    <row r="2540">
      <c r="A2540" s="6"/>
      <c r="C2540" s="6"/>
      <c r="L2540" s="7"/>
      <c r="M2540" s="5"/>
      <c r="N2540" s="5"/>
      <c r="O2540" s="5"/>
    </row>
    <row r="2541">
      <c r="A2541" s="6"/>
      <c r="C2541" s="6"/>
      <c r="L2541" s="7"/>
      <c r="M2541" s="5"/>
      <c r="N2541" s="5"/>
      <c r="O2541" s="5"/>
    </row>
    <row r="2542">
      <c r="A2542" s="6"/>
      <c r="C2542" s="6"/>
      <c r="L2542" s="7"/>
      <c r="M2542" s="5"/>
      <c r="N2542" s="5"/>
      <c r="O2542" s="5"/>
    </row>
    <row r="2543">
      <c r="A2543" s="6"/>
      <c r="C2543" s="6"/>
      <c r="L2543" s="7"/>
      <c r="M2543" s="5"/>
      <c r="N2543" s="5"/>
      <c r="O2543" s="5"/>
    </row>
    <row r="2544">
      <c r="A2544" s="6"/>
      <c r="C2544" s="6"/>
      <c r="L2544" s="7"/>
      <c r="M2544" s="5"/>
      <c r="N2544" s="5"/>
      <c r="O2544" s="5"/>
    </row>
    <row r="2545">
      <c r="A2545" s="6"/>
      <c r="C2545" s="6"/>
      <c r="L2545" s="7"/>
      <c r="M2545" s="5"/>
      <c r="N2545" s="5"/>
      <c r="O2545" s="5"/>
    </row>
    <row r="2546">
      <c r="A2546" s="6"/>
      <c r="C2546" s="6"/>
      <c r="L2546" s="7"/>
      <c r="M2546" s="5"/>
      <c r="N2546" s="5"/>
      <c r="O2546" s="5"/>
    </row>
    <row r="2547">
      <c r="A2547" s="6"/>
      <c r="C2547" s="6"/>
      <c r="L2547" s="7"/>
      <c r="M2547" s="5"/>
      <c r="N2547" s="5"/>
      <c r="O2547" s="5"/>
    </row>
    <row r="2548">
      <c r="A2548" s="6"/>
      <c r="C2548" s="6"/>
      <c r="L2548" s="7"/>
      <c r="M2548" s="5"/>
      <c r="N2548" s="5"/>
      <c r="O2548" s="5"/>
    </row>
    <row r="2549">
      <c r="A2549" s="6"/>
      <c r="C2549" s="6"/>
      <c r="L2549" s="7"/>
      <c r="M2549" s="5"/>
      <c r="N2549" s="5"/>
      <c r="O2549" s="5"/>
    </row>
    <row r="2550">
      <c r="A2550" s="6"/>
      <c r="C2550" s="6"/>
      <c r="L2550" s="7"/>
      <c r="M2550" s="5"/>
      <c r="N2550" s="5"/>
      <c r="O2550" s="5"/>
    </row>
    <row r="2551">
      <c r="A2551" s="6"/>
      <c r="C2551" s="6"/>
      <c r="L2551" s="7"/>
      <c r="M2551" s="5"/>
      <c r="N2551" s="5"/>
      <c r="O2551" s="5"/>
    </row>
    <row r="2552">
      <c r="A2552" s="6"/>
      <c r="C2552" s="6"/>
      <c r="L2552" s="7"/>
      <c r="M2552" s="5"/>
      <c r="N2552" s="5"/>
      <c r="O2552" s="5"/>
    </row>
    <row r="2553">
      <c r="A2553" s="6"/>
      <c r="C2553" s="6"/>
      <c r="L2553" s="7"/>
      <c r="M2553" s="5"/>
      <c r="N2553" s="5"/>
      <c r="O2553" s="5"/>
    </row>
    <row r="2554">
      <c r="A2554" s="6"/>
      <c r="C2554" s="6"/>
      <c r="L2554" s="7"/>
      <c r="M2554" s="5"/>
      <c r="N2554" s="5"/>
      <c r="O2554" s="5"/>
    </row>
    <row r="2555">
      <c r="A2555" s="6"/>
      <c r="C2555" s="6"/>
      <c r="L2555" s="7"/>
      <c r="M2555" s="5"/>
      <c r="N2555" s="5"/>
      <c r="O2555" s="5"/>
    </row>
    <row r="2556">
      <c r="A2556" s="6"/>
      <c r="C2556" s="6"/>
      <c r="L2556" s="7"/>
      <c r="M2556" s="5"/>
      <c r="N2556" s="5"/>
      <c r="O2556" s="5"/>
    </row>
    <row r="2557">
      <c r="A2557" s="6"/>
      <c r="C2557" s="6"/>
      <c r="L2557" s="7"/>
      <c r="M2557" s="5"/>
      <c r="N2557" s="5"/>
      <c r="O2557" s="5"/>
    </row>
    <row r="2558">
      <c r="A2558" s="6"/>
      <c r="C2558" s="6"/>
      <c r="L2558" s="7"/>
      <c r="M2558" s="5"/>
      <c r="N2558" s="5"/>
      <c r="O2558" s="5"/>
    </row>
    <row r="2559">
      <c r="A2559" s="6"/>
      <c r="C2559" s="6"/>
      <c r="L2559" s="7"/>
      <c r="M2559" s="5"/>
      <c r="N2559" s="5"/>
      <c r="O2559" s="5"/>
    </row>
    <row r="2560">
      <c r="A2560" s="6"/>
      <c r="C2560" s="6"/>
      <c r="L2560" s="7"/>
      <c r="M2560" s="5"/>
      <c r="N2560" s="5"/>
      <c r="O2560" s="5"/>
    </row>
    <row r="2561">
      <c r="A2561" s="6"/>
      <c r="C2561" s="6"/>
      <c r="L2561" s="7"/>
      <c r="M2561" s="5"/>
      <c r="N2561" s="5"/>
      <c r="O2561" s="5"/>
    </row>
    <row r="2562">
      <c r="A2562" s="6"/>
      <c r="C2562" s="6"/>
      <c r="L2562" s="7"/>
      <c r="M2562" s="5"/>
      <c r="N2562" s="5"/>
      <c r="O2562" s="5"/>
    </row>
    <row r="2563">
      <c r="A2563" s="6"/>
      <c r="C2563" s="6"/>
      <c r="L2563" s="7"/>
      <c r="M2563" s="5"/>
      <c r="N2563" s="5"/>
      <c r="O2563" s="5"/>
    </row>
    <row r="2564">
      <c r="A2564" s="6"/>
      <c r="C2564" s="6"/>
      <c r="L2564" s="7"/>
      <c r="M2564" s="5"/>
      <c r="N2564" s="5"/>
      <c r="O2564" s="5"/>
    </row>
    <row r="2565">
      <c r="A2565" s="6"/>
      <c r="C2565" s="6"/>
      <c r="L2565" s="7"/>
      <c r="M2565" s="5"/>
      <c r="N2565" s="5"/>
      <c r="O2565" s="5"/>
    </row>
    <row r="2566">
      <c r="A2566" s="6"/>
      <c r="C2566" s="6"/>
      <c r="L2566" s="7"/>
      <c r="M2566" s="5"/>
      <c r="N2566" s="5"/>
      <c r="O2566" s="5"/>
    </row>
    <row r="2567">
      <c r="A2567" s="6"/>
      <c r="C2567" s="6"/>
      <c r="L2567" s="7"/>
      <c r="M2567" s="5"/>
      <c r="N2567" s="5"/>
      <c r="O2567" s="5"/>
    </row>
    <row r="2568">
      <c r="A2568" s="6"/>
      <c r="C2568" s="6"/>
      <c r="L2568" s="7"/>
      <c r="M2568" s="5"/>
      <c r="N2568" s="5"/>
      <c r="O2568" s="5"/>
    </row>
    <row r="2569">
      <c r="A2569" s="6"/>
      <c r="C2569" s="6"/>
      <c r="L2569" s="7"/>
      <c r="M2569" s="5"/>
      <c r="N2569" s="5"/>
      <c r="O2569" s="5"/>
    </row>
    <row r="2570">
      <c r="A2570" s="6"/>
      <c r="C2570" s="6"/>
      <c r="L2570" s="7"/>
      <c r="M2570" s="5"/>
      <c r="N2570" s="5"/>
      <c r="O2570" s="5"/>
    </row>
    <row r="2571">
      <c r="A2571" s="6"/>
      <c r="C2571" s="6"/>
      <c r="L2571" s="7"/>
      <c r="M2571" s="5"/>
      <c r="N2571" s="5"/>
      <c r="O2571" s="5"/>
    </row>
    <row r="2572">
      <c r="A2572" s="6"/>
      <c r="C2572" s="6"/>
      <c r="L2572" s="7"/>
      <c r="M2572" s="5"/>
      <c r="N2572" s="5"/>
      <c r="O2572" s="5"/>
    </row>
    <row r="2573">
      <c r="A2573" s="6"/>
      <c r="C2573" s="6"/>
      <c r="L2573" s="7"/>
      <c r="M2573" s="5"/>
      <c r="N2573" s="5"/>
      <c r="O2573" s="5"/>
    </row>
    <row r="2574">
      <c r="A2574" s="6"/>
      <c r="C2574" s="6"/>
      <c r="L2574" s="7"/>
      <c r="M2574" s="5"/>
      <c r="N2574" s="5"/>
      <c r="O2574" s="5"/>
    </row>
    <row r="2575">
      <c r="A2575" s="6"/>
      <c r="C2575" s="6"/>
      <c r="L2575" s="7"/>
      <c r="M2575" s="5"/>
      <c r="N2575" s="5"/>
      <c r="O2575" s="5"/>
    </row>
    <row r="2576">
      <c r="A2576" s="6"/>
      <c r="C2576" s="6"/>
      <c r="L2576" s="7"/>
      <c r="M2576" s="5"/>
      <c r="N2576" s="5"/>
      <c r="O2576" s="5"/>
    </row>
    <row r="2577">
      <c r="A2577" s="6"/>
      <c r="C2577" s="6"/>
      <c r="L2577" s="7"/>
      <c r="M2577" s="5"/>
      <c r="N2577" s="5"/>
      <c r="O2577" s="5"/>
    </row>
    <row r="2578">
      <c r="A2578" s="6"/>
      <c r="C2578" s="6"/>
      <c r="L2578" s="7"/>
      <c r="M2578" s="5"/>
      <c r="N2578" s="5"/>
      <c r="O2578" s="5"/>
    </row>
    <row r="2579">
      <c r="A2579" s="6"/>
      <c r="C2579" s="6"/>
      <c r="L2579" s="7"/>
      <c r="M2579" s="5"/>
      <c r="N2579" s="5"/>
      <c r="O2579" s="5"/>
    </row>
    <row r="2580">
      <c r="A2580" s="6"/>
      <c r="C2580" s="6"/>
      <c r="L2580" s="7"/>
      <c r="M2580" s="5"/>
      <c r="N2580" s="5"/>
      <c r="O2580" s="5"/>
    </row>
    <row r="2581">
      <c r="A2581" s="6"/>
      <c r="C2581" s="6"/>
      <c r="L2581" s="7"/>
      <c r="M2581" s="5"/>
      <c r="N2581" s="5"/>
      <c r="O2581" s="5"/>
    </row>
    <row r="2582">
      <c r="A2582" s="6"/>
      <c r="C2582" s="6"/>
      <c r="L2582" s="7"/>
      <c r="M2582" s="5"/>
      <c r="N2582" s="5"/>
      <c r="O2582" s="5"/>
    </row>
    <row r="2583">
      <c r="A2583" s="6"/>
      <c r="C2583" s="6"/>
      <c r="L2583" s="7"/>
      <c r="M2583" s="5"/>
      <c r="N2583" s="5"/>
      <c r="O2583" s="5"/>
    </row>
    <row r="2584">
      <c r="A2584" s="6"/>
      <c r="C2584" s="6"/>
      <c r="L2584" s="7"/>
      <c r="M2584" s="5"/>
      <c r="N2584" s="5"/>
      <c r="O2584" s="5"/>
    </row>
    <row r="2585">
      <c r="A2585" s="6"/>
      <c r="C2585" s="6"/>
      <c r="L2585" s="7"/>
      <c r="M2585" s="5"/>
      <c r="N2585" s="5"/>
      <c r="O2585" s="5"/>
    </row>
    <row r="2586">
      <c r="A2586" s="6"/>
      <c r="C2586" s="6"/>
      <c r="L2586" s="7"/>
      <c r="M2586" s="5"/>
      <c r="N2586" s="5"/>
      <c r="O2586" s="5"/>
    </row>
    <row r="2587">
      <c r="A2587" s="6"/>
      <c r="C2587" s="6"/>
      <c r="L2587" s="7"/>
      <c r="M2587" s="5"/>
      <c r="N2587" s="5"/>
      <c r="O2587" s="5"/>
    </row>
    <row r="2588">
      <c r="A2588" s="6"/>
      <c r="C2588" s="6"/>
      <c r="L2588" s="7"/>
      <c r="M2588" s="5"/>
      <c r="N2588" s="5"/>
      <c r="O2588" s="5"/>
    </row>
    <row r="2589">
      <c r="A2589" s="6"/>
      <c r="C2589" s="6"/>
      <c r="L2589" s="7"/>
      <c r="M2589" s="5"/>
      <c r="N2589" s="5"/>
      <c r="O2589" s="5"/>
    </row>
    <row r="2590">
      <c r="A2590" s="6"/>
      <c r="C2590" s="6"/>
      <c r="L2590" s="7"/>
      <c r="M2590" s="5"/>
      <c r="N2590" s="5"/>
      <c r="O2590" s="5"/>
    </row>
    <row r="2591">
      <c r="A2591" s="6"/>
      <c r="C2591" s="6"/>
      <c r="L2591" s="7"/>
      <c r="M2591" s="5"/>
      <c r="N2591" s="5"/>
      <c r="O2591" s="5"/>
    </row>
    <row r="2592">
      <c r="A2592" s="6"/>
      <c r="C2592" s="6"/>
      <c r="L2592" s="7"/>
      <c r="M2592" s="5"/>
      <c r="N2592" s="5"/>
      <c r="O2592" s="5"/>
    </row>
    <row r="2593">
      <c r="A2593" s="6"/>
      <c r="C2593" s="6"/>
      <c r="L2593" s="7"/>
      <c r="M2593" s="5"/>
      <c r="N2593" s="5"/>
      <c r="O2593" s="5"/>
    </row>
    <row r="2594">
      <c r="A2594" s="6"/>
      <c r="C2594" s="6"/>
      <c r="L2594" s="7"/>
      <c r="M2594" s="5"/>
      <c r="N2594" s="5"/>
      <c r="O2594" s="5"/>
    </row>
    <row r="2595">
      <c r="A2595" s="6"/>
      <c r="C2595" s="6"/>
      <c r="L2595" s="7"/>
      <c r="M2595" s="5"/>
      <c r="N2595" s="5"/>
      <c r="O2595" s="5"/>
    </row>
    <row r="2596">
      <c r="A2596" s="6"/>
      <c r="C2596" s="6"/>
      <c r="L2596" s="7"/>
      <c r="M2596" s="5"/>
      <c r="N2596" s="5"/>
      <c r="O2596" s="5"/>
    </row>
    <row r="2597">
      <c r="A2597" s="6"/>
      <c r="C2597" s="6"/>
      <c r="L2597" s="7"/>
      <c r="M2597" s="5"/>
      <c r="N2597" s="5"/>
      <c r="O2597" s="5"/>
    </row>
    <row r="2598">
      <c r="A2598" s="6"/>
      <c r="C2598" s="6"/>
      <c r="L2598" s="7"/>
      <c r="M2598" s="5"/>
      <c r="N2598" s="5"/>
      <c r="O2598" s="5"/>
    </row>
    <row r="2599">
      <c r="A2599" s="6"/>
      <c r="C2599" s="6"/>
      <c r="L2599" s="7"/>
      <c r="M2599" s="5"/>
      <c r="N2599" s="5"/>
      <c r="O2599" s="5"/>
    </row>
    <row r="2600">
      <c r="A2600" s="6"/>
      <c r="C2600" s="6"/>
      <c r="L2600" s="7"/>
      <c r="M2600" s="5"/>
      <c r="N2600" s="5"/>
      <c r="O2600" s="5"/>
    </row>
    <row r="2601">
      <c r="A2601" s="6"/>
      <c r="C2601" s="6"/>
      <c r="L2601" s="7"/>
      <c r="M2601" s="5"/>
      <c r="N2601" s="5"/>
      <c r="O2601" s="5"/>
    </row>
    <row r="2602">
      <c r="A2602" s="6"/>
      <c r="C2602" s="6"/>
      <c r="L2602" s="7"/>
      <c r="M2602" s="5"/>
      <c r="N2602" s="5"/>
      <c r="O2602" s="5"/>
    </row>
    <row r="2603">
      <c r="A2603" s="6"/>
      <c r="C2603" s="6"/>
      <c r="L2603" s="7"/>
      <c r="M2603" s="5"/>
      <c r="N2603" s="5"/>
      <c r="O2603" s="5"/>
    </row>
    <row r="2604">
      <c r="A2604" s="6"/>
      <c r="C2604" s="6"/>
      <c r="L2604" s="7"/>
      <c r="M2604" s="5"/>
      <c r="N2604" s="5"/>
      <c r="O2604" s="5"/>
    </row>
    <row r="2605">
      <c r="A2605" s="6"/>
      <c r="C2605" s="6"/>
      <c r="L2605" s="7"/>
      <c r="M2605" s="5"/>
      <c r="N2605" s="5"/>
      <c r="O2605" s="5"/>
    </row>
    <row r="2606">
      <c r="A2606" s="6"/>
      <c r="C2606" s="6"/>
      <c r="L2606" s="7"/>
      <c r="M2606" s="5"/>
      <c r="N2606" s="5"/>
      <c r="O2606" s="5"/>
    </row>
    <row r="2607">
      <c r="A2607" s="6"/>
      <c r="C2607" s="6"/>
      <c r="L2607" s="7"/>
      <c r="M2607" s="5"/>
      <c r="N2607" s="5"/>
      <c r="O2607" s="5"/>
    </row>
    <row r="2608">
      <c r="A2608" s="6"/>
      <c r="C2608" s="6"/>
      <c r="L2608" s="7"/>
      <c r="M2608" s="5"/>
      <c r="N2608" s="5"/>
      <c r="O2608" s="5"/>
    </row>
    <row r="2609">
      <c r="A2609" s="6"/>
      <c r="C2609" s="6"/>
      <c r="L2609" s="7"/>
      <c r="M2609" s="5"/>
      <c r="N2609" s="5"/>
      <c r="O2609" s="5"/>
    </row>
    <row r="2610">
      <c r="A2610" s="6"/>
      <c r="C2610" s="6"/>
      <c r="L2610" s="7"/>
      <c r="M2610" s="5"/>
      <c r="N2610" s="5"/>
      <c r="O2610" s="5"/>
    </row>
    <row r="2611">
      <c r="A2611" s="6"/>
      <c r="C2611" s="6"/>
      <c r="L2611" s="7"/>
      <c r="M2611" s="5"/>
      <c r="N2611" s="5"/>
      <c r="O2611" s="5"/>
    </row>
    <row r="2612">
      <c r="A2612" s="6"/>
      <c r="C2612" s="6"/>
      <c r="L2612" s="7"/>
      <c r="M2612" s="5"/>
      <c r="N2612" s="5"/>
      <c r="O2612" s="5"/>
    </row>
    <row r="2613">
      <c r="A2613" s="6"/>
      <c r="C2613" s="6"/>
      <c r="L2613" s="7"/>
      <c r="M2613" s="5"/>
      <c r="N2613" s="5"/>
      <c r="O2613" s="5"/>
    </row>
    <row r="2614">
      <c r="A2614" s="6"/>
      <c r="C2614" s="6"/>
      <c r="L2614" s="7"/>
      <c r="M2614" s="5"/>
      <c r="N2614" s="5"/>
      <c r="O2614" s="5"/>
    </row>
    <row r="2615">
      <c r="A2615" s="6"/>
      <c r="C2615" s="6"/>
      <c r="L2615" s="7"/>
      <c r="M2615" s="5"/>
      <c r="N2615" s="5"/>
      <c r="O2615" s="5"/>
    </row>
    <row r="2616">
      <c r="A2616" s="6"/>
      <c r="C2616" s="6"/>
      <c r="L2616" s="7"/>
      <c r="M2616" s="5"/>
      <c r="N2616" s="5"/>
      <c r="O2616" s="5"/>
    </row>
    <row r="2617">
      <c r="A2617" s="6"/>
      <c r="C2617" s="6"/>
      <c r="L2617" s="7"/>
      <c r="M2617" s="5"/>
      <c r="N2617" s="5"/>
      <c r="O2617" s="5"/>
    </row>
    <row r="2618">
      <c r="A2618" s="6"/>
      <c r="C2618" s="6"/>
      <c r="L2618" s="7"/>
      <c r="M2618" s="5"/>
      <c r="N2618" s="5"/>
      <c r="O2618" s="5"/>
    </row>
    <row r="2619">
      <c r="A2619" s="6"/>
      <c r="C2619" s="6"/>
      <c r="L2619" s="7"/>
      <c r="M2619" s="5"/>
      <c r="N2619" s="5"/>
      <c r="O2619" s="5"/>
    </row>
    <row r="2620">
      <c r="A2620" s="6"/>
      <c r="C2620" s="6"/>
      <c r="L2620" s="7"/>
      <c r="M2620" s="5"/>
      <c r="N2620" s="5"/>
      <c r="O2620" s="5"/>
    </row>
    <row r="2621">
      <c r="A2621" s="6"/>
      <c r="C2621" s="6"/>
      <c r="L2621" s="7"/>
      <c r="M2621" s="5"/>
      <c r="N2621" s="5"/>
      <c r="O2621" s="5"/>
    </row>
    <row r="2622">
      <c r="A2622" s="6"/>
      <c r="C2622" s="6"/>
      <c r="L2622" s="7"/>
      <c r="M2622" s="5"/>
      <c r="N2622" s="5"/>
      <c r="O2622" s="5"/>
    </row>
    <row r="2623">
      <c r="A2623" s="6"/>
      <c r="C2623" s="6"/>
      <c r="L2623" s="7"/>
      <c r="M2623" s="5"/>
      <c r="N2623" s="5"/>
      <c r="O2623" s="5"/>
    </row>
    <row r="2624">
      <c r="A2624" s="6"/>
      <c r="C2624" s="6"/>
      <c r="L2624" s="7"/>
      <c r="M2624" s="5"/>
      <c r="N2624" s="5"/>
      <c r="O2624" s="5"/>
    </row>
    <row r="2625">
      <c r="A2625" s="6"/>
      <c r="C2625" s="6"/>
      <c r="L2625" s="7"/>
      <c r="M2625" s="5"/>
      <c r="N2625" s="5"/>
      <c r="O2625" s="5"/>
    </row>
    <row r="2626">
      <c r="A2626" s="6"/>
      <c r="C2626" s="6"/>
      <c r="L2626" s="7"/>
      <c r="M2626" s="5"/>
      <c r="N2626" s="5"/>
      <c r="O2626" s="5"/>
    </row>
    <row r="2627">
      <c r="A2627" s="6"/>
      <c r="C2627" s="6"/>
      <c r="L2627" s="7"/>
      <c r="M2627" s="5"/>
      <c r="N2627" s="5"/>
      <c r="O2627" s="5"/>
    </row>
    <row r="2628">
      <c r="A2628" s="6"/>
      <c r="C2628" s="6"/>
      <c r="L2628" s="7"/>
      <c r="M2628" s="5"/>
      <c r="N2628" s="5"/>
      <c r="O2628" s="5"/>
    </row>
    <row r="2629">
      <c r="A2629" s="6"/>
      <c r="C2629" s="6"/>
      <c r="L2629" s="7"/>
      <c r="M2629" s="5"/>
      <c r="N2629" s="5"/>
      <c r="O2629" s="5"/>
    </row>
    <row r="2630">
      <c r="A2630" s="6"/>
      <c r="C2630" s="6"/>
      <c r="L2630" s="7"/>
      <c r="M2630" s="5"/>
      <c r="N2630" s="5"/>
      <c r="O2630" s="5"/>
    </row>
    <row r="2631">
      <c r="A2631" s="6"/>
      <c r="C2631" s="6"/>
      <c r="L2631" s="7"/>
      <c r="M2631" s="5"/>
      <c r="N2631" s="5"/>
      <c r="O2631" s="5"/>
    </row>
    <row r="2632">
      <c r="A2632" s="6"/>
      <c r="C2632" s="6"/>
      <c r="L2632" s="7"/>
      <c r="M2632" s="5"/>
      <c r="N2632" s="5"/>
      <c r="O2632" s="5"/>
    </row>
    <row r="2633">
      <c r="A2633" s="6"/>
      <c r="C2633" s="6"/>
      <c r="L2633" s="7"/>
      <c r="M2633" s="5"/>
      <c r="N2633" s="5"/>
      <c r="O2633" s="5"/>
    </row>
    <row r="2634">
      <c r="A2634" s="6"/>
      <c r="C2634" s="6"/>
      <c r="L2634" s="7"/>
      <c r="M2634" s="5"/>
      <c r="N2634" s="5"/>
      <c r="O2634" s="5"/>
    </row>
    <row r="2635">
      <c r="A2635" s="6"/>
      <c r="C2635" s="6"/>
      <c r="L2635" s="7"/>
      <c r="M2635" s="5"/>
      <c r="N2635" s="5"/>
      <c r="O2635" s="5"/>
    </row>
    <row r="2636">
      <c r="A2636" s="6"/>
      <c r="C2636" s="6"/>
      <c r="L2636" s="7"/>
      <c r="M2636" s="5"/>
      <c r="N2636" s="5"/>
      <c r="O2636" s="5"/>
    </row>
    <row r="2637">
      <c r="A2637" s="6"/>
      <c r="C2637" s="6"/>
      <c r="L2637" s="7"/>
      <c r="M2637" s="5"/>
      <c r="N2637" s="5"/>
      <c r="O2637" s="5"/>
    </row>
    <row r="2638">
      <c r="A2638" s="6"/>
      <c r="C2638" s="6"/>
      <c r="L2638" s="7"/>
      <c r="M2638" s="5"/>
      <c r="N2638" s="5"/>
      <c r="O2638" s="5"/>
    </row>
    <row r="2639">
      <c r="A2639" s="6"/>
      <c r="C2639" s="6"/>
      <c r="L2639" s="7"/>
      <c r="M2639" s="5"/>
      <c r="N2639" s="5"/>
      <c r="O2639" s="5"/>
    </row>
    <row r="2640">
      <c r="A2640" s="6"/>
      <c r="C2640" s="6"/>
      <c r="L2640" s="7"/>
      <c r="M2640" s="5"/>
      <c r="N2640" s="5"/>
      <c r="O2640" s="5"/>
    </row>
    <row r="2641">
      <c r="A2641" s="6"/>
      <c r="C2641" s="6"/>
      <c r="L2641" s="7"/>
      <c r="M2641" s="5"/>
      <c r="N2641" s="5"/>
      <c r="O2641" s="5"/>
    </row>
    <row r="2642">
      <c r="A2642" s="6"/>
      <c r="C2642" s="6"/>
      <c r="L2642" s="7"/>
      <c r="M2642" s="5"/>
      <c r="N2642" s="5"/>
      <c r="O2642" s="5"/>
    </row>
    <row r="2643">
      <c r="A2643" s="6"/>
      <c r="C2643" s="6"/>
      <c r="L2643" s="7"/>
      <c r="M2643" s="5"/>
      <c r="N2643" s="5"/>
      <c r="O2643" s="5"/>
    </row>
    <row r="2644">
      <c r="A2644" s="6"/>
      <c r="C2644" s="6"/>
      <c r="L2644" s="7"/>
      <c r="M2644" s="5"/>
      <c r="N2644" s="5"/>
      <c r="O2644" s="5"/>
    </row>
    <row r="2645">
      <c r="A2645" s="6"/>
      <c r="C2645" s="6"/>
      <c r="L2645" s="7"/>
      <c r="M2645" s="5"/>
      <c r="N2645" s="5"/>
      <c r="O2645" s="5"/>
    </row>
    <row r="2646">
      <c r="A2646" s="6"/>
      <c r="C2646" s="6"/>
      <c r="L2646" s="7"/>
      <c r="M2646" s="5"/>
      <c r="N2646" s="5"/>
      <c r="O2646" s="5"/>
    </row>
    <row r="2647">
      <c r="A2647" s="6"/>
      <c r="C2647" s="6"/>
      <c r="L2647" s="7"/>
      <c r="M2647" s="5"/>
      <c r="N2647" s="5"/>
      <c r="O2647" s="5"/>
    </row>
    <row r="2648">
      <c r="A2648" s="6"/>
      <c r="C2648" s="6"/>
      <c r="L2648" s="7"/>
      <c r="M2648" s="5"/>
      <c r="N2648" s="5"/>
      <c r="O2648" s="5"/>
    </row>
    <row r="2649">
      <c r="A2649" s="6"/>
      <c r="C2649" s="6"/>
      <c r="L2649" s="7"/>
      <c r="M2649" s="5"/>
      <c r="N2649" s="5"/>
      <c r="O2649" s="5"/>
    </row>
    <row r="2650">
      <c r="A2650" s="6"/>
      <c r="C2650" s="6"/>
      <c r="L2650" s="7"/>
      <c r="M2650" s="5"/>
      <c r="N2650" s="5"/>
      <c r="O2650" s="5"/>
    </row>
    <row r="2651">
      <c r="A2651" s="6"/>
      <c r="C2651" s="6"/>
      <c r="L2651" s="7"/>
      <c r="M2651" s="5"/>
      <c r="N2651" s="5"/>
      <c r="O2651" s="5"/>
    </row>
    <row r="2652">
      <c r="A2652" s="6"/>
      <c r="C2652" s="6"/>
      <c r="L2652" s="7"/>
      <c r="M2652" s="5"/>
      <c r="N2652" s="5"/>
      <c r="O2652" s="5"/>
    </row>
    <row r="2653">
      <c r="A2653" s="6"/>
      <c r="C2653" s="6"/>
      <c r="L2653" s="7"/>
      <c r="M2653" s="5"/>
      <c r="N2653" s="5"/>
      <c r="O2653" s="5"/>
    </row>
    <row r="2654">
      <c r="A2654" s="6"/>
      <c r="C2654" s="6"/>
      <c r="L2654" s="7"/>
      <c r="M2654" s="5"/>
      <c r="N2654" s="5"/>
      <c r="O2654" s="5"/>
    </row>
    <row r="2655">
      <c r="A2655" s="6"/>
      <c r="C2655" s="6"/>
      <c r="L2655" s="7"/>
      <c r="M2655" s="5"/>
      <c r="N2655" s="5"/>
      <c r="O2655" s="5"/>
    </row>
    <row r="2656">
      <c r="A2656" s="6"/>
      <c r="C2656" s="6"/>
      <c r="L2656" s="7"/>
      <c r="M2656" s="5"/>
      <c r="N2656" s="5"/>
      <c r="O2656" s="5"/>
    </row>
    <row r="2657">
      <c r="A2657" s="6"/>
      <c r="C2657" s="6"/>
      <c r="L2657" s="7"/>
      <c r="M2657" s="5"/>
      <c r="N2657" s="5"/>
      <c r="O2657" s="5"/>
    </row>
    <row r="2658">
      <c r="A2658" s="6"/>
      <c r="C2658" s="6"/>
      <c r="L2658" s="7"/>
      <c r="M2658" s="5"/>
      <c r="N2658" s="5"/>
      <c r="O2658" s="5"/>
    </row>
    <row r="2659">
      <c r="A2659" s="6"/>
      <c r="C2659" s="6"/>
      <c r="L2659" s="7"/>
      <c r="M2659" s="5"/>
      <c r="N2659" s="5"/>
      <c r="O2659" s="5"/>
    </row>
    <row r="2660">
      <c r="A2660" s="6"/>
      <c r="C2660" s="6"/>
      <c r="L2660" s="7"/>
      <c r="M2660" s="5"/>
      <c r="N2660" s="5"/>
      <c r="O2660" s="5"/>
    </row>
    <row r="2661">
      <c r="A2661" s="6"/>
      <c r="C2661" s="6"/>
      <c r="L2661" s="7"/>
      <c r="M2661" s="5"/>
      <c r="N2661" s="5"/>
      <c r="O2661" s="5"/>
    </row>
    <row r="2662">
      <c r="A2662" s="6"/>
      <c r="C2662" s="6"/>
      <c r="L2662" s="7"/>
      <c r="M2662" s="5"/>
      <c r="N2662" s="5"/>
      <c r="O2662" s="5"/>
    </row>
    <row r="2663">
      <c r="A2663" s="6"/>
      <c r="C2663" s="6"/>
      <c r="L2663" s="7"/>
      <c r="M2663" s="5"/>
      <c r="N2663" s="5"/>
      <c r="O2663" s="5"/>
    </row>
    <row r="2664">
      <c r="A2664" s="6"/>
      <c r="C2664" s="6"/>
      <c r="L2664" s="7"/>
      <c r="M2664" s="5"/>
      <c r="N2664" s="5"/>
      <c r="O2664" s="5"/>
    </row>
    <row r="2665">
      <c r="A2665" s="6"/>
      <c r="C2665" s="6"/>
      <c r="L2665" s="7"/>
      <c r="M2665" s="5"/>
      <c r="N2665" s="5"/>
      <c r="O2665" s="5"/>
    </row>
    <row r="2666">
      <c r="A2666" s="6"/>
      <c r="C2666" s="6"/>
      <c r="L2666" s="7"/>
      <c r="M2666" s="5"/>
      <c r="N2666" s="5"/>
      <c r="O2666" s="5"/>
    </row>
    <row r="2667">
      <c r="A2667" s="6"/>
      <c r="C2667" s="6"/>
      <c r="L2667" s="7"/>
      <c r="M2667" s="5"/>
      <c r="N2667" s="5"/>
      <c r="O2667" s="5"/>
    </row>
    <row r="2668">
      <c r="A2668" s="6"/>
      <c r="C2668" s="6"/>
      <c r="L2668" s="7"/>
      <c r="M2668" s="5"/>
      <c r="N2668" s="5"/>
      <c r="O2668" s="5"/>
    </row>
    <row r="2669">
      <c r="A2669" s="6"/>
      <c r="C2669" s="6"/>
      <c r="L2669" s="7"/>
      <c r="M2669" s="5"/>
      <c r="N2669" s="5"/>
      <c r="O2669" s="5"/>
    </row>
    <row r="2670">
      <c r="A2670" s="6"/>
      <c r="C2670" s="6"/>
      <c r="L2670" s="7"/>
      <c r="M2670" s="5"/>
      <c r="N2670" s="5"/>
      <c r="O2670" s="5"/>
    </row>
    <row r="2671">
      <c r="A2671" s="6"/>
      <c r="C2671" s="6"/>
      <c r="L2671" s="7"/>
      <c r="M2671" s="5"/>
      <c r="N2671" s="5"/>
      <c r="O2671" s="5"/>
    </row>
    <row r="2672">
      <c r="A2672" s="6"/>
      <c r="C2672" s="6"/>
      <c r="L2672" s="7"/>
      <c r="M2672" s="5"/>
      <c r="N2672" s="5"/>
      <c r="O2672" s="5"/>
    </row>
    <row r="2673">
      <c r="A2673" s="6"/>
      <c r="C2673" s="6"/>
      <c r="L2673" s="7"/>
      <c r="M2673" s="5"/>
      <c r="N2673" s="5"/>
      <c r="O2673" s="5"/>
    </row>
    <row r="2674">
      <c r="A2674" s="6"/>
      <c r="C2674" s="6"/>
      <c r="L2674" s="7"/>
      <c r="M2674" s="5"/>
      <c r="N2674" s="5"/>
      <c r="O2674" s="5"/>
    </row>
    <row r="2675">
      <c r="A2675" s="6"/>
      <c r="C2675" s="6"/>
      <c r="L2675" s="7"/>
      <c r="M2675" s="5"/>
      <c r="N2675" s="5"/>
      <c r="O2675" s="5"/>
    </row>
    <row r="2676">
      <c r="A2676" s="6"/>
      <c r="C2676" s="6"/>
      <c r="L2676" s="7"/>
      <c r="M2676" s="5"/>
      <c r="N2676" s="5"/>
      <c r="O2676" s="5"/>
    </row>
    <row r="2677">
      <c r="A2677" s="6"/>
      <c r="C2677" s="6"/>
      <c r="L2677" s="7"/>
      <c r="M2677" s="5"/>
      <c r="N2677" s="5"/>
      <c r="O2677" s="5"/>
    </row>
    <row r="2678">
      <c r="A2678" s="6"/>
      <c r="C2678" s="6"/>
      <c r="L2678" s="7"/>
      <c r="M2678" s="5"/>
      <c r="N2678" s="5"/>
      <c r="O2678" s="5"/>
    </row>
    <row r="2679">
      <c r="A2679" s="6"/>
      <c r="C2679" s="6"/>
      <c r="L2679" s="7"/>
      <c r="M2679" s="5"/>
      <c r="N2679" s="5"/>
      <c r="O2679" s="5"/>
    </row>
    <row r="2680">
      <c r="A2680" s="6"/>
      <c r="C2680" s="6"/>
      <c r="L2680" s="7"/>
      <c r="M2680" s="5"/>
      <c r="N2680" s="5"/>
      <c r="O2680" s="5"/>
    </row>
    <row r="2681">
      <c r="A2681" s="6"/>
      <c r="C2681" s="6"/>
      <c r="L2681" s="7"/>
      <c r="M2681" s="5"/>
      <c r="N2681" s="5"/>
      <c r="O2681" s="5"/>
    </row>
    <row r="2682">
      <c r="A2682" s="6"/>
      <c r="C2682" s="6"/>
      <c r="L2682" s="7"/>
      <c r="M2682" s="5"/>
      <c r="N2682" s="5"/>
      <c r="O2682" s="5"/>
    </row>
    <row r="2683">
      <c r="A2683" s="6"/>
      <c r="C2683" s="6"/>
      <c r="L2683" s="7"/>
      <c r="M2683" s="5"/>
      <c r="N2683" s="5"/>
      <c r="O2683" s="5"/>
    </row>
    <row r="2684">
      <c r="A2684" s="6"/>
      <c r="C2684" s="6"/>
      <c r="L2684" s="7"/>
      <c r="M2684" s="5"/>
      <c r="N2684" s="5"/>
      <c r="O2684" s="5"/>
    </row>
    <row r="2685">
      <c r="A2685" s="6"/>
      <c r="C2685" s="6"/>
      <c r="L2685" s="7"/>
      <c r="M2685" s="5"/>
      <c r="N2685" s="5"/>
      <c r="O2685" s="5"/>
    </row>
    <row r="2686">
      <c r="A2686" s="6"/>
      <c r="C2686" s="6"/>
      <c r="L2686" s="7"/>
      <c r="M2686" s="5"/>
      <c r="N2686" s="5"/>
      <c r="O2686" s="5"/>
    </row>
    <row r="2687">
      <c r="A2687" s="6"/>
      <c r="C2687" s="6"/>
      <c r="L2687" s="7"/>
      <c r="M2687" s="5"/>
      <c r="N2687" s="5"/>
      <c r="O2687" s="5"/>
    </row>
    <row r="2688">
      <c r="A2688" s="6"/>
      <c r="C2688" s="6"/>
      <c r="L2688" s="7"/>
      <c r="M2688" s="5"/>
      <c r="N2688" s="5"/>
      <c r="O2688" s="5"/>
    </row>
    <row r="2689">
      <c r="A2689" s="6"/>
      <c r="C2689" s="6"/>
      <c r="L2689" s="7"/>
      <c r="M2689" s="5"/>
      <c r="N2689" s="5"/>
      <c r="O2689" s="5"/>
    </row>
    <row r="2690">
      <c r="A2690" s="6"/>
      <c r="C2690" s="6"/>
      <c r="L2690" s="7"/>
      <c r="M2690" s="5"/>
      <c r="N2690" s="5"/>
      <c r="O2690" s="5"/>
    </row>
    <row r="2691">
      <c r="A2691" s="6"/>
      <c r="C2691" s="6"/>
      <c r="L2691" s="7"/>
      <c r="M2691" s="5"/>
      <c r="N2691" s="5"/>
      <c r="O2691" s="5"/>
    </row>
    <row r="2692">
      <c r="A2692" s="6"/>
      <c r="C2692" s="6"/>
      <c r="L2692" s="7"/>
      <c r="M2692" s="5"/>
      <c r="N2692" s="5"/>
      <c r="O2692" s="5"/>
    </row>
    <row r="2693">
      <c r="A2693" s="6"/>
      <c r="C2693" s="6"/>
      <c r="L2693" s="7"/>
      <c r="M2693" s="5"/>
      <c r="N2693" s="5"/>
      <c r="O2693" s="5"/>
    </row>
    <row r="2694">
      <c r="A2694" s="6"/>
      <c r="C2694" s="6"/>
      <c r="L2694" s="7"/>
      <c r="M2694" s="5"/>
      <c r="N2694" s="5"/>
      <c r="O2694" s="5"/>
    </row>
    <row r="2695">
      <c r="A2695" s="6"/>
      <c r="C2695" s="6"/>
      <c r="L2695" s="7"/>
      <c r="M2695" s="5"/>
      <c r="N2695" s="5"/>
      <c r="O2695" s="5"/>
    </row>
    <row r="2696">
      <c r="A2696" s="6"/>
      <c r="C2696" s="6"/>
      <c r="L2696" s="7"/>
      <c r="M2696" s="5"/>
      <c r="N2696" s="5"/>
      <c r="O2696" s="5"/>
    </row>
    <row r="2697">
      <c r="A2697" s="6"/>
      <c r="C2697" s="6"/>
      <c r="L2697" s="7"/>
      <c r="M2697" s="5"/>
      <c r="N2697" s="5"/>
      <c r="O2697" s="5"/>
    </row>
    <row r="2698">
      <c r="A2698" s="6"/>
      <c r="C2698" s="6"/>
      <c r="L2698" s="7"/>
      <c r="M2698" s="5"/>
      <c r="N2698" s="5"/>
      <c r="O2698" s="5"/>
    </row>
    <row r="2699">
      <c r="A2699" s="6"/>
      <c r="C2699" s="6"/>
      <c r="L2699" s="7"/>
      <c r="M2699" s="5"/>
      <c r="N2699" s="5"/>
      <c r="O2699" s="5"/>
    </row>
    <row r="2700">
      <c r="A2700" s="6"/>
      <c r="C2700" s="6"/>
      <c r="L2700" s="7"/>
      <c r="M2700" s="5"/>
      <c r="N2700" s="5"/>
      <c r="O2700" s="5"/>
    </row>
    <row r="2701">
      <c r="A2701" s="6"/>
      <c r="C2701" s="6"/>
      <c r="L2701" s="7"/>
      <c r="M2701" s="5"/>
      <c r="N2701" s="5"/>
      <c r="O2701" s="5"/>
    </row>
    <row r="2702">
      <c r="A2702" s="6"/>
      <c r="C2702" s="6"/>
      <c r="L2702" s="7"/>
      <c r="M2702" s="5"/>
      <c r="N2702" s="5"/>
      <c r="O2702" s="5"/>
    </row>
    <row r="2703">
      <c r="A2703" s="6"/>
      <c r="C2703" s="6"/>
      <c r="L2703" s="7"/>
      <c r="M2703" s="5"/>
      <c r="N2703" s="5"/>
      <c r="O2703" s="5"/>
    </row>
    <row r="2704">
      <c r="A2704" s="6"/>
      <c r="C2704" s="6"/>
      <c r="L2704" s="7"/>
      <c r="M2704" s="5"/>
      <c r="N2704" s="5"/>
      <c r="O2704" s="5"/>
    </row>
    <row r="2705">
      <c r="A2705" s="6"/>
      <c r="C2705" s="6"/>
      <c r="L2705" s="7"/>
      <c r="M2705" s="5"/>
      <c r="N2705" s="5"/>
      <c r="O2705" s="5"/>
    </row>
    <row r="2706">
      <c r="A2706" s="6"/>
      <c r="C2706" s="6"/>
      <c r="L2706" s="7"/>
      <c r="M2706" s="5"/>
      <c r="N2706" s="5"/>
      <c r="O2706" s="5"/>
    </row>
    <row r="2707">
      <c r="A2707" s="6"/>
      <c r="C2707" s="6"/>
      <c r="L2707" s="7"/>
      <c r="M2707" s="5"/>
      <c r="N2707" s="5"/>
      <c r="O2707" s="5"/>
    </row>
    <row r="2708">
      <c r="A2708" s="6"/>
      <c r="C2708" s="6"/>
      <c r="L2708" s="7"/>
      <c r="M2708" s="5"/>
      <c r="N2708" s="5"/>
      <c r="O2708" s="5"/>
    </row>
    <row r="2709">
      <c r="A2709" s="6"/>
      <c r="C2709" s="6"/>
      <c r="L2709" s="7"/>
      <c r="M2709" s="5"/>
      <c r="N2709" s="5"/>
      <c r="O2709" s="5"/>
    </row>
    <row r="2710">
      <c r="A2710" s="6"/>
      <c r="C2710" s="6"/>
      <c r="L2710" s="7"/>
      <c r="M2710" s="5"/>
      <c r="N2710" s="5"/>
      <c r="O2710" s="5"/>
    </row>
    <row r="2711">
      <c r="A2711" s="6"/>
      <c r="C2711" s="6"/>
      <c r="L2711" s="7"/>
      <c r="M2711" s="5"/>
      <c r="N2711" s="5"/>
      <c r="O2711" s="5"/>
    </row>
    <row r="2712">
      <c r="A2712" s="6"/>
      <c r="C2712" s="6"/>
      <c r="L2712" s="7"/>
      <c r="M2712" s="5"/>
      <c r="N2712" s="5"/>
      <c r="O2712" s="5"/>
    </row>
    <row r="2713">
      <c r="A2713" s="6"/>
      <c r="C2713" s="6"/>
      <c r="L2713" s="7"/>
      <c r="M2713" s="5"/>
      <c r="N2713" s="5"/>
      <c r="O2713" s="5"/>
    </row>
    <row r="2714">
      <c r="A2714" s="6"/>
      <c r="C2714" s="6"/>
      <c r="L2714" s="7"/>
      <c r="M2714" s="5"/>
      <c r="N2714" s="5"/>
      <c r="O2714" s="5"/>
    </row>
    <row r="2715">
      <c r="A2715" s="6"/>
      <c r="C2715" s="6"/>
      <c r="L2715" s="7"/>
      <c r="M2715" s="5"/>
      <c r="N2715" s="5"/>
      <c r="O2715" s="5"/>
    </row>
    <row r="2716">
      <c r="A2716" s="6"/>
      <c r="C2716" s="6"/>
      <c r="L2716" s="7"/>
      <c r="M2716" s="5"/>
      <c r="N2716" s="5"/>
      <c r="O2716" s="5"/>
    </row>
    <row r="2717">
      <c r="A2717" s="6"/>
      <c r="C2717" s="6"/>
      <c r="L2717" s="7"/>
      <c r="M2717" s="5"/>
      <c r="N2717" s="5"/>
      <c r="O2717" s="5"/>
    </row>
    <row r="2718">
      <c r="A2718" s="6"/>
      <c r="C2718" s="6"/>
      <c r="L2718" s="7"/>
      <c r="M2718" s="5"/>
      <c r="N2718" s="5"/>
      <c r="O2718" s="5"/>
    </row>
    <row r="2719">
      <c r="A2719" s="6"/>
      <c r="C2719" s="6"/>
      <c r="L2719" s="7"/>
      <c r="M2719" s="5"/>
      <c r="N2719" s="5"/>
      <c r="O2719" s="5"/>
    </row>
    <row r="2720">
      <c r="A2720" s="6"/>
      <c r="C2720" s="6"/>
      <c r="L2720" s="7"/>
      <c r="M2720" s="5"/>
      <c r="N2720" s="5"/>
      <c r="O2720" s="5"/>
    </row>
    <row r="2721">
      <c r="A2721" s="6"/>
      <c r="C2721" s="6"/>
      <c r="L2721" s="7"/>
      <c r="M2721" s="5"/>
      <c r="N2721" s="5"/>
      <c r="O2721" s="5"/>
    </row>
    <row r="2722">
      <c r="A2722" s="6"/>
      <c r="C2722" s="6"/>
      <c r="L2722" s="7"/>
      <c r="M2722" s="5"/>
      <c r="N2722" s="5"/>
      <c r="O2722" s="5"/>
    </row>
    <row r="2723">
      <c r="A2723" s="6"/>
      <c r="C2723" s="6"/>
      <c r="L2723" s="7"/>
      <c r="M2723" s="5"/>
      <c r="N2723" s="5"/>
      <c r="O2723" s="5"/>
    </row>
    <row r="2724">
      <c r="A2724" s="6"/>
      <c r="C2724" s="6"/>
      <c r="L2724" s="7"/>
      <c r="M2724" s="5"/>
      <c r="N2724" s="5"/>
      <c r="O2724" s="5"/>
    </row>
    <row r="2725">
      <c r="A2725" s="6"/>
      <c r="C2725" s="6"/>
      <c r="L2725" s="7"/>
      <c r="M2725" s="5"/>
      <c r="N2725" s="5"/>
      <c r="O2725" s="5"/>
    </row>
    <row r="2726">
      <c r="A2726" s="6"/>
      <c r="C2726" s="6"/>
      <c r="L2726" s="7"/>
      <c r="M2726" s="5"/>
      <c r="N2726" s="5"/>
      <c r="O2726" s="5"/>
    </row>
    <row r="2727">
      <c r="A2727" s="6"/>
      <c r="C2727" s="6"/>
      <c r="L2727" s="7"/>
      <c r="M2727" s="5"/>
      <c r="N2727" s="5"/>
      <c r="O2727" s="5"/>
    </row>
    <row r="2728">
      <c r="A2728" s="6"/>
      <c r="C2728" s="6"/>
      <c r="L2728" s="7"/>
      <c r="M2728" s="5"/>
      <c r="N2728" s="5"/>
      <c r="O2728" s="5"/>
    </row>
    <row r="2729">
      <c r="A2729" s="6"/>
      <c r="C2729" s="6"/>
      <c r="L2729" s="7"/>
      <c r="M2729" s="5"/>
      <c r="N2729" s="5"/>
      <c r="O2729" s="5"/>
    </row>
    <row r="2730">
      <c r="A2730" s="6"/>
      <c r="C2730" s="6"/>
      <c r="L2730" s="7"/>
      <c r="M2730" s="5"/>
      <c r="N2730" s="5"/>
      <c r="O2730" s="5"/>
    </row>
    <row r="2731">
      <c r="A2731" s="6"/>
      <c r="C2731" s="6"/>
      <c r="L2731" s="7"/>
      <c r="M2731" s="5"/>
      <c r="N2731" s="5"/>
      <c r="O2731" s="5"/>
    </row>
    <row r="2732">
      <c r="A2732" s="6"/>
      <c r="C2732" s="6"/>
      <c r="L2732" s="7"/>
      <c r="M2732" s="5"/>
      <c r="N2732" s="5"/>
      <c r="O2732" s="5"/>
    </row>
    <row r="2733">
      <c r="A2733" s="6"/>
      <c r="C2733" s="6"/>
      <c r="L2733" s="7"/>
      <c r="M2733" s="5"/>
      <c r="N2733" s="5"/>
      <c r="O2733" s="5"/>
    </row>
    <row r="2734">
      <c r="A2734" s="6"/>
      <c r="C2734" s="6"/>
      <c r="L2734" s="7"/>
      <c r="M2734" s="5"/>
      <c r="N2734" s="5"/>
      <c r="O2734" s="5"/>
    </row>
    <row r="2735">
      <c r="A2735" s="6"/>
      <c r="C2735" s="6"/>
      <c r="L2735" s="7"/>
      <c r="M2735" s="5"/>
      <c r="N2735" s="5"/>
      <c r="O2735" s="5"/>
    </row>
    <row r="2736">
      <c r="A2736" s="6"/>
      <c r="C2736" s="6"/>
      <c r="L2736" s="7"/>
      <c r="M2736" s="5"/>
      <c r="N2736" s="5"/>
      <c r="O2736" s="5"/>
    </row>
    <row r="2737">
      <c r="A2737" s="6"/>
      <c r="C2737" s="6"/>
      <c r="L2737" s="7"/>
      <c r="M2737" s="5"/>
      <c r="N2737" s="5"/>
      <c r="O2737" s="5"/>
    </row>
    <row r="2738">
      <c r="A2738" s="6"/>
      <c r="C2738" s="6"/>
      <c r="L2738" s="7"/>
      <c r="M2738" s="5"/>
      <c r="N2738" s="5"/>
      <c r="O2738" s="5"/>
    </row>
    <row r="2739">
      <c r="A2739" s="6"/>
      <c r="C2739" s="6"/>
      <c r="L2739" s="7"/>
      <c r="M2739" s="5"/>
      <c r="N2739" s="5"/>
      <c r="O2739" s="5"/>
    </row>
    <row r="2740">
      <c r="A2740" s="6"/>
      <c r="C2740" s="6"/>
      <c r="L2740" s="7"/>
      <c r="M2740" s="5"/>
      <c r="N2740" s="5"/>
      <c r="O2740" s="5"/>
    </row>
    <row r="2741">
      <c r="A2741" s="6"/>
      <c r="C2741" s="6"/>
      <c r="L2741" s="7"/>
      <c r="M2741" s="5"/>
      <c r="N2741" s="5"/>
      <c r="O2741" s="5"/>
    </row>
    <row r="2742">
      <c r="A2742" s="6"/>
      <c r="C2742" s="6"/>
      <c r="L2742" s="7"/>
      <c r="M2742" s="5"/>
      <c r="N2742" s="5"/>
      <c r="O2742" s="5"/>
    </row>
    <row r="2743">
      <c r="A2743" s="6"/>
      <c r="C2743" s="6"/>
      <c r="L2743" s="7"/>
      <c r="M2743" s="5"/>
      <c r="N2743" s="5"/>
      <c r="O2743" s="5"/>
    </row>
    <row r="2744">
      <c r="A2744" s="6"/>
      <c r="C2744" s="6"/>
      <c r="L2744" s="7"/>
      <c r="M2744" s="5"/>
      <c r="N2744" s="5"/>
      <c r="O2744" s="5"/>
    </row>
    <row r="2745">
      <c r="A2745" s="6"/>
      <c r="C2745" s="6"/>
      <c r="L2745" s="7"/>
      <c r="M2745" s="5"/>
      <c r="N2745" s="5"/>
      <c r="O2745" s="5"/>
    </row>
    <row r="2746">
      <c r="A2746" s="6"/>
      <c r="C2746" s="6"/>
      <c r="L2746" s="7"/>
      <c r="M2746" s="5"/>
      <c r="N2746" s="5"/>
      <c r="O2746" s="5"/>
    </row>
    <row r="2747">
      <c r="A2747" s="6"/>
      <c r="C2747" s="6"/>
      <c r="L2747" s="7"/>
      <c r="M2747" s="5"/>
      <c r="N2747" s="5"/>
      <c r="O2747" s="5"/>
    </row>
    <row r="2748">
      <c r="A2748" s="6"/>
      <c r="C2748" s="6"/>
      <c r="L2748" s="7"/>
      <c r="M2748" s="5"/>
      <c r="N2748" s="5"/>
      <c r="O2748" s="5"/>
    </row>
    <row r="2749">
      <c r="A2749" s="6"/>
      <c r="C2749" s="6"/>
      <c r="L2749" s="7"/>
      <c r="M2749" s="5"/>
      <c r="N2749" s="5"/>
      <c r="O2749" s="5"/>
    </row>
    <row r="2750">
      <c r="A2750" s="6"/>
      <c r="C2750" s="6"/>
      <c r="L2750" s="7"/>
      <c r="M2750" s="5"/>
      <c r="N2750" s="5"/>
      <c r="O2750" s="5"/>
    </row>
    <row r="2751">
      <c r="A2751" s="6"/>
      <c r="C2751" s="6"/>
      <c r="L2751" s="7"/>
      <c r="M2751" s="5"/>
      <c r="N2751" s="5"/>
      <c r="O2751" s="5"/>
    </row>
    <row r="2752">
      <c r="A2752" s="6"/>
      <c r="C2752" s="6"/>
      <c r="L2752" s="7"/>
      <c r="M2752" s="5"/>
      <c r="N2752" s="5"/>
      <c r="O2752" s="5"/>
    </row>
    <row r="2753">
      <c r="A2753" s="6"/>
      <c r="C2753" s="6"/>
      <c r="L2753" s="7"/>
      <c r="M2753" s="5"/>
      <c r="N2753" s="5"/>
      <c r="O2753" s="5"/>
    </row>
    <row r="2754">
      <c r="A2754" s="6"/>
      <c r="C2754" s="6"/>
      <c r="L2754" s="7"/>
      <c r="M2754" s="5"/>
      <c r="N2754" s="5"/>
      <c r="O2754" s="5"/>
    </row>
    <row r="2755">
      <c r="A2755" s="6"/>
      <c r="C2755" s="6"/>
      <c r="L2755" s="7"/>
      <c r="M2755" s="5"/>
      <c r="N2755" s="5"/>
      <c r="O2755" s="5"/>
    </row>
    <row r="2756">
      <c r="A2756" s="6"/>
      <c r="C2756" s="6"/>
      <c r="L2756" s="7"/>
      <c r="M2756" s="5"/>
      <c r="N2756" s="5"/>
      <c r="O2756" s="5"/>
    </row>
    <row r="2757">
      <c r="A2757" s="6"/>
      <c r="C2757" s="6"/>
      <c r="L2757" s="7"/>
      <c r="M2757" s="5"/>
      <c r="N2757" s="5"/>
      <c r="O2757" s="5"/>
    </row>
    <row r="2758">
      <c r="A2758" s="6"/>
      <c r="C2758" s="6"/>
      <c r="L2758" s="7"/>
      <c r="M2758" s="5"/>
      <c r="N2758" s="5"/>
      <c r="O2758" s="5"/>
    </row>
    <row r="2759">
      <c r="A2759" s="6"/>
      <c r="C2759" s="6"/>
      <c r="L2759" s="7"/>
      <c r="M2759" s="5"/>
      <c r="N2759" s="5"/>
      <c r="O2759" s="5"/>
    </row>
    <row r="2760">
      <c r="A2760" s="6"/>
      <c r="C2760" s="6"/>
      <c r="L2760" s="7"/>
      <c r="M2760" s="5"/>
      <c r="N2760" s="5"/>
      <c r="O2760" s="5"/>
    </row>
    <row r="2761">
      <c r="A2761" s="6"/>
      <c r="C2761" s="6"/>
      <c r="L2761" s="7"/>
      <c r="M2761" s="5"/>
      <c r="N2761" s="5"/>
      <c r="O2761" s="5"/>
    </row>
    <row r="2762">
      <c r="A2762" s="6"/>
      <c r="C2762" s="6"/>
      <c r="L2762" s="7"/>
      <c r="M2762" s="5"/>
      <c r="N2762" s="5"/>
      <c r="O2762" s="5"/>
    </row>
    <row r="2763">
      <c r="A2763" s="6"/>
      <c r="C2763" s="6"/>
      <c r="L2763" s="7"/>
      <c r="M2763" s="5"/>
      <c r="N2763" s="5"/>
      <c r="O2763" s="5"/>
    </row>
    <row r="2764">
      <c r="A2764" s="6"/>
      <c r="C2764" s="6"/>
      <c r="L2764" s="7"/>
      <c r="M2764" s="5"/>
      <c r="N2764" s="5"/>
      <c r="O2764" s="5"/>
    </row>
    <row r="2765">
      <c r="A2765" s="6"/>
      <c r="C2765" s="6"/>
      <c r="L2765" s="7"/>
      <c r="M2765" s="5"/>
      <c r="N2765" s="5"/>
      <c r="O2765" s="5"/>
    </row>
    <row r="2766">
      <c r="A2766" s="6"/>
      <c r="C2766" s="6"/>
      <c r="L2766" s="7"/>
      <c r="M2766" s="5"/>
      <c r="N2766" s="5"/>
      <c r="O2766" s="5"/>
    </row>
    <row r="2767">
      <c r="A2767" s="6"/>
      <c r="C2767" s="6"/>
      <c r="L2767" s="7"/>
      <c r="M2767" s="5"/>
      <c r="N2767" s="5"/>
      <c r="O2767" s="5"/>
    </row>
    <row r="2768">
      <c r="A2768" s="6"/>
      <c r="C2768" s="6"/>
      <c r="L2768" s="7"/>
      <c r="M2768" s="5"/>
      <c r="N2768" s="5"/>
      <c r="O2768" s="5"/>
    </row>
    <row r="2769">
      <c r="A2769" s="6"/>
      <c r="C2769" s="6"/>
      <c r="L2769" s="7"/>
      <c r="M2769" s="5"/>
      <c r="N2769" s="5"/>
      <c r="O2769" s="5"/>
    </row>
    <row r="2770">
      <c r="A2770" s="6"/>
      <c r="C2770" s="6"/>
      <c r="L2770" s="7"/>
      <c r="M2770" s="5"/>
      <c r="N2770" s="5"/>
      <c r="O2770" s="5"/>
    </row>
    <row r="2771">
      <c r="A2771" s="6"/>
      <c r="C2771" s="6"/>
      <c r="L2771" s="7"/>
      <c r="M2771" s="5"/>
      <c r="N2771" s="5"/>
      <c r="O2771" s="5"/>
    </row>
    <row r="2772">
      <c r="A2772" s="6"/>
      <c r="C2772" s="6"/>
      <c r="L2772" s="7"/>
      <c r="M2772" s="5"/>
      <c r="N2772" s="5"/>
      <c r="O2772" s="5"/>
    </row>
    <row r="2773">
      <c r="A2773" s="6"/>
      <c r="C2773" s="6"/>
      <c r="L2773" s="7"/>
      <c r="M2773" s="5"/>
      <c r="N2773" s="5"/>
      <c r="O2773" s="5"/>
    </row>
    <row r="2774">
      <c r="A2774" s="6"/>
      <c r="C2774" s="6"/>
      <c r="L2774" s="7"/>
      <c r="M2774" s="5"/>
      <c r="N2774" s="5"/>
      <c r="O2774" s="5"/>
    </row>
    <row r="2775">
      <c r="A2775" s="6"/>
      <c r="C2775" s="6"/>
      <c r="L2775" s="7"/>
      <c r="M2775" s="5"/>
      <c r="N2775" s="5"/>
      <c r="O2775" s="5"/>
    </row>
    <row r="2776">
      <c r="A2776" s="6"/>
      <c r="C2776" s="6"/>
      <c r="L2776" s="7"/>
      <c r="M2776" s="5"/>
      <c r="N2776" s="5"/>
      <c r="O2776" s="5"/>
    </row>
    <row r="2777">
      <c r="A2777" s="6"/>
      <c r="C2777" s="6"/>
      <c r="L2777" s="7"/>
      <c r="M2777" s="5"/>
      <c r="N2777" s="5"/>
      <c r="O2777" s="5"/>
    </row>
    <row r="2778">
      <c r="A2778" s="6"/>
      <c r="C2778" s="6"/>
      <c r="L2778" s="7"/>
      <c r="M2778" s="5"/>
      <c r="N2778" s="5"/>
      <c r="O2778" s="5"/>
    </row>
    <row r="2779">
      <c r="A2779" s="6"/>
      <c r="C2779" s="6"/>
      <c r="L2779" s="7"/>
      <c r="M2779" s="5"/>
      <c r="N2779" s="5"/>
      <c r="O2779" s="5"/>
    </row>
    <row r="2780">
      <c r="A2780" s="6"/>
      <c r="C2780" s="6"/>
      <c r="L2780" s="7"/>
      <c r="M2780" s="5"/>
      <c r="N2780" s="5"/>
      <c r="O2780" s="5"/>
    </row>
    <row r="2781">
      <c r="A2781" s="6"/>
      <c r="C2781" s="6"/>
      <c r="L2781" s="7"/>
      <c r="M2781" s="5"/>
      <c r="N2781" s="5"/>
      <c r="O2781" s="5"/>
    </row>
    <row r="2782">
      <c r="A2782" s="6"/>
      <c r="C2782" s="6"/>
      <c r="L2782" s="7"/>
      <c r="M2782" s="5"/>
      <c r="N2782" s="5"/>
      <c r="O2782" s="5"/>
    </row>
    <row r="2783">
      <c r="A2783" s="6"/>
      <c r="C2783" s="6"/>
      <c r="L2783" s="7"/>
      <c r="M2783" s="5"/>
      <c r="N2783" s="5"/>
      <c r="O2783" s="5"/>
    </row>
    <row r="2784">
      <c r="A2784" s="6"/>
      <c r="C2784" s="6"/>
      <c r="L2784" s="7"/>
      <c r="M2784" s="5"/>
      <c r="N2784" s="5"/>
      <c r="O2784" s="5"/>
    </row>
    <row r="2785">
      <c r="A2785" s="6"/>
      <c r="C2785" s="6"/>
      <c r="L2785" s="7"/>
      <c r="M2785" s="5"/>
      <c r="N2785" s="5"/>
      <c r="O2785" s="5"/>
    </row>
    <row r="2786">
      <c r="A2786" s="6"/>
      <c r="C2786" s="6"/>
      <c r="L2786" s="7"/>
      <c r="M2786" s="5"/>
      <c r="N2786" s="5"/>
      <c r="O2786" s="5"/>
    </row>
    <row r="2787">
      <c r="A2787" s="6"/>
      <c r="C2787" s="6"/>
      <c r="L2787" s="7"/>
      <c r="M2787" s="5"/>
      <c r="N2787" s="5"/>
      <c r="O2787" s="5"/>
    </row>
    <row r="2788">
      <c r="A2788" s="6"/>
      <c r="C2788" s="6"/>
      <c r="L2788" s="7"/>
      <c r="M2788" s="5"/>
      <c r="N2788" s="5"/>
      <c r="O2788" s="5"/>
    </row>
    <row r="2789">
      <c r="A2789" s="6"/>
      <c r="C2789" s="6"/>
      <c r="L2789" s="7"/>
      <c r="M2789" s="5"/>
      <c r="N2789" s="5"/>
      <c r="O2789" s="5"/>
    </row>
    <row r="2790">
      <c r="A2790" s="6"/>
      <c r="C2790" s="6"/>
      <c r="L2790" s="7"/>
      <c r="M2790" s="5"/>
      <c r="N2790" s="5"/>
      <c r="O2790" s="5"/>
    </row>
    <row r="2791">
      <c r="A2791" s="6"/>
      <c r="C2791" s="6"/>
      <c r="L2791" s="7"/>
      <c r="M2791" s="5"/>
      <c r="N2791" s="5"/>
      <c r="O2791" s="5"/>
    </row>
    <row r="2792">
      <c r="A2792" s="6"/>
      <c r="C2792" s="6"/>
      <c r="L2792" s="7"/>
      <c r="M2792" s="5"/>
      <c r="N2792" s="5"/>
      <c r="O2792" s="5"/>
    </row>
    <row r="2793">
      <c r="A2793" s="6"/>
      <c r="C2793" s="6"/>
      <c r="L2793" s="7"/>
      <c r="M2793" s="5"/>
      <c r="N2793" s="5"/>
      <c r="O2793" s="5"/>
    </row>
    <row r="2794">
      <c r="A2794" s="6"/>
      <c r="C2794" s="6"/>
      <c r="L2794" s="7"/>
      <c r="M2794" s="5"/>
      <c r="N2794" s="5"/>
      <c r="O2794" s="5"/>
    </row>
    <row r="2795">
      <c r="A2795" s="6"/>
      <c r="C2795" s="6"/>
      <c r="L2795" s="7"/>
      <c r="M2795" s="5"/>
      <c r="N2795" s="5"/>
      <c r="O2795" s="5"/>
    </row>
    <row r="2796">
      <c r="A2796" s="6"/>
      <c r="C2796" s="6"/>
      <c r="L2796" s="7"/>
      <c r="M2796" s="5"/>
      <c r="N2796" s="5"/>
      <c r="O2796" s="5"/>
    </row>
    <row r="2797">
      <c r="A2797" s="6"/>
      <c r="C2797" s="6"/>
      <c r="L2797" s="7"/>
      <c r="M2797" s="5"/>
      <c r="N2797" s="5"/>
      <c r="O2797" s="5"/>
    </row>
    <row r="2798">
      <c r="A2798" s="6"/>
      <c r="C2798" s="6"/>
      <c r="L2798" s="7"/>
      <c r="M2798" s="5"/>
      <c r="N2798" s="5"/>
      <c r="O2798" s="5"/>
    </row>
    <row r="2799">
      <c r="A2799" s="6"/>
      <c r="C2799" s="6"/>
      <c r="L2799" s="7"/>
      <c r="M2799" s="5"/>
      <c r="N2799" s="5"/>
      <c r="O2799" s="5"/>
    </row>
    <row r="2800">
      <c r="A2800" s="6"/>
      <c r="C2800" s="6"/>
      <c r="L2800" s="7"/>
      <c r="M2800" s="5"/>
      <c r="N2800" s="5"/>
      <c r="O2800" s="5"/>
    </row>
    <row r="2801">
      <c r="A2801" s="6"/>
      <c r="C2801" s="6"/>
      <c r="L2801" s="7"/>
      <c r="M2801" s="5"/>
      <c r="N2801" s="5"/>
      <c r="O2801" s="5"/>
    </row>
    <row r="2802">
      <c r="A2802" s="6"/>
      <c r="C2802" s="6"/>
      <c r="L2802" s="7"/>
      <c r="M2802" s="5"/>
      <c r="N2802" s="5"/>
      <c r="O2802" s="5"/>
    </row>
    <row r="2803">
      <c r="A2803" s="6"/>
      <c r="C2803" s="6"/>
      <c r="L2803" s="7"/>
      <c r="M2803" s="5"/>
      <c r="N2803" s="5"/>
      <c r="O2803" s="5"/>
    </row>
    <row r="2804">
      <c r="A2804" s="6"/>
      <c r="C2804" s="6"/>
      <c r="L2804" s="7"/>
      <c r="M2804" s="5"/>
      <c r="N2804" s="5"/>
      <c r="O2804" s="5"/>
    </row>
    <row r="2805">
      <c r="A2805" s="6"/>
      <c r="C2805" s="6"/>
      <c r="L2805" s="7"/>
      <c r="M2805" s="5"/>
      <c r="N2805" s="5"/>
      <c r="O2805" s="5"/>
    </row>
    <row r="2806">
      <c r="A2806" s="6"/>
      <c r="C2806" s="6"/>
      <c r="L2806" s="7"/>
      <c r="M2806" s="5"/>
      <c r="N2806" s="5"/>
      <c r="O2806" s="5"/>
    </row>
    <row r="2807">
      <c r="A2807" s="6"/>
      <c r="C2807" s="6"/>
      <c r="L2807" s="7"/>
      <c r="M2807" s="5"/>
      <c r="N2807" s="5"/>
      <c r="O2807" s="5"/>
    </row>
    <row r="2808">
      <c r="A2808" s="6"/>
      <c r="C2808" s="6"/>
      <c r="L2808" s="7"/>
      <c r="M2808" s="5"/>
      <c r="N2808" s="5"/>
      <c r="O2808" s="5"/>
    </row>
    <row r="2809">
      <c r="A2809" s="6"/>
      <c r="C2809" s="6"/>
      <c r="L2809" s="7"/>
      <c r="M2809" s="5"/>
      <c r="N2809" s="5"/>
      <c r="O2809" s="5"/>
    </row>
    <row r="2810">
      <c r="A2810" s="6"/>
      <c r="C2810" s="6"/>
      <c r="L2810" s="7"/>
      <c r="M2810" s="5"/>
      <c r="N2810" s="5"/>
      <c r="O2810" s="5"/>
    </row>
    <row r="2811">
      <c r="A2811" s="6"/>
      <c r="C2811" s="6"/>
      <c r="L2811" s="7"/>
      <c r="M2811" s="5"/>
      <c r="N2811" s="5"/>
      <c r="O2811" s="5"/>
    </row>
    <row r="2812">
      <c r="A2812" s="6"/>
      <c r="C2812" s="6"/>
      <c r="L2812" s="7"/>
      <c r="M2812" s="5"/>
      <c r="N2812" s="5"/>
      <c r="O2812" s="5"/>
    </row>
    <row r="2813">
      <c r="A2813" s="6"/>
      <c r="C2813" s="6"/>
      <c r="L2813" s="7"/>
      <c r="M2813" s="5"/>
      <c r="N2813" s="5"/>
      <c r="O2813" s="5"/>
    </row>
    <row r="2814">
      <c r="A2814" s="6"/>
      <c r="C2814" s="6"/>
      <c r="L2814" s="7"/>
      <c r="M2814" s="5"/>
      <c r="N2814" s="5"/>
      <c r="O2814" s="5"/>
    </row>
    <row r="2815">
      <c r="A2815" s="6"/>
      <c r="C2815" s="6"/>
      <c r="L2815" s="7"/>
      <c r="M2815" s="5"/>
      <c r="N2815" s="5"/>
      <c r="O2815" s="5"/>
    </row>
    <row r="2816">
      <c r="A2816" s="6"/>
      <c r="C2816" s="6"/>
      <c r="L2816" s="7"/>
      <c r="M2816" s="5"/>
      <c r="N2816" s="5"/>
      <c r="O2816" s="5"/>
    </row>
    <row r="2817">
      <c r="A2817" s="6"/>
      <c r="C2817" s="6"/>
      <c r="L2817" s="7"/>
      <c r="M2817" s="5"/>
      <c r="N2817" s="5"/>
      <c r="O2817" s="5"/>
    </row>
    <row r="2818">
      <c r="A2818" s="6"/>
      <c r="C2818" s="6"/>
      <c r="L2818" s="7"/>
      <c r="M2818" s="5"/>
      <c r="N2818" s="5"/>
      <c r="O2818" s="5"/>
    </row>
    <row r="2819">
      <c r="A2819" s="6"/>
      <c r="C2819" s="6"/>
      <c r="L2819" s="7"/>
      <c r="M2819" s="5"/>
      <c r="N2819" s="5"/>
      <c r="O2819" s="5"/>
    </row>
    <row r="2820">
      <c r="A2820" s="6"/>
      <c r="C2820" s="6"/>
      <c r="L2820" s="7"/>
      <c r="M2820" s="5"/>
      <c r="N2820" s="5"/>
      <c r="O2820" s="5"/>
    </row>
    <row r="2821">
      <c r="A2821" s="6"/>
      <c r="C2821" s="6"/>
      <c r="L2821" s="7"/>
      <c r="M2821" s="5"/>
      <c r="N2821" s="5"/>
      <c r="O2821" s="5"/>
    </row>
    <row r="2822">
      <c r="A2822" s="6"/>
      <c r="C2822" s="6"/>
      <c r="L2822" s="7"/>
      <c r="M2822" s="5"/>
      <c r="N2822" s="5"/>
      <c r="O2822" s="5"/>
    </row>
    <row r="2823">
      <c r="A2823" s="6"/>
      <c r="C2823" s="6"/>
      <c r="L2823" s="7"/>
      <c r="M2823" s="5"/>
      <c r="N2823" s="5"/>
      <c r="O2823" s="5"/>
    </row>
    <row r="2824">
      <c r="A2824" s="6"/>
      <c r="C2824" s="6"/>
      <c r="L2824" s="7"/>
      <c r="M2824" s="5"/>
      <c r="N2824" s="5"/>
      <c r="O2824" s="5"/>
    </row>
    <row r="2825">
      <c r="A2825" s="6"/>
      <c r="C2825" s="6"/>
      <c r="L2825" s="7"/>
      <c r="M2825" s="5"/>
      <c r="N2825" s="5"/>
      <c r="O2825" s="5"/>
    </row>
    <row r="2826">
      <c r="A2826" s="6"/>
      <c r="C2826" s="6"/>
      <c r="L2826" s="7"/>
      <c r="M2826" s="5"/>
      <c r="N2826" s="5"/>
      <c r="O2826" s="5"/>
    </row>
    <row r="2827">
      <c r="A2827" s="6"/>
      <c r="C2827" s="6"/>
      <c r="L2827" s="7"/>
      <c r="M2827" s="5"/>
      <c r="N2827" s="5"/>
      <c r="O2827" s="5"/>
    </row>
    <row r="2828">
      <c r="A2828" s="6"/>
      <c r="C2828" s="6"/>
      <c r="L2828" s="7"/>
      <c r="M2828" s="5"/>
      <c r="N2828" s="5"/>
      <c r="O2828" s="5"/>
    </row>
    <row r="2829">
      <c r="A2829" s="6"/>
      <c r="C2829" s="6"/>
      <c r="L2829" s="7"/>
      <c r="M2829" s="5"/>
      <c r="N2829" s="5"/>
      <c r="O2829" s="5"/>
    </row>
    <row r="2830">
      <c r="A2830" s="6"/>
      <c r="C2830" s="6"/>
      <c r="L2830" s="7"/>
      <c r="M2830" s="5"/>
      <c r="N2830" s="5"/>
      <c r="O2830" s="5"/>
    </row>
    <row r="2831">
      <c r="A2831" s="6"/>
      <c r="C2831" s="6"/>
      <c r="L2831" s="7"/>
      <c r="M2831" s="5"/>
      <c r="N2831" s="5"/>
      <c r="O2831" s="5"/>
    </row>
    <row r="2832">
      <c r="A2832" s="6"/>
      <c r="C2832" s="6"/>
      <c r="L2832" s="7"/>
      <c r="M2832" s="5"/>
      <c r="N2832" s="5"/>
      <c r="O2832" s="5"/>
    </row>
    <row r="2833">
      <c r="A2833" s="6"/>
      <c r="C2833" s="6"/>
      <c r="L2833" s="7"/>
      <c r="M2833" s="5"/>
      <c r="N2833" s="5"/>
      <c r="O2833" s="5"/>
    </row>
    <row r="2834">
      <c r="A2834" s="6"/>
      <c r="C2834" s="6"/>
      <c r="L2834" s="7"/>
      <c r="M2834" s="5"/>
      <c r="N2834" s="5"/>
      <c r="O2834" s="5"/>
    </row>
    <row r="2835">
      <c r="A2835" s="6"/>
      <c r="C2835" s="6"/>
      <c r="L2835" s="7"/>
      <c r="M2835" s="5"/>
      <c r="N2835" s="5"/>
      <c r="O2835" s="5"/>
    </row>
    <row r="2836">
      <c r="A2836" s="6"/>
      <c r="C2836" s="6"/>
      <c r="L2836" s="7"/>
      <c r="M2836" s="5"/>
      <c r="N2836" s="5"/>
      <c r="O2836" s="5"/>
    </row>
    <row r="2837">
      <c r="A2837" s="6"/>
      <c r="C2837" s="6"/>
      <c r="L2837" s="7"/>
      <c r="M2837" s="5"/>
      <c r="N2837" s="5"/>
      <c r="O2837" s="5"/>
    </row>
    <row r="2838">
      <c r="A2838" s="6"/>
      <c r="C2838" s="6"/>
      <c r="L2838" s="7"/>
      <c r="M2838" s="5"/>
      <c r="N2838" s="5"/>
      <c r="O2838" s="5"/>
    </row>
    <row r="2839">
      <c r="A2839" s="6"/>
      <c r="C2839" s="6"/>
      <c r="L2839" s="7"/>
      <c r="M2839" s="5"/>
      <c r="N2839" s="5"/>
      <c r="O2839" s="5"/>
    </row>
    <row r="2840">
      <c r="A2840" s="6"/>
      <c r="C2840" s="6"/>
      <c r="L2840" s="7"/>
      <c r="M2840" s="5"/>
      <c r="N2840" s="5"/>
      <c r="O2840" s="5"/>
    </row>
    <row r="2841">
      <c r="A2841" s="6"/>
      <c r="C2841" s="6"/>
      <c r="L2841" s="7"/>
      <c r="M2841" s="5"/>
      <c r="N2841" s="5"/>
      <c r="O2841" s="5"/>
    </row>
    <row r="2842">
      <c r="A2842" s="6"/>
      <c r="C2842" s="6"/>
      <c r="L2842" s="7"/>
      <c r="M2842" s="5"/>
      <c r="N2842" s="5"/>
      <c r="O2842" s="5"/>
    </row>
    <row r="2843">
      <c r="A2843" s="6"/>
      <c r="C2843" s="6"/>
      <c r="L2843" s="7"/>
      <c r="M2843" s="5"/>
      <c r="N2843" s="5"/>
      <c r="O2843" s="5"/>
    </row>
    <row r="2844">
      <c r="A2844" s="6"/>
      <c r="C2844" s="6"/>
      <c r="L2844" s="7"/>
      <c r="M2844" s="5"/>
      <c r="N2844" s="5"/>
      <c r="O2844" s="5"/>
    </row>
    <row r="2845">
      <c r="A2845" s="6"/>
      <c r="C2845" s="6"/>
      <c r="L2845" s="7"/>
      <c r="M2845" s="5"/>
      <c r="N2845" s="5"/>
      <c r="O2845" s="5"/>
    </row>
    <row r="2846">
      <c r="A2846" s="6"/>
      <c r="C2846" s="6"/>
      <c r="L2846" s="7"/>
      <c r="M2846" s="5"/>
      <c r="N2846" s="5"/>
      <c r="O2846" s="5"/>
    </row>
    <row r="2847">
      <c r="A2847" s="6"/>
      <c r="C2847" s="6"/>
      <c r="L2847" s="7"/>
      <c r="M2847" s="5"/>
      <c r="N2847" s="5"/>
      <c r="O2847" s="5"/>
    </row>
    <row r="2848">
      <c r="A2848" s="6"/>
      <c r="C2848" s="6"/>
      <c r="L2848" s="7"/>
      <c r="M2848" s="5"/>
      <c r="N2848" s="5"/>
      <c r="O2848" s="5"/>
    </row>
    <row r="2849">
      <c r="A2849" s="6"/>
      <c r="C2849" s="6"/>
      <c r="L2849" s="7"/>
      <c r="M2849" s="5"/>
      <c r="N2849" s="5"/>
      <c r="O2849" s="5"/>
    </row>
    <row r="2850">
      <c r="A2850" s="6"/>
      <c r="C2850" s="6"/>
      <c r="L2850" s="7"/>
      <c r="M2850" s="5"/>
      <c r="N2850" s="5"/>
      <c r="O2850" s="5"/>
    </row>
    <row r="2851">
      <c r="A2851" s="6"/>
      <c r="C2851" s="6"/>
      <c r="L2851" s="7"/>
      <c r="M2851" s="5"/>
      <c r="N2851" s="5"/>
      <c r="O2851" s="5"/>
    </row>
    <row r="2852">
      <c r="A2852" s="6"/>
      <c r="C2852" s="6"/>
      <c r="L2852" s="7"/>
      <c r="M2852" s="5"/>
      <c r="N2852" s="5"/>
      <c r="O2852" s="5"/>
    </row>
    <row r="2853">
      <c r="A2853" s="6"/>
      <c r="C2853" s="6"/>
      <c r="L2853" s="7"/>
      <c r="M2853" s="5"/>
      <c r="N2853" s="5"/>
      <c r="O2853" s="5"/>
    </row>
    <row r="2854">
      <c r="A2854" s="6"/>
      <c r="C2854" s="6"/>
      <c r="L2854" s="7"/>
      <c r="M2854" s="5"/>
      <c r="N2854" s="5"/>
      <c r="O2854" s="5"/>
    </row>
    <row r="2855">
      <c r="A2855" s="6"/>
      <c r="C2855" s="6"/>
      <c r="L2855" s="7"/>
      <c r="M2855" s="5"/>
      <c r="N2855" s="5"/>
      <c r="O2855" s="5"/>
    </row>
    <row r="2856">
      <c r="A2856" s="6"/>
      <c r="C2856" s="6"/>
      <c r="L2856" s="7"/>
      <c r="M2856" s="5"/>
      <c r="N2856" s="5"/>
      <c r="O2856" s="5"/>
    </row>
    <row r="2857">
      <c r="A2857" s="6"/>
      <c r="C2857" s="6"/>
      <c r="L2857" s="7"/>
      <c r="M2857" s="5"/>
      <c r="N2857" s="5"/>
      <c r="O2857" s="5"/>
    </row>
    <row r="2858">
      <c r="A2858" s="6"/>
      <c r="C2858" s="6"/>
      <c r="L2858" s="7"/>
      <c r="M2858" s="5"/>
      <c r="N2858" s="5"/>
      <c r="O2858" s="5"/>
    </row>
    <row r="2859">
      <c r="A2859" s="6"/>
      <c r="C2859" s="6"/>
      <c r="L2859" s="7"/>
      <c r="M2859" s="5"/>
      <c r="N2859" s="5"/>
      <c r="O2859" s="5"/>
    </row>
    <row r="2860">
      <c r="A2860" s="6"/>
      <c r="C2860" s="6"/>
      <c r="L2860" s="7"/>
      <c r="M2860" s="5"/>
      <c r="N2860" s="5"/>
      <c r="O2860" s="5"/>
    </row>
    <row r="2861">
      <c r="A2861" s="6"/>
      <c r="C2861" s="6"/>
      <c r="L2861" s="7"/>
      <c r="M2861" s="5"/>
      <c r="N2861" s="5"/>
      <c r="O2861" s="5"/>
    </row>
    <row r="2862">
      <c r="A2862" s="6"/>
      <c r="C2862" s="6"/>
      <c r="L2862" s="7"/>
      <c r="M2862" s="5"/>
      <c r="N2862" s="5"/>
      <c r="O2862" s="5"/>
    </row>
    <row r="2863">
      <c r="A2863" s="6"/>
      <c r="C2863" s="6"/>
      <c r="L2863" s="7"/>
      <c r="M2863" s="5"/>
      <c r="N2863" s="5"/>
      <c r="O2863" s="5"/>
    </row>
    <row r="2864">
      <c r="A2864" s="6"/>
      <c r="C2864" s="6"/>
      <c r="L2864" s="7"/>
      <c r="M2864" s="5"/>
      <c r="N2864" s="5"/>
      <c r="O2864" s="5"/>
    </row>
    <row r="2865">
      <c r="A2865" s="6"/>
      <c r="C2865" s="6"/>
      <c r="L2865" s="7"/>
      <c r="M2865" s="5"/>
      <c r="N2865" s="5"/>
      <c r="O2865" s="5"/>
    </row>
    <row r="2866">
      <c r="A2866" s="6"/>
      <c r="C2866" s="6"/>
      <c r="L2866" s="7"/>
      <c r="M2866" s="5"/>
      <c r="N2866" s="5"/>
      <c r="O2866" s="5"/>
    </row>
    <row r="2867">
      <c r="A2867" s="6"/>
      <c r="C2867" s="6"/>
      <c r="L2867" s="7"/>
      <c r="M2867" s="5"/>
      <c r="N2867" s="5"/>
      <c r="O2867" s="5"/>
    </row>
    <row r="2868">
      <c r="A2868" s="6"/>
      <c r="C2868" s="6"/>
      <c r="L2868" s="7"/>
      <c r="M2868" s="5"/>
      <c r="N2868" s="5"/>
      <c r="O2868" s="5"/>
    </row>
    <row r="2869">
      <c r="A2869" s="6"/>
      <c r="C2869" s="6"/>
      <c r="L2869" s="7"/>
      <c r="M2869" s="5"/>
      <c r="N2869" s="5"/>
      <c r="O2869" s="5"/>
    </row>
    <row r="2870">
      <c r="A2870" s="6"/>
      <c r="C2870" s="6"/>
      <c r="L2870" s="7"/>
      <c r="M2870" s="5"/>
      <c r="N2870" s="5"/>
      <c r="O2870" s="5"/>
    </row>
    <row r="2871">
      <c r="A2871" s="6"/>
      <c r="C2871" s="6"/>
      <c r="L2871" s="7"/>
      <c r="M2871" s="5"/>
      <c r="N2871" s="5"/>
      <c r="O2871" s="5"/>
    </row>
    <row r="2872">
      <c r="A2872" s="6"/>
      <c r="C2872" s="6"/>
      <c r="L2872" s="7"/>
      <c r="M2872" s="5"/>
      <c r="N2872" s="5"/>
      <c r="O2872" s="5"/>
    </row>
    <row r="2873">
      <c r="A2873" s="6"/>
      <c r="C2873" s="6"/>
      <c r="L2873" s="7"/>
      <c r="M2873" s="5"/>
      <c r="N2873" s="5"/>
      <c r="O2873" s="5"/>
    </row>
    <row r="2874">
      <c r="A2874" s="6"/>
      <c r="C2874" s="6"/>
      <c r="L2874" s="7"/>
      <c r="M2874" s="5"/>
      <c r="N2874" s="5"/>
      <c r="O2874" s="5"/>
    </row>
    <row r="2875">
      <c r="A2875" s="6"/>
      <c r="C2875" s="6"/>
      <c r="L2875" s="7"/>
      <c r="M2875" s="5"/>
      <c r="N2875" s="5"/>
      <c r="O2875" s="5"/>
    </row>
    <row r="2876">
      <c r="A2876" s="6"/>
      <c r="C2876" s="6"/>
      <c r="L2876" s="7"/>
      <c r="M2876" s="5"/>
      <c r="N2876" s="5"/>
      <c r="O2876" s="5"/>
    </row>
    <row r="2877">
      <c r="A2877" s="6"/>
      <c r="C2877" s="6"/>
      <c r="L2877" s="7"/>
      <c r="M2877" s="5"/>
      <c r="N2877" s="5"/>
      <c r="O2877" s="5"/>
    </row>
    <row r="2878">
      <c r="A2878" s="6"/>
      <c r="C2878" s="6"/>
      <c r="L2878" s="7"/>
      <c r="M2878" s="5"/>
      <c r="N2878" s="5"/>
      <c r="O2878" s="5"/>
    </row>
    <row r="2879">
      <c r="A2879" s="6"/>
      <c r="C2879" s="6"/>
      <c r="L2879" s="7"/>
      <c r="M2879" s="5"/>
      <c r="N2879" s="5"/>
      <c r="O2879" s="5"/>
    </row>
    <row r="2880">
      <c r="A2880" s="6"/>
      <c r="C2880" s="6"/>
      <c r="L2880" s="7"/>
      <c r="M2880" s="5"/>
      <c r="N2880" s="5"/>
      <c r="O2880" s="5"/>
    </row>
    <row r="2881">
      <c r="A2881" s="6"/>
      <c r="C2881" s="6"/>
      <c r="L2881" s="7"/>
      <c r="M2881" s="5"/>
      <c r="N2881" s="5"/>
      <c r="O2881" s="5"/>
    </row>
    <row r="2882">
      <c r="A2882" s="6"/>
      <c r="C2882" s="6"/>
      <c r="L2882" s="7"/>
      <c r="M2882" s="5"/>
      <c r="N2882" s="5"/>
      <c r="O2882" s="5"/>
    </row>
    <row r="2883">
      <c r="A2883" s="6"/>
      <c r="C2883" s="6"/>
      <c r="L2883" s="7"/>
      <c r="M2883" s="5"/>
      <c r="N2883" s="5"/>
      <c r="O2883" s="5"/>
    </row>
    <row r="2884">
      <c r="A2884" s="6"/>
      <c r="C2884" s="6"/>
      <c r="L2884" s="7"/>
      <c r="M2884" s="5"/>
      <c r="N2884" s="5"/>
      <c r="O2884" s="5"/>
    </row>
    <row r="2885">
      <c r="A2885" s="6"/>
      <c r="C2885" s="6"/>
      <c r="L2885" s="7"/>
      <c r="M2885" s="5"/>
      <c r="N2885" s="5"/>
      <c r="O2885" s="5"/>
    </row>
    <row r="2886">
      <c r="A2886" s="6"/>
      <c r="C2886" s="6"/>
      <c r="L2886" s="7"/>
      <c r="M2886" s="5"/>
      <c r="N2886" s="5"/>
      <c r="O2886" s="5"/>
    </row>
    <row r="2887">
      <c r="A2887" s="6"/>
      <c r="C2887" s="6"/>
      <c r="L2887" s="7"/>
      <c r="M2887" s="5"/>
      <c r="N2887" s="5"/>
      <c r="O2887" s="5"/>
    </row>
    <row r="2888">
      <c r="A2888" s="6"/>
      <c r="C2888" s="6"/>
      <c r="L2888" s="7"/>
      <c r="M2888" s="5"/>
      <c r="N2888" s="5"/>
      <c r="O2888" s="5"/>
    </row>
    <row r="2889">
      <c r="A2889" s="6"/>
      <c r="C2889" s="6"/>
      <c r="L2889" s="7"/>
      <c r="M2889" s="5"/>
      <c r="N2889" s="5"/>
      <c r="O2889" s="5"/>
    </row>
    <row r="2890">
      <c r="A2890" s="6"/>
      <c r="C2890" s="6"/>
      <c r="L2890" s="7"/>
      <c r="M2890" s="5"/>
      <c r="N2890" s="5"/>
      <c r="O2890" s="5"/>
    </row>
    <row r="2891">
      <c r="A2891" s="6"/>
      <c r="C2891" s="6"/>
      <c r="L2891" s="7"/>
      <c r="M2891" s="5"/>
      <c r="N2891" s="5"/>
      <c r="O2891" s="5"/>
    </row>
    <row r="2892">
      <c r="A2892" s="6"/>
      <c r="C2892" s="6"/>
      <c r="L2892" s="7"/>
      <c r="M2892" s="5"/>
      <c r="N2892" s="5"/>
      <c r="O2892" s="5"/>
    </row>
    <row r="2893">
      <c r="A2893" s="6"/>
      <c r="C2893" s="6"/>
      <c r="L2893" s="7"/>
      <c r="M2893" s="5"/>
      <c r="N2893" s="5"/>
      <c r="O2893" s="5"/>
    </row>
    <row r="2894">
      <c r="A2894" s="6"/>
      <c r="C2894" s="6"/>
      <c r="L2894" s="7"/>
      <c r="M2894" s="5"/>
      <c r="N2894" s="5"/>
      <c r="O2894" s="5"/>
    </row>
    <row r="2895">
      <c r="A2895" s="6"/>
      <c r="C2895" s="6"/>
      <c r="L2895" s="7"/>
      <c r="M2895" s="5"/>
      <c r="N2895" s="5"/>
      <c r="O2895" s="5"/>
    </row>
    <row r="2896">
      <c r="A2896" s="6"/>
      <c r="C2896" s="6"/>
      <c r="L2896" s="7"/>
      <c r="M2896" s="5"/>
      <c r="N2896" s="5"/>
      <c r="O2896" s="5"/>
    </row>
    <row r="2897">
      <c r="A2897" s="6"/>
      <c r="C2897" s="6"/>
      <c r="L2897" s="7"/>
      <c r="M2897" s="5"/>
      <c r="N2897" s="5"/>
      <c r="O2897" s="5"/>
    </row>
    <row r="2898">
      <c r="A2898" s="6"/>
      <c r="C2898" s="6"/>
      <c r="L2898" s="7"/>
      <c r="M2898" s="5"/>
      <c r="N2898" s="5"/>
      <c r="O2898" s="5"/>
    </row>
    <row r="2899">
      <c r="A2899" s="6"/>
      <c r="C2899" s="6"/>
      <c r="L2899" s="7"/>
      <c r="M2899" s="5"/>
      <c r="N2899" s="5"/>
      <c r="O2899" s="5"/>
    </row>
    <row r="2900">
      <c r="A2900" s="6"/>
      <c r="C2900" s="6"/>
      <c r="L2900" s="7"/>
      <c r="M2900" s="5"/>
      <c r="N2900" s="5"/>
      <c r="O2900" s="5"/>
    </row>
    <row r="2901">
      <c r="A2901" s="6"/>
      <c r="C2901" s="6"/>
      <c r="L2901" s="7"/>
      <c r="M2901" s="5"/>
      <c r="N2901" s="5"/>
      <c r="O2901" s="5"/>
    </row>
    <row r="2902">
      <c r="A2902" s="6"/>
      <c r="C2902" s="6"/>
      <c r="L2902" s="7"/>
      <c r="M2902" s="5"/>
      <c r="N2902" s="5"/>
      <c r="O2902" s="5"/>
    </row>
    <row r="2903">
      <c r="A2903" s="6"/>
      <c r="C2903" s="6"/>
      <c r="L2903" s="7"/>
      <c r="M2903" s="5"/>
      <c r="N2903" s="5"/>
      <c r="O2903" s="5"/>
    </row>
    <row r="2904">
      <c r="A2904" s="6"/>
      <c r="C2904" s="6"/>
      <c r="L2904" s="7"/>
      <c r="M2904" s="5"/>
      <c r="N2904" s="5"/>
      <c r="O2904" s="5"/>
    </row>
    <row r="2905">
      <c r="A2905" s="6"/>
      <c r="C2905" s="6"/>
      <c r="L2905" s="7"/>
      <c r="M2905" s="5"/>
      <c r="N2905" s="5"/>
      <c r="O2905" s="5"/>
    </row>
    <row r="2906">
      <c r="A2906" s="6"/>
      <c r="C2906" s="6"/>
      <c r="L2906" s="7"/>
      <c r="M2906" s="5"/>
      <c r="N2906" s="5"/>
      <c r="O2906" s="5"/>
    </row>
    <row r="2907">
      <c r="A2907" s="6"/>
      <c r="C2907" s="6"/>
      <c r="L2907" s="7"/>
      <c r="M2907" s="5"/>
      <c r="N2907" s="5"/>
      <c r="O2907" s="5"/>
    </row>
    <row r="2908">
      <c r="A2908" s="6"/>
      <c r="C2908" s="6"/>
      <c r="L2908" s="7"/>
      <c r="M2908" s="5"/>
      <c r="N2908" s="5"/>
      <c r="O2908" s="5"/>
    </row>
    <row r="2909">
      <c r="A2909" s="6"/>
      <c r="C2909" s="6"/>
      <c r="L2909" s="7"/>
      <c r="M2909" s="5"/>
      <c r="N2909" s="5"/>
      <c r="O2909" s="5"/>
    </row>
    <row r="2910">
      <c r="A2910" s="6"/>
      <c r="C2910" s="6"/>
      <c r="L2910" s="7"/>
      <c r="M2910" s="5"/>
      <c r="N2910" s="5"/>
      <c r="O2910" s="5"/>
    </row>
    <row r="2911">
      <c r="A2911" s="6"/>
      <c r="C2911" s="6"/>
      <c r="L2911" s="7"/>
      <c r="M2911" s="5"/>
      <c r="N2911" s="5"/>
      <c r="O2911" s="5"/>
    </row>
    <row r="2912">
      <c r="A2912" s="6"/>
      <c r="C2912" s="6"/>
      <c r="L2912" s="7"/>
      <c r="M2912" s="5"/>
      <c r="N2912" s="5"/>
      <c r="O2912" s="5"/>
    </row>
    <row r="2913">
      <c r="A2913" s="6"/>
      <c r="C2913" s="6"/>
      <c r="L2913" s="7"/>
      <c r="M2913" s="5"/>
      <c r="N2913" s="5"/>
      <c r="O2913" s="5"/>
    </row>
    <row r="2914">
      <c r="A2914" s="6"/>
      <c r="C2914" s="6"/>
      <c r="L2914" s="7"/>
      <c r="M2914" s="5"/>
      <c r="N2914" s="5"/>
      <c r="O2914" s="5"/>
    </row>
    <row r="2915">
      <c r="A2915" s="6"/>
      <c r="C2915" s="6"/>
      <c r="L2915" s="7"/>
      <c r="M2915" s="5"/>
      <c r="N2915" s="5"/>
      <c r="O2915" s="5"/>
    </row>
    <row r="2916">
      <c r="A2916" s="6"/>
      <c r="C2916" s="6"/>
      <c r="L2916" s="7"/>
      <c r="M2916" s="5"/>
      <c r="N2916" s="5"/>
      <c r="O2916" s="5"/>
    </row>
    <row r="2917">
      <c r="A2917" s="6"/>
      <c r="C2917" s="6"/>
      <c r="L2917" s="7"/>
      <c r="M2917" s="5"/>
      <c r="N2917" s="5"/>
      <c r="O2917" s="5"/>
    </row>
    <row r="2918">
      <c r="A2918" s="6"/>
      <c r="C2918" s="6"/>
      <c r="L2918" s="7"/>
      <c r="M2918" s="5"/>
      <c r="N2918" s="5"/>
      <c r="O2918" s="5"/>
    </row>
    <row r="2919">
      <c r="A2919" s="6"/>
      <c r="C2919" s="6"/>
      <c r="L2919" s="7"/>
      <c r="M2919" s="5"/>
      <c r="N2919" s="5"/>
      <c r="O2919" s="5"/>
    </row>
    <row r="2920">
      <c r="A2920" s="6"/>
      <c r="C2920" s="6"/>
      <c r="L2920" s="7"/>
      <c r="M2920" s="5"/>
      <c r="N2920" s="5"/>
      <c r="O2920" s="5"/>
    </row>
    <row r="2921">
      <c r="A2921" s="6"/>
      <c r="C2921" s="6"/>
      <c r="L2921" s="7"/>
      <c r="M2921" s="5"/>
      <c r="N2921" s="5"/>
      <c r="O2921" s="5"/>
    </row>
    <row r="2922">
      <c r="A2922" s="6"/>
      <c r="C2922" s="6"/>
      <c r="L2922" s="7"/>
      <c r="M2922" s="5"/>
      <c r="N2922" s="5"/>
      <c r="O2922" s="5"/>
    </row>
    <row r="2923">
      <c r="A2923" s="6"/>
      <c r="C2923" s="6"/>
      <c r="L2923" s="7"/>
      <c r="M2923" s="5"/>
      <c r="N2923" s="5"/>
      <c r="O2923" s="5"/>
    </row>
    <row r="2924">
      <c r="A2924" s="6"/>
      <c r="C2924" s="6"/>
      <c r="L2924" s="7"/>
      <c r="M2924" s="5"/>
      <c r="N2924" s="5"/>
      <c r="O2924" s="5"/>
    </row>
    <row r="2925">
      <c r="A2925" s="6"/>
      <c r="C2925" s="6"/>
      <c r="L2925" s="7"/>
      <c r="M2925" s="5"/>
      <c r="N2925" s="5"/>
      <c r="O2925" s="5"/>
    </row>
    <row r="2926">
      <c r="A2926" s="6"/>
      <c r="C2926" s="6"/>
      <c r="L2926" s="7"/>
      <c r="M2926" s="5"/>
      <c r="N2926" s="5"/>
      <c r="O2926" s="5"/>
    </row>
    <row r="2927">
      <c r="A2927" s="6"/>
      <c r="C2927" s="6"/>
      <c r="L2927" s="7"/>
      <c r="M2927" s="5"/>
      <c r="N2927" s="5"/>
      <c r="O2927" s="5"/>
    </row>
    <row r="2928">
      <c r="A2928" s="6"/>
      <c r="C2928" s="6"/>
      <c r="L2928" s="7"/>
      <c r="M2928" s="5"/>
      <c r="N2928" s="5"/>
      <c r="O2928" s="5"/>
    </row>
    <row r="2929">
      <c r="A2929" s="6"/>
      <c r="C2929" s="6"/>
      <c r="L2929" s="7"/>
      <c r="M2929" s="5"/>
      <c r="N2929" s="5"/>
      <c r="O2929" s="5"/>
    </row>
    <row r="2930">
      <c r="A2930" s="6"/>
      <c r="C2930" s="6"/>
      <c r="L2930" s="7"/>
      <c r="M2930" s="5"/>
      <c r="N2930" s="5"/>
      <c r="O2930" s="5"/>
    </row>
    <row r="2931">
      <c r="A2931" s="6"/>
      <c r="C2931" s="6"/>
      <c r="L2931" s="7"/>
      <c r="M2931" s="5"/>
      <c r="N2931" s="5"/>
      <c r="O2931" s="5"/>
    </row>
    <row r="2932">
      <c r="A2932" s="6"/>
      <c r="C2932" s="6"/>
      <c r="L2932" s="7"/>
      <c r="M2932" s="5"/>
      <c r="N2932" s="5"/>
      <c r="O2932" s="5"/>
    </row>
    <row r="2933">
      <c r="A2933" s="6"/>
      <c r="C2933" s="6"/>
      <c r="L2933" s="7"/>
      <c r="M2933" s="5"/>
      <c r="N2933" s="5"/>
      <c r="O2933" s="5"/>
    </row>
    <row r="2934">
      <c r="A2934" s="6"/>
      <c r="C2934" s="6"/>
      <c r="L2934" s="7"/>
      <c r="M2934" s="5"/>
      <c r="N2934" s="5"/>
      <c r="O2934" s="5"/>
    </row>
    <row r="2935">
      <c r="A2935" s="6"/>
      <c r="C2935" s="6"/>
      <c r="L2935" s="7"/>
      <c r="M2935" s="5"/>
      <c r="N2935" s="5"/>
      <c r="O2935" s="5"/>
    </row>
    <row r="2936">
      <c r="A2936" s="6"/>
      <c r="C2936" s="6"/>
      <c r="L2936" s="7"/>
      <c r="M2936" s="5"/>
      <c r="N2936" s="5"/>
      <c r="O2936" s="5"/>
    </row>
    <row r="2937">
      <c r="A2937" s="6"/>
      <c r="C2937" s="6"/>
      <c r="L2937" s="7"/>
      <c r="M2937" s="5"/>
      <c r="N2937" s="5"/>
      <c r="O2937" s="5"/>
    </row>
    <row r="2938">
      <c r="A2938" s="6"/>
      <c r="C2938" s="6"/>
      <c r="L2938" s="7"/>
      <c r="M2938" s="5"/>
      <c r="N2938" s="5"/>
      <c r="O2938" s="5"/>
    </row>
    <row r="2939">
      <c r="A2939" s="6"/>
      <c r="C2939" s="6"/>
      <c r="L2939" s="7"/>
      <c r="M2939" s="5"/>
      <c r="N2939" s="5"/>
      <c r="O2939" s="5"/>
    </row>
    <row r="2940">
      <c r="A2940" s="6"/>
      <c r="C2940" s="6"/>
      <c r="L2940" s="7"/>
      <c r="M2940" s="5"/>
      <c r="N2940" s="5"/>
      <c r="O2940" s="5"/>
    </row>
    <row r="2941">
      <c r="A2941" s="6"/>
      <c r="C2941" s="6"/>
      <c r="L2941" s="7"/>
      <c r="M2941" s="5"/>
      <c r="N2941" s="5"/>
      <c r="O2941" s="5"/>
    </row>
    <row r="2942">
      <c r="A2942" s="6"/>
      <c r="C2942" s="6"/>
      <c r="L2942" s="7"/>
      <c r="M2942" s="5"/>
      <c r="N2942" s="5"/>
      <c r="O2942" s="5"/>
    </row>
    <row r="2943">
      <c r="A2943" s="6"/>
      <c r="C2943" s="6"/>
      <c r="L2943" s="7"/>
      <c r="M2943" s="5"/>
      <c r="N2943" s="5"/>
      <c r="O2943" s="5"/>
    </row>
    <row r="2944">
      <c r="A2944" s="6"/>
      <c r="C2944" s="6"/>
      <c r="L2944" s="7"/>
      <c r="M2944" s="5"/>
      <c r="N2944" s="5"/>
      <c r="O2944" s="5"/>
    </row>
    <row r="2945">
      <c r="A2945" s="6"/>
      <c r="C2945" s="6"/>
      <c r="L2945" s="7"/>
      <c r="M2945" s="5"/>
      <c r="N2945" s="5"/>
      <c r="O2945" s="5"/>
    </row>
    <row r="2946">
      <c r="A2946" s="6"/>
      <c r="C2946" s="6"/>
      <c r="L2946" s="7"/>
      <c r="M2946" s="5"/>
      <c r="N2946" s="5"/>
      <c r="O2946" s="5"/>
    </row>
    <row r="2947">
      <c r="A2947" s="6"/>
      <c r="C2947" s="6"/>
      <c r="L2947" s="7"/>
      <c r="M2947" s="5"/>
      <c r="N2947" s="5"/>
      <c r="O2947" s="5"/>
    </row>
    <row r="2948">
      <c r="A2948" s="6"/>
      <c r="C2948" s="6"/>
      <c r="L2948" s="7"/>
      <c r="M2948" s="5"/>
      <c r="N2948" s="5"/>
      <c r="O2948" s="5"/>
    </row>
    <row r="2949">
      <c r="A2949" s="6"/>
      <c r="C2949" s="6"/>
      <c r="L2949" s="7"/>
      <c r="M2949" s="5"/>
      <c r="N2949" s="5"/>
      <c r="O2949" s="5"/>
    </row>
    <row r="2950">
      <c r="A2950" s="6"/>
      <c r="C2950" s="6"/>
      <c r="L2950" s="7"/>
      <c r="M2950" s="5"/>
      <c r="N2950" s="5"/>
      <c r="O2950" s="5"/>
    </row>
    <row r="2951">
      <c r="A2951" s="6"/>
      <c r="C2951" s="6"/>
      <c r="L2951" s="7"/>
      <c r="M2951" s="5"/>
      <c r="N2951" s="5"/>
      <c r="O2951" s="5"/>
    </row>
    <row r="2952">
      <c r="A2952" s="6"/>
      <c r="C2952" s="6"/>
      <c r="L2952" s="7"/>
      <c r="M2952" s="5"/>
      <c r="N2952" s="5"/>
      <c r="O2952" s="5"/>
    </row>
    <row r="2953">
      <c r="A2953" s="6"/>
      <c r="C2953" s="6"/>
      <c r="L2953" s="7"/>
      <c r="M2953" s="5"/>
      <c r="N2953" s="5"/>
      <c r="O2953" s="5"/>
    </row>
    <row r="2954">
      <c r="A2954" s="6"/>
      <c r="C2954" s="6"/>
      <c r="L2954" s="7"/>
      <c r="M2954" s="5"/>
      <c r="N2954" s="5"/>
      <c r="O2954" s="5"/>
    </row>
    <row r="2955">
      <c r="A2955" s="6"/>
      <c r="C2955" s="6"/>
      <c r="L2955" s="7"/>
      <c r="M2955" s="5"/>
      <c r="N2955" s="5"/>
      <c r="O2955" s="5"/>
    </row>
    <row r="2956">
      <c r="A2956" s="6"/>
      <c r="C2956" s="6"/>
      <c r="L2956" s="7"/>
      <c r="M2956" s="5"/>
      <c r="N2956" s="5"/>
      <c r="O2956" s="5"/>
    </row>
    <row r="2957">
      <c r="A2957" s="6"/>
      <c r="C2957" s="6"/>
      <c r="L2957" s="7"/>
      <c r="M2957" s="5"/>
      <c r="N2957" s="5"/>
      <c r="O2957" s="5"/>
    </row>
    <row r="2958">
      <c r="A2958" s="6"/>
      <c r="C2958" s="6"/>
      <c r="L2958" s="7"/>
      <c r="M2958" s="5"/>
      <c r="N2958" s="5"/>
      <c r="O2958" s="5"/>
    </row>
    <row r="2959">
      <c r="A2959" s="6"/>
      <c r="C2959" s="6"/>
      <c r="L2959" s="7"/>
      <c r="M2959" s="5"/>
      <c r="N2959" s="5"/>
      <c r="O2959" s="5"/>
    </row>
    <row r="2960">
      <c r="A2960" s="6"/>
      <c r="C2960" s="6"/>
      <c r="L2960" s="7"/>
      <c r="M2960" s="5"/>
      <c r="N2960" s="5"/>
      <c r="O2960" s="5"/>
    </row>
    <row r="2961">
      <c r="A2961" s="6"/>
      <c r="C2961" s="6"/>
      <c r="L2961" s="7"/>
      <c r="M2961" s="5"/>
      <c r="N2961" s="5"/>
      <c r="O2961" s="5"/>
    </row>
    <row r="2962">
      <c r="A2962" s="6"/>
      <c r="C2962" s="6"/>
      <c r="L2962" s="7"/>
      <c r="M2962" s="5"/>
      <c r="N2962" s="5"/>
      <c r="O2962" s="5"/>
    </row>
    <row r="2963">
      <c r="A2963" s="6"/>
      <c r="C2963" s="6"/>
      <c r="L2963" s="7"/>
      <c r="M2963" s="5"/>
      <c r="N2963" s="5"/>
      <c r="O2963" s="5"/>
    </row>
    <row r="2964">
      <c r="A2964" s="6"/>
      <c r="C2964" s="6"/>
      <c r="L2964" s="7"/>
      <c r="M2964" s="5"/>
      <c r="N2964" s="5"/>
      <c r="O2964" s="5"/>
    </row>
    <row r="2965">
      <c r="A2965" s="6"/>
      <c r="C2965" s="6"/>
      <c r="L2965" s="7"/>
      <c r="M2965" s="5"/>
      <c r="N2965" s="5"/>
      <c r="O2965" s="5"/>
    </row>
    <row r="2966">
      <c r="A2966" s="6"/>
      <c r="C2966" s="6"/>
      <c r="L2966" s="7"/>
      <c r="M2966" s="5"/>
      <c r="N2966" s="5"/>
      <c r="O2966" s="5"/>
    </row>
    <row r="2967">
      <c r="A2967" s="6"/>
      <c r="C2967" s="6"/>
      <c r="L2967" s="7"/>
      <c r="M2967" s="5"/>
      <c r="N2967" s="5"/>
      <c r="O2967" s="5"/>
    </row>
    <row r="2968">
      <c r="A2968" s="6"/>
      <c r="C2968" s="6"/>
      <c r="L2968" s="7"/>
      <c r="M2968" s="5"/>
      <c r="N2968" s="5"/>
      <c r="O2968" s="5"/>
    </row>
    <row r="2969">
      <c r="A2969" s="6"/>
      <c r="C2969" s="6"/>
      <c r="L2969" s="7"/>
      <c r="M2969" s="5"/>
      <c r="N2969" s="5"/>
      <c r="O2969" s="5"/>
    </row>
    <row r="2970">
      <c r="A2970" s="6"/>
      <c r="C2970" s="6"/>
      <c r="L2970" s="7"/>
      <c r="M2970" s="5"/>
      <c r="N2970" s="5"/>
      <c r="O2970" s="5"/>
    </row>
    <row r="2971">
      <c r="A2971" s="6"/>
      <c r="C2971" s="6"/>
      <c r="L2971" s="7"/>
      <c r="M2971" s="5"/>
      <c r="N2971" s="5"/>
      <c r="O2971" s="5"/>
    </row>
    <row r="2972">
      <c r="A2972" s="6"/>
      <c r="C2972" s="6"/>
      <c r="L2972" s="7"/>
      <c r="M2972" s="5"/>
      <c r="N2972" s="5"/>
      <c r="O2972" s="5"/>
    </row>
    <row r="2973">
      <c r="A2973" s="6"/>
      <c r="C2973" s="6"/>
      <c r="L2973" s="7"/>
      <c r="M2973" s="5"/>
      <c r="N2973" s="5"/>
      <c r="O2973" s="5"/>
    </row>
    <row r="2974">
      <c r="A2974" s="6"/>
      <c r="C2974" s="6"/>
      <c r="L2974" s="7"/>
      <c r="M2974" s="5"/>
      <c r="N2974" s="5"/>
      <c r="O2974" s="5"/>
    </row>
    <row r="2975">
      <c r="A2975" s="6"/>
      <c r="C2975" s="6"/>
      <c r="L2975" s="7"/>
      <c r="M2975" s="5"/>
      <c r="N2975" s="5"/>
      <c r="O2975" s="5"/>
    </row>
    <row r="2976">
      <c r="A2976" s="6"/>
      <c r="C2976" s="6"/>
      <c r="L2976" s="7"/>
      <c r="M2976" s="5"/>
      <c r="N2976" s="5"/>
      <c r="O2976" s="5"/>
    </row>
    <row r="2977">
      <c r="A2977" s="6"/>
      <c r="C2977" s="6"/>
      <c r="L2977" s="7"/>
      <c r="M2977" s="5"/>
      <c r="N2977" s="5"/>
      <c r="O2977" s="5"/>
    </row>
    <row r="2978">
      <c r="A2978" s="6"/>
      <c r="C2978" s="6"/>
      <c r="L2978" s="7"/>
      <c r="M2978" s="5"/>
      <c r="N2978" s="5"/>
      <c r="O2978" s="5"/>
    </row>
    <row r="2979">
      <c r="A2979" s="6"/>
      <c r="C2979" s="6"/>
      <c r="L2979" s="7"/>
      <c r="M2979" s="5"/>
      <c r="N2979" s="5"/>
      <c r="O2979" s="5"/>
    </row>
    <row r="2980">
      <c r="A2980" s="6"/>
      <c r="C2980" s="6"/>
      <c r="L2980" s="7"/>
      <c r="M2980" s="5"/>
      <c r="N2980" s="5"/>
      <c r="O2980" s="5"/>
    </row>
    <row r="2981">
      <c r="A2981" s="6"/>
      <c r="C2981" s="6"/>
      <c r="L2981" s="7"/>
      <c r="M2981" s="5"/>
      <c r="N2981" s="5"/>
      <c r="O2981" s="5"/>
    </row>
    <row r="2982">
      <c r="A2982" s="6"/>
      <c r="C2982" s="6"/>
      <c r="L2982" s="7"/>
      <c r="M2982" s="5"/>
      <c r="N2982" s="5"/>
      <c r="O2982" s="5"/>
    </row>
    <row r="2983">
      <c r="A2983" s="6"/>
      <c r="C2983" s="6"/>
      <c r="L2983" s="7"/>
      <c r="M2983" s="5"/>
      <c r="N2983" s="5"/>
      <c r="O2983" s="5"/>
    </row>
    <row r="2984">
      <c r="A2984" s="6"/>
      <c r="C2984" s="6"/>
      <c r="L2984" s="7"/>
      <c r="M2984" s="5"/>
      <c r="N2984" s="5"/>
      <c r="O2984" s="5"/>
    </row>
    <row r="2985">
      <c r="A2985" s="6"/>
      <c r="C2985" s="6"/>
      <c r="L2985" s="7"/>
      <c r="M2985" s="5"/>
      <c r="N2985" s="5"/>
      <c r="O2985" s="5"/>
    </row>
    <row r="2986">
      <c r="A2986" s="6"/>
      <c r="C2986" s="6"/>
      <c r="L2986" s="7"/>
      <c r="M2986" s="5"/>
      <c r="N2986" s="5"/>
      <c r="O2986" s="5"/>
    </row>
    <row r="2987">
      <c r="A2987" s="6"/>
      <c r="C2987" s="6"/>
      <c r="L2987" s="7"/>
      <c r="M2987" s="5"/>
      <c r="N2987" s="5"/>
      <c r="O2987" s="5"/>
    </row>
    <row r="2988">
      <c r="A2988" s="6"/>
      <c r="C2988" s="6"/>
      <c r="L2988" s="7"/>
      <c r="M2988" s="5"/>
      <c r="N2988" s="5"/>
      <c r="O2988" s="5"/>
    </row>
    <row r="2989">
      <c r="A2989" s="6"/>
      <c r="C2989" s="6"/>
      <c r="L2989" s="7"/>
      <c r="M2989" s="5"/>
      <c r="N2989" s="5"/>
      <c r="O2989" s="5"/>
    </row>
    <row r="2990">
      <c r="A2990" s="6"/>
      <c r="C2990" s="6"/>
      <c r="L2990" s="7"/>
      <c r="M2990" s="5"/>
      <c r="N2990" s="5"/>
      <c r="O2990" s="5"/>
    </row>
    <row r="2991">
      <c r="A2991" s="6"/>
      <c r="C2991" s="6"/>
      <c r="L2991" s="7"/>
      <c r="M2991" s="5"/>
      <c r="N2991" s="5"/>
      <c r="O2991" s="5"/>
    </row>
    <row r="2992">
      <c r="A2992" s="6"/>
      <c r="C2992" s="6"/>
      <c r="L2992" s="7"/>
      <c r="M2992" s="5"/>
      <c r="N2992" s="5"/>
      <c r="O2992" s="5"/>
    </row>
    <row r="2993">
      <c r="A2993" s="6"/>
      <c r="C2993" s="6"/>
      <c r="L2993" s="7"/>
      <c r="M2993" s="5"/>
      <c r="N2993" s="5"/>
      <c r="O2993" s="5"/>
    </row>
    <row r="2994">
      <c r="A2994" s="6"/>
      <c r="C2994" s="6"/>
      <c r="L2994" s="7"/>
      <c r="M2994" s="5"/>
      <c r="N2994" s="5"/>
      <c r="O2994" s="5"/>
    </row>
    <row r="2995">
      <c r="A2995" s="6"/>
      <c r="C2995" s="6"/>
      <c r="L2995" s="7"/>
      <c r="M2995" s="5"/>
      <c r="N2995" s="5"/>
      <c r="O2995" s="5"/>
    </row>
    <row r="2996">
      <c r="A2996" s="6"/>
      <c r="C2996" s="6"/>
      <c r="L2996" s="7"/>
      <c r="M2996" s="5"/>
      <c r="N2996" s="5"/>
      <c r="O2996" s="5"/>
    </row>
    <row r="2997">
      <c r="A2997" s="6"/>
      <c r="C2997" s="6"/>
      <c r="L2997" s="7"/>
      <c r="M2997" s="5"/>
      <c r="N2997" s="5"/>
      <c r="O2997" s="5"/>
    </row>
    <row r="2998">
      <c r="A2998" s="6"/>
      <c r="C2998" s="6"/>
      <c r="L2998" s="7"/>
      <c r="M2998" s="5"/>
      <c r="N2998" s="5"/>
      <c r="O2998" s="5"/>
    </row>
    <row r="2999">
      <c r="A2999" s="6"/>
      <c r="C2999" s="6"/>
      <c r="L2999" s="7"/>
      <c r="M2999" s="5"/>
      <c r="N2999" s="5"/>
      <c r="O2999" s="5"/>
    </row>
    <row r="3000">
      <c r="A3000" s="6"/>
      <c r="C3000" s="6"/>
      <c r="L3000" s="7"/>
      <c r="M3000" s="5"/>
      <c r="N3000" s="5"/>
      <c r="O3000" s="5"/>
    </row>
    <row r="3001">
      <c r="A3001" s="6"/>
      <c r="C3001" s="6"/>
      <c r="L3001" s="7"/>
      <c r="M3001" s="5"/>
      <c r="N3001" s="5"/>
      <c r="O3001" s="5"/>
    </row>
    <row r="3002">
      <c r="A3002" s="6"/>
      <c r="C3002" s="6"/>
      <c r="L3002" s="7"/>
      <c r="M3002" s="5"/>
      <c r="N3002" s="5"/>
      <c r="O3002" s="5"/>
    </row>
    <row r="3003">
      <c r="A3003" s="6"/>
      <c r="C3003" s="6"/>
      <c r="L3003" s="7"/>
      <c r="M3003" s="5"/>
      <c r="N3003" s="5"/>
      <c r="O3003" s="5"/>
    </row>
    <row r="3004">
      <c r="A3004" s="6"/>
      <c r="C3004" s="6"/>
      <c r="L3004" s="7"/>
      <c r="M3004" s="5"/>
      <c r="N3004" s="5"/>
      <c r="O3004" s="5"/>
    </row>
    <row r="3005">
      <c r="A3005" s="6"/>
      <c r="C3005" s="6"/>
      <c r="L3005" s="7"/>
      <c r="M3005" s="5"/>
      <c r="N3005" s="5"/>
      <c r="O3005" s="5"/>
    </row>
    <row r="3006">
      <c r="A3006" s="6"/>
      <c r="C3006" s="6"/>
      <c r="L3006" s="7"/>
      <c r="M3006" s="5"/>
      <c r="N3006" s="5"/>
      <c r="O3006" s="5"/>
    </row>
    <row r="3007">
      <c r="A3007" s="6"/>
      <c r="C3007" s="6"/>
      <c r="L3007" s="7"/>
      <c r="M3007" s="5"/>
      <c r="N3007" s="5"/>
      <c r="O3007" s="5"/>
    </row>
    <row r="3008">
      <c r="A3008" s="6"/>
      <c r="C3008" s="6"/>
      <c r="L3008" s="7"/>
      <c r="M3008" s="5"/>
      <c r="N3008" s="5"/>
      <c r="O3008" s="5"/>
    </row>
    <row r="3009">
      <c r="A3009" s="6"/>
      <c r="C3009" s="6"/>
      <c r="L3009" s="7"/>
      <c r="M3009" s="5"/>
      <c r="N3009" s="5"/>
      <c r="O3009" s="5"/>
    </row>
    <row r="3010">
      <c r="A3010" s="6"/>
      <c r="C3010" s="6"/>
      <c r="L3010" s="7"/>
      <c r="M3010" s="5"/>
      <c r="N3010" s="5"/>
      <c r="O3010" s="5"/>
    </row>
    <row r="3011">
      <c r="A3011" s="6"/>
      <c r="C3011" s="6"/>
      <c r="L3011" s="7"/>
      <c r="M3011" s="5"/>
      <c r="N3011" s="5"/>
      <c r="O3011" s="5"/>
    </row>
    <row r="3012">
      <c r="A3012" s="6"/>
      <c r="C3012" s="6"/>
      <c r="L3012" s="7"/>
      <c r="M3012" s="5"/>
      <c r="N3012" s="5"/>
      <c r="O3012" s="5"/>
    </row>
    <row r="3013">
      <c r="A3013" s="6"/>
      <c r="C3013" s="6"/>
      <c r="L3013" s="7"/>
      <c r="M3013" s="5"/>
      <c r="N3013" s="5"/>
      <c r="O3013" s="5"/>
    </row>
    <row r="3014">
      <c r="A3014" s="6"/>
      <c r="C3014" s="6"/>
      <c r="L3014" s="7"/>
      <c r="M3014" s="5"/>
      <c r="N3014" s="5"/>
      <c r="O3014" s="5"/>
    </row>
    <row r="3015">
      <c r="A3015" s="6"/>
      <c r="C3015" s="6"/>
      <c r="L3015" s="7"/>
      <c r="M3015" s="5"/>
      <c r="N3015" s="5"/>
      <c r="O3015" s="5"/>
    </row>
    <row r="3016">
      <c r="A3016" s="6"/>
      <c r="C3016" s="6"/>
      <c r="L3016" s="7"/>
      <c r="M3016" s="5"/>
      <c r="N3016" s="5"/>
      <c r="O3016" s="5"/>
    </row>
    <row r="3017">
      <c r="A3017" s="6"/>
      <c r="C3017" s="6"/>
      <c r="L3017" s="7"/>
      <c r="M3017" s="5"/>
      <c r="N3017" s="5"/>
      <c r="O3017" s="5"/>
    </row>
    <row r="3018">
      <c r="A3018" s="6"/>
      <c r="C3018" s="6"/>
      <c r="L3018" s="7"/>
      <c r="M3018" s="5"/>
      <c r="N3018" s="5"/>
      <c r="O3018" s="5"/>
    </row>
    <row r="3019">
      <c r="A3019" s="6"/>
      <c r="C3019" s="6"/>
      <c r="L3019" s="7"/>
      <c r="M3019" s="5"/>
      <c r="N3019" s="5"/>
      <c r="O3019" s="5"/>
    </row>
    <row r="3020">
      <c r="A3020" s="6"/>
      <c r="C3020" s="6"/>
      <c r="L3020" s="7"/>
      <c r="M3020" s="5"/>
      <c r="N3020" s="5"/>
      <c r="O3020" s="5"/>
    </row>
    <row r="3021">
      <c r="A3021" s="6"/>
      <c r="C3021" s="6"/>
      <c r="L3021" s="7"/>
      <c r="M3021" s="5"/>
      <c r="N3021" s="5"/>
      <c r="O3021" s="5"/>
    </row>
    <row r="3022">
      <c r="A3022" s="6"/>
      <c r="C3022" s="6"/>
      <c r="L3022" s="7"/>
      <c r="M3022" s="5"/>
      <c r="N3022" s="5"/>
      <c r="O3022" s="5"/>
    </row>
    <row r="3023">
      <c r="A3023" s="6"/>
      <c r="C3023" s="6"/>
      <c r="L3023" s="7"/>
      <c r="M3023" s="5"/>
      <c r="N3023" s="5"/>
      <c r="O3023" s="5"/>
    </row>
    <row r="3024">
      <c r="A3024" s="6"/>
      <c r="C3024" s="6"/>
      <c r="L3024" s="7"/>
      <c r="M3024" s="5"/>
      <c r="N3024" s="5"/>
      <c r="O3024" s="5"/>
    </row>
    <row r="3025">
      <c r="A3025" s="6"/>
      <c r="C3025" s="6"/>
      <c r="L3025" s="7"/>
      <c r="M3025" s="5"/>
      <c r="N3025" s="5"/>
      <c r="O3025" s="5"/>
    </row>
    <row r="3026">
      <c r="A3026" s="6"/>
      <c r="C3026" s="6"/>
      <c r="L3026" s="7"/>
      <c r="M3026" s="5"/>
      <c r="N3026" s="5"/>
      <c r="O3026" s="5"/>
    </row>
    <row r="3027">
      <c r="A3027" s="6"/>
      <c r="C3027" s="6"/>
      <c r="L3027" s="7"/>
      <c r="M3027" s="5"/>
      <c r="N3027" s="5"/>
      <c r="O3027" s="5"/>
    </row>
    <row r="3028">
      <c r="A3028" s="6"/>
      <c r="C3028" s="6"/>
      <c r="L3028" s="7"/>
      <c r="M3028" s="5"/>
      <c r="N3028" s="5"/>
      <c r="O3028" s="5"/>
    </row>
    <row r="3029">
      <c r="A3029" s="6"/>
      <c r="C3029" s="6"/>
      <c r="L3029" s="7"/>
      <c r="M3029" s="5"/>
      <c r="N3029" s="5"/>
      <c r="O3029" s="5"/>
    </row>
    <row r="3030">
      <c r="A3030" s="6"/>
      <c r="C3030" s="6"/>
      <c r="L3030" s="7"/>
      <c r="M3030" s="5"/>
      <c r="N3030" s="5"/>
      <c r="O3030" s="5"/>
    </row>
    <row r="3031">
      <c r="A3031" s="6"/>
      <c r="C3031" s="6"/>
      <c r="L3031" s="7"/>
      <c r="M3031" s="5"/>
      <c r="N3031" s="5"/>
      <c r="O3031" s="5"/>
    </row>
    <row r="3032">
      <c r="A3032" s="6"/>
      <c r="C3032" s="6"/>
      <c r="L3032" s="7"/>
      <c r="M3032" s="5"/>
      <c r="N3032" s="5"/>
      <c r="O3032" s="5"/>
    </row>
    <row r="3033">
      <c r="A3033" s="6"/>
      <c r="C3033" s="6"/>
      <c r="L3033" s="7"/>
      <c r="M3033" s="5"/>
      <c r="N3033" s="5"/>
      <c r="O3033" s="5"/>
    </row>
    <row r="3034">
      <c r="A3034" s="6"/>
      <c r="C3034" s="6"/>
      <c r="L3034" s="7"/>
      <c r="M3034" s="5"/>
      <c r="N3034" s="5"/>
      <c r="O3034" s="5"/>
    </row>
    <row r="3035">
      <c r="A3035" s="6"/>
      <c r="C3035" s="6"/>
      <c r="L3035" s="7"/>
      <c r="M3035" s="5"/>
      <c r="N3035" s="5"/>
      <c r="O3035" s="5"/>
    </row>
    <row r="3036">
      <c r="A3036" s="6"/>
      <c r="C3036" s="6"/>
      <c r="L3036" s="7"/>
      <c r="M3036" s="5"/>
      <c r="N3036" s="5"/>
      <c r="O3036" s="5"/>
    </row>
    <row r="3037">
      <c r="A3037" s="6"/>
      <c r="C3037" s="6"/>
      <c r="L3037" s="7"/>
      <c r="M3037" s="5"/>
      <c r="N3037" s="5"/>
      <c r="O3037" s="5"/>
    </row>
    <row r="3038">
      <c r="A3038" s="6"/>
      <c r="C3038" s="6"/>
      <c r="L3038" s="7"/>
      <c r="M3038" s="5"/>
      <c r="N3038" s="5"/>
      <c r="O3038" s="5"/>
    </row>
    <row r="3039">
      <c r="A3039" s="6"/>
      <c r="C3039" s="6"/>
      <c r="L3039" s="7"/>
      <c r="M3039" s="5"/>
      <c r="N3039" s="5"/>
      <c r="O3039" s="5"/>
    </row>
    <row r="3040">
      <c r="A3040" s="6"/>
      <c r="C3040" s="6"/>
      <c r="L3040" s="7"/>
      <c r="M3040" s="5"/>
      <c r="N3040" s="5"/>
      <c r="O3040" s="5"/>
    </row>
    <row r="3041">
      <c r="A3041" s="6"/>
      <c r="C3041" s="6"/>
      <c r="L3041" s="7"/>
      <c r="M3041" s="5"/>
      <c r="N3041" s="5"/>
      <c r="O3041" s="5"/>
    </row>
    <row r="3042">
      <c r="A3042" s="6"/>
      <c r="C3042" s="6"/>
      <c r="L3042" s="7"/>
      <c r="M3042" s="5"/>
      <c r="N3042" s="5"/>
      <c r="O3042" s="5"/>
    </row>
    <row r="3043">
      <c r="A3043" s="6"/>
      <c r="C3043" s="6"/>
      <c r="L3043" s="7"/>
      <c r="M3043" s="5"/>
      <c r="N3043" s="5"/>
      <c r="O3043" s="5"/>
    </row>
    <row r="3044">
      <c r="A3044" s="6"/>
      <c r="C3044" s="6"/>
      <c r="L3044" s="7"/>
      <c r="M3044" s="5"/>
      <c r="N3044" s="5"/>
      <c r="O3044" s="5"/>
    </row>
    <row r="3045">
      <c r="A3045" s="6"/>
      <c r="C3045" s="6"/>
      <c r="L3045" s="7"/>
      <c r="M3045" s="5"/>
      <c r="N3045" s="5"/>
      <c r="O3045" s="5"/>
    </row>
    <row r="3046">
      <c r="A3046" s="6"/>
      <c r="C3046" s="6"/>
      <c r="L3046" s="7"/>
      <c r="M3046" s="5"/>
      <c r="N3046" s="5"/>
      <c r="O3046" s="5"/>
    </row>
    <row r="3047">
      <c r="A3047" s="6"/>
      <c r="C3047" s="6"/>
      <c r="L3047" s="7"/>
      <c r="M3047" s="5"/>
      <c r="N3047" s="5"/>
      <c r="O3047" s="5"/>
    </row>
    <row r="3048">
      <c r="A3048" s="6"/>
      <c r="C3048" s="6"/>
      <c r="L3048" s="7"/>
      <c r="M3048" s="5"/>
      <c r="N3048" s="5"/>
      <c r="O3048" s="5"/>
    </row>
    <row r="3049">
      <c r="A3049" s="6"/>
      <c r="C3049" s="6"/>
      <c r="L3049" s="7"/>
      <c r="M3049" s="5"/>
      <c r="N3049" s="5"/>
      <c r="O3049" s="5"/>
    </row>
    <row r="3050">
      <c r="A3050" s="6"/>
      <c r="C3050" s="6"/>
      <c r="L3050" s="7"/>
      <c r="M3050" s="5"/>
      <c r="N3050" s="5"/>
      <c r="O3050" s="5"/>
    </row>
    <row r="3051">
      <c r="A3051" s="6"/>
      <c r="C3051" s="6"/>
      <c r="L3051" s="7"/>
      <c r="M3051" s="5"/>
      <c r="N3051" s="5"/>
      <c r="O3051" s="5"/>
    </row>
    <row r="3052">
      <c r="A3052" s="6"/>
      <c r="C3052" s="6"/>
      <c r="L3052" s="7"/>
      <c r="M3052" s="5"/>
      <c r="N3052" s="5"/>
      <c r="O3052" s="5"/>
    </row>
    <row r="3053">
      <c r="A3053" s="6"/>
      <c r="C3053" s="6"/>
      <c r="L3053" s="7"/>
      <c r="M3053" s="5"/>
      <c r="N3053" s="5"/>
      <c r="O3053" s="5"/>
    </row>
    <row r="3054">
      <c r="A3054" s="6"/>
      <c r="C3054" s="6"/>
      <c r="L3054" s="7"/>
      <c r="M3054" s="5"/>
      <c r="N3054" s="5"/>
      <c r="O3054" s="5"/>
    </row>
    <row r="3055">
      <c r="A3055" s="6"/>
      <c r="C3055" s="6"/>
      <c r="L3055" s="7"/>
      <c r="M3055" s="5"/>
      <c r="N3055" s="5"/>
      <c r="O3055" s="5"/>
    </row>
    <row r="3056">
      <c r="A3056" s="6"/>
      <c r="C3056" s="6"/>
      <c r="L3056" s="7"/>
      <c r="M3056" s="5"/>
      <c r="N3056" s="5"/>
      <c r="O3056" s="5"/>
    </row>
    <row r="3057">
      <c r="A3057" s="6"/>
      <c r="C3057" s="6"/>
      <c r="L3057" s="7"/>
      <c r="M3057" s="5"/>
      <c r="N3057" s="5"/>
      <c r="O3057" s="5"/>
    </row>
    <row r="3058">
      <c r="A3058" s="6"/>
      <c r="C3058" s="6"/>
      <c r="L3058" s="7"/>
      <c r="M3058" s="5"/>
      <c r="N3058" s="5"/>
      <c r="O3058" s="5"/>
    </row>
    <row r="3059">
      <c r="A3059" s="6"/>
      <c r="C3059" s="6"/>
      <c r="L3059" s="7"/>
      <c r="M3059" s="5"/>
      <c r="N3059" s="5"/>
      <c r="O3059" s="5"/>
    </row>
    <row r="3060">
      <c r="A3060" s="6"/>
      <c r="C3060" s="6"/>
      <c r="L3060" s="7"/>
      <c r="M3060" s="5"/>
      <c r="N3060" s="5"/>
      <c r="O3060" s="5"/>
    </row>
    <row r="3061">
      <c r="A3061" s="6"/>
      <c r="C3061" s="6"/>
      <c r="L3061" s="7"/>
      <c r="M3061" s="5"/>
      <c r="N3061" s="5"/>
      <c r="O3061" s="5"/>
    </row>
    <row r="3062">
      <c r="A3062" s="6"/>
      <c r="C3062" s="6"/>
      <c r="L3062" s="7"/>
      <c r="M3062" s="5"/>
      <c r="N3062" s="5"/>
      <c r="O3062" s="5"/>
    </row>
    <row r="3063">
      <c r="A3063" s="6"/>
      <c r="C3063" s="6"/>
      <c r="L3063" s="7"/>
      <c r="M3063" s="5"/>
      <c r="N3063" s="5"/>
      <c r="O3063" s="5"/>
    </row>
    <row r="3064">
      <c r="A3064" s="6"/>
      <c r="C3064" s="6"/>
      <c r="L3064" s="7"/>
      <c r="M3064" s="5"/>
      <c r="N3064" s="5"/>
      <c r="O3064" s="5"/>
    </row>
    <row r="3065">
      <c r="A3065" s="6"/>
      <c r="C3065" s="6"/>
      <c r="L3065" s="7"/>
      <c r="M3065" s="5"/>
      <c r="N3065" s="5"/>
      <c r="O3065" s="5"/>
    </row>
    <row r="3066">
      <c r="A3066" s="6"/>
      <c r="C3066" s="6"/>
      <c r="L3066" s="7"/>
      <c r="M3066" s="5"/>
      <c r="N3066" s="5"/>
      <c r="O3066" s="5"/>
    </row>
    <row r="3067">
      <c r="A3067" s="6"/>
      <c r="C3067" s="6"/>
      <c r="L3067" s="7"/>
      <c r="M3067" s="5"/>
      <c r="N3067" s="5"/>
      <c r="O3067" s="5"/>
    </row>
    <row r="3068">
      <c r="A3068" s="6"/>
      <c r="C3068" s="6"/>
      <c r="L3068" s="7"/>
      <c r="M3068" s="5"/>
      <c r="N3068" s="5"/>
      <c r="O3068" s="5"/>
    </row>
    <row r="3069">
      <c r="A3069" s="6"/>
      <c r="C3069" s="6"/>
      <c r="L3069" s="7"/>
      <c r="M3069" s="5"/>
      <c r="N3069" s="5"/>
      <c r="O3069" s="5"/>
    </row>
    <row r="3070">
      <c r="A3070" s="6"/>
      <c r="C3070" s="6"/>
      <c r="L3070" s="7"/>
      <c r="M3070" s="5"/>
      <c r="N3070" s="5"/>
      <c r="O3070" s="5"/>
    </row>
    <row r="3071">
      <c r="A3071" s="6"/>
      <c r="C3071" s="6"/>
      <c r="L3071" s="7"/>
      <c r="M3071" s="5"/>
      <c r="N3071" s="5"/>
      <c r="O3071" s="5"/>
    </row>
    <row r="3072">
      <c r="A3072" s="6"/>
      <c r="C3072" s="6"/>
      <c r="L3072" s="7"/>
      <c r="M3072" s="5"/>
      <c r="N3072" s="5"/>
      <c r="O3072" s="5"/>
    </row>
    <row r="3073">
      <c r="A3073" s="6"/>
      <c r="C3073" s="6"/>
      <c r="L3073" s="7"/>
      <c r="M3073" s="5"/>
      <c r="N3073" s="5"/>
      <c r="O3073" s="5"/>
    </row>
    <row r="3074">
      <c r="A3074" s="6"/>
      <c r="C3074" s="6"/>
      <c r="L3074" s="7"/>
      <c r="M3074" s="5"/>
      <c r="N3074" s="5"/>
      <c r="O3074" s="5"/>
    </row>
    <row r="3075">
      <c r="A3075" s="6"/>
      <c r="C3075" s="6"/>
      <c r="L3075" s="7"/>
      <c r="M3075" s="5"/>
      <c r="N3075" s="5"/>
      <c r="O3075" s="5"/>
    </row>
    <row r="3076">
      <c r="A3076" s="6"/>
      <c r="C3076" s="6"/>
      <c r="L3076" s="7"/>
      <c r="M3076" s="5"/>
      <c r="N3076" s="5"/>
      <c r="O3076" s="5"/>
    </row>
    <row r="3077">
      <c r="A3077" s="6"/>
      <c r="C3077" s="6"/>
      <c r="L3077" s="7"/>
      <c r="M3077" s="5"/>
      <c r="N3077" s="5"/>
      <c r="O3077" s="5"/>
    </row>
    <row r="3078">
      <c r="A3078" s="6"/>
      <c r="C3078" s="6"/>
      <c r="L3078" s="7"/>
      <c r="M3078" s="5"/>
      <c r="N3078" s="5"/>
      <c r="O3078" s="5"/>
    </row>
    <row r="3079">
      <c r="A3079" s="6"/>
      <c r="C3079" s="6"/>
      <c r="L3079" s="7"/>
      <c r="M3079" s="5"/>
      <c r="N3079" s="5"/>
      <c r="O3079" s="5"/>
    </row>
    <row r="3080">
      <c r="A3080" s="6"/>
      <c r="C3080" s="6"/>
      <c r="L3080" s="7"/>
      <c r="M3080" s="5"/>
      <c r="N3080" s="5"/>
      <c r="O3080" s="5"/>
    </row>
    <row r="3081">
      <c r="A3081" s="6"/>
      <c r="C3081" s="6"/>
      <c r="L3081" s="7"/>
      <c r="M3081" s="5"/>
      <c r="N3081" s="5"/>
      <c r="O3081" s="5"/>
    </row>
    <row r="3082">
      <c r="A3082" s="6"/>
      <c r="C3082" s="6"/>
      <c r="L3082" s="7"/>
      <c r="M3082" s="5"/>
      <c r="N3082" s="5"/>
      <c r="O3082" s="5"/>
    </row>
    <row r="3083">
      <c r="A3083" s="6"/>
      <c r="C3083" s="6"/>
      <c r="L3083" s="7"/>
      <c r="M3083" s="5"/>
      <c r="N3083" s="5"/>
      <c r="O3083" s="5"/>
    </row>
    <row r="3084">
      <c r="A3084" s="6"/>
      <c r="C3084" s="6"/>
      <c r="L3084" s="7"/>
      <c r="M3084" s="5"/>
      <c r="N3084" s="5"/>
      <c r="O3084" s="5"/>
    </row>
    <row r="3085">
      <c r="A3085" s="6"/>
      <c r="C3085" s="6"/>
      <c r="L3085" s="7"/>
      <c r="M3085" s="5"/>
      <c r="N3085" s="5"/>
      <c r="O3085" s="5"/>
    </row>
    <row r="3086">
      <c r="A3086" s="6"/>
      <c r="C3086" s="6"/>
      <c r="L3086" s="7"/>
      <c r="M3086" s="5"/>
      <c r="N3086" s="5"/>
      <c r="O3086" s="5"/>
    </row>
    <row r="3087">
      <c r="A3087" s="6"/>
      <c r="C3087" s="6"/>
      <c r="L3087" s="7"/>
      <c r="M3087" s="5"/>
      <c r="N3087" s="5"/>
      <c r="O3087" s="5"/>
    </row>
    <row r="3088">
      <c r="A3088" s="6"/>
      <c r="C3088" s="6"/>
      <c r="L3088" s="7"/>
      <c r="M3088" s="5"/>
      <c r="N3088" s="5"/>
      <c r="O3088" s="5"/>
    </row>
    <row r="3089">
      <c r="A3089" s="6"/>
      <c r="C3089" s="6"/>
      <c r="L3089" s="7"/>
      <c r="M3089" s="5"/>
      <c r="N3089" s="5"/>
      <c r="O3089" s="5"/>
    </row>
    <row r="3090">
      <c r="A3090" s="6"/>
      <c r="C3090" s="6"/>
      <c r="L3090" s="7"/>
      <c r="M3090" s="5"/>
      <c r="N3090" s="5"/>
      <c r="O3090" s="5"/>
    </row>
    <row r="3091">
      <c r="A3091" s="6"/>
      <c r="C3091" s="6"/>
      <c r="L3091" s="7"/>
      <c r="M3091" s="5"/>
      <c r="N3091" s="5"/>
      <c r="O3091" s="5"/>
    </row>
    <row r="3092">
      <c r="A3092" s="6"/>
      <c r="C3092" s="6"/>
      <c r="L3092" s="7"/>
      <c r="M3092" s="5"/>
      <c r="N3092" s="5"/>
      <c r="O3092" s="5"/>
    </row>
    <row r="3093">
      <c r="A3093" s="6"/>
      <c r="C3093" s="6"/>
      <c r="L3093" s="7"/>
      <c r="M3093" s="5"/>
      <c r="N3093" s="5"/>
      <c r="O3093" s="5"/>
    </row>
    <row r="3094">
      <c r="A3094" s="6"/>
      <c r="C3094" s="6"/>
      <c r="L3094" s="7"/>
      <c r="M3094" s="5"/>
      <c r="N3094" s="5"/>
      <c r="O3094" s="5"/>
    </row>
    <row r="3095">
      <c r="A3095" s="6"/>
      <c r="C3095" s="6"/>
      <c r="L3095" s="7"/>
      <c r="M3095" s="5"/>
      <c r="N3095" s="5"/>
      <c r="O3095" s="5"/>
    </row>
    <row r="3096">
      <c r="A3096" s="6"/>
      <c r="C3096" s="6"/>
      <c r="L3096" s="7"/>
      <c r="M3096" s="5"/>
      <c r="N3096" s="5"/>
      <c r="O3096" s="5"/>
    </row>
    <row r="3097">
      <c r="A3097" s="6"/>
      <c r="C3097" s="6"/>
      <c r="L3097" s="7"/>
      <c r="M3097" s="5"/>
      <c r="N3097" s="5"/>
      <c r="O3097" s="5"/>
    </row>
    <row r="3098">
      <c r="A3098" s="6"/>
      <c r="C3098" s="6"/>
      <c r="L3098" s="7"/>
      <c r="M3098" s="5"/>
      <c r="N3098" s="5"/>
      <c r="O3098" s="5"/>
    </row>
    <row r="3099">
      <c r="A3099" s="6"/>
      <c r="C3099" s="6"/>
      <c r="L3099" s="7"/>
      <c r="M3099" s="5"/>
      <c r="N3099" s="5"/>
      <c r="O3099" s="5"/>
    </row>
    <row r="3100">
      <c r="A3100" s="6"/>
      <c r="C3100" s="6"/>
      <c r="L3100" s="7"/>
      <c r="M3100" s="5"/>
      <c r="N3100" s="5"/>
      <c r="O3100" s="5"/>
    </row>
    <row r="3101">
      <c r="A3101" s="6"/>
      <c r="C3101" s="6"/>
      <c r="L3101" s="7"/>
      <c r="M3101" s="5"/>
      <c r="N3101" s="5"/>
      <c r="O3101" s="5"/>
    </row>
    <row r="3102">
      <c r="A3102" s="6"/>
      <c r="C3102" s="6"/>
      <c r="L3102" s="7"/>
      <c r="M3102" s="5"/>
      <c r="N3102" s="5"/>
      <c r="O3102" s="5"/>
    </row>
    <row r="3103">
      <c r="A3103" s="6"/>
      <c r="C3103" s="6"/>
      <c r="L3103" s="7"/>
      <c r="M3103" s="5"/>
      <c r="N3103" s="5"/>
      <c r="O3103" s="5"/>
    </row>
    <row r="3104">
      <c r="A3104" s="6"/>
      <c r="C3104" s="6"/>
      <c r="L3104" s="7"/>
      <c r="M3104" s="5"/>
      <c r="N3104" s="5"/>
      <c r="O3104" s="5"/>
    </row>
    <row r="3105">
      <c r="A3105" s="6"/>
      <c r="C3105" s="6"/>
      <c r="L3105" s="7"/>
      <c r="M3105" s="5"/>
      <c r="N3105" s="5"/>
      <c r="O3105" s="5"/>
    </row>
    <row r="3106">
      <c r="A3106" s="6"/>
      <c r="C3106" s="6"/>
      <c r="L3106" s="7"/>
      <c r="M3106" s="5"/>
      <c r="N3106" s="5"/>
      <c r="O3106" s="5"/>
    </row>
    <row r="3107">
      <c r="A3107" s="6"/>
      <c r="C3107" s="6"/>
      <c r="L3107" s="7"/>
      <c r="M3107" s="5"/>
      <c r="N3107" s="5"/>
      <c r="O3107" s="5"/>
    </row>
    <row r="3108">
      <c r="A3108" s="6"/>
      <c r="C3108" s="6"/>
      <c r="L3108" s="7"/>
      <c r="M3108" s="5"/>
      <c r="N3108" s="5"/>
      <c r="O3108" s="5"/>
    </row>
    <row r="3109">
      <c r="A3109" s="6"/>
      <c r="C3109" s="6"/>
      <c r="L3109" s="7"/>
      <c r="M3109" s="5"/>
      <c r="N3109" s="5"/>
      <c r="O3109" s="5"/>
    </row>
    <row r="3110">
      <c r="A3110" s="6"/>
      <c r="C3110" s="6"/>
      <c r="L3110" s="7"/>
      <c r="M3110" s="5"/>
      <c r="N3110" s="5"/>
      <c r="O3110" s="5"/>
    </row>
    <row r="3111">
      <c r="A3111" s="6"/>
      <c r="C3111" s="6"/>
      <c r="L3111" s="7"/>
      <c r="M3111" s="5"/>
      <c r="N3111" s="5"/>
      <c r="O3111" s="5"/>
    </row>
    <row r="3112">
      <c r="A3112" s="6"/>
      <c r="C3112" s="6"/>
      <c r="L3112" s="7"/>
      <c r="M3112" s="5"/>
      <c r="N3112" s="5"/>
      <c r="O3112" s="5"/>
    </row>
    <row r="3113">
      <c r="A3113" s="6"/>
      <c r="C3113" s="6"/>
      <c r="L3113" s="7"/>
      <c r="M3113" s="5"/>
      <c r="N3113" s="5"/>
      <c r="O3113" s="5"/>
    </row>
    <row r="3114">
      <c r="A3114" s="6"/>
      <c r="C3114" s="6"/>
      <c r="L3114" s="7"/>
      <c r="M3114" s="5"/>
      <c r="N3114" s="5"/>
      <c r="O3114" s="5"/>
    </row>
    <row r="3115">
      <c r="A3115" s="6"/>
      <c r="C3115" s="6"/>
      <c r="L3115" s="7"/>
      <c r="M3115" s="5"/>
      <c r="N3115" s="5"/>
      <c r="O3115" s="5"/>
    </row>
    <row r="3116">
      <c r="A3116" s="6"/>
      <c r="C3116" s="6"/>
      <c r="L3116" s="7"/>
      <c r="M3116" s="5"/>
      <c r="N3116" s="5"/>
      <c r="O3116" s="5"/>
    </row>
    <row r="3117">
      <c r="A3117" s="6"/>
      <c r="C3117" s="6"/>
      <c r="L3117" s="7"/>
      <c r="M3117" s="5"/>
      <c r="N3117" s="5"/>
      <c r="O3117" s="5"/>
    </row>
    <row r="3118">
      <c r="A3118" s="6"/>
      <c r="C3118" s="6"/>
      <c r="L3118" s="7"/>
      <c r="M3118" s="5"/>
      <c r="N3118" s="5"/>
      <c r="O3118" s="5"/>
    </row>
    <row r="3119">
      <c r="A3119" s="6"/>
      <c r="C3119" s="6"/>
      <c r="L3119" s="7"/>
      <c r="M3119" s="5"/>
      <c r="N3119" s="5"/>
      <c r="O3119" s="5"/>
    </row>
    <row r="3120">
      <c r="A3120" s="6"/>
      <c r="C3120" s="6"/>
      <c r="L3120" s="7"/>
      <c r="M3120" s="5"/>
      <c r="N3120" s="5"/>
      <c r="O3120" s="5"/>
    </row>
    <row r="3121">
      <c r="A3121" s="6"/>
      <c r="C3121" s="6"/>
      <c r="L3121" s="7"/>
      <c r="M3121" s="5"/>
      <c r="N3121" s="5"/>
      <c r="O3121" s="5"/>
    </row>
    <row r="3122">
      <c r="A3122" s="6"/>
      <c r="C3122" s="6"/>
      <c r="L3122" s="7"/>
      <c r="M3122" s="5"/>
      <c r="N3122" s="5"/>
      <c r="O3122" s="5"/>
    </row>
    <row r="3123">
      <c r="A3123" s="6"/>
      <c r="C3123" s="6"/>
      <c r="L3123" s="7"/>
      <c r="M3123" s="5"/>
      <c r="N3123" s="5"/>
      <c r="O3123" s="5"/>
    </row>
    <row r="3124">
      <c r="A3124" s="6"/>
      <c r="C3124" s="6"/>
      <c r="L3124" s="7"/>
      <c r="M3124" s="5"/>
      <c r="N3124" s="5"/>
      <c r="O3124" s="5"/>
    </row>
    <row r="3125">
      <c r="A3125" s="6"/>
      <c r="C3125" s="6"/>
      <c r="L3125" s="7"/>
      <c r="M3125" s="5"/>
      <c r="N3125" s="5"/>
      <c r="O3125" s="5"/>
    </row>
    <row r="3126">
      <c r="A3126" s="6"/>
      <c r="C3126" s="6"/>
      <c r="L3126" s="7"/>
      <c r="M3126" s="5"/>
      <c r="N3126" s="5"/>
      <c r="O3126" s="5"/>
    </row>
    <row r="3127">
      <c r="A3127" s="6"/>
      <c r="C3127" s="6"/>
      <c r="L3127" s="7"/>
      <c r="M3127" s="5"/>
      <c r="N3127" s="5"/>
      <c r="O3127" s="5"/>
    </row>
    <row r="3128">
      <c r="A3128" s="6"/>
      <c r="C3128" s="6"/>
      <c r="L3128" s="7"/>
      <c r="M3128" s="5"/>
      <c r="N3128" s="5"/>
      <c r="O3128" s="5"/>
    </row>
    <row r="3129">
      <c r="A3129" s="6"/>
      <c r="C3129" s="6"/>
      <c r="L3129" s="7"/>
      <c r="M3129" s="5"/>
      <c r="N3129" s="5"/>
      <c r="O3129" s="5"/>
    </row>
    <row r="3130">
      <c r="A3130" s="6"/>
      <c r="C3130" s="6"/>
      <c r="L3130" s="7"/>
      <c r="M3130" s="5"/>
      <c r="N3130" s="5"/>
      <c r="O3130" s="5"/>
    </row>
    <row r="3131">
      <c r="A3131" s="6"/>
      <c r="C3131" s="6"/>
      <c r="L3131" s="7"/>
      <c r="M3131" s="5"/>
      <c r="N3131" s="5"/>
      <c r="O3131" s="5"/>
    </row>
    <row r="3132">
      <c r="A3132" s="6"/>
      <c r="C3132" s="6"/>
      <c r="L3132" s="7"/>
      <c r="M3132" s="5"/>
      <c r="N3132" s="5"/>
      <c r="O3132" s="5"/>
    </row>
    <row r="3133">
      <c r="A3133" s="6"/>
      <c r="C3133" s="6"/>
      <c r="L3133" s="7"/>
      <c r="M3133" s="5"/>
      <c r="N3133" s="5"/>
      <c r="O3133" s="5"/>
    </row>
    <row r="3134">
      <c r="A3134" s="6"/>
      <c r="C3134" s="6"/>
      <c r="L3134" s="7"/>
      <c r="M3134" s="5"/>
      <c r="N3134" s="5"/>
      <c r="O3134" s="5"/>
    </row>
    <row r="3135">
      <c r="A3135" s="6"/>
      <c r="C3135" s="6"/>
      <c r="L3135" s="7"/>
      <c r="M3135" s="5"/>
      <c r="N3135" s="5"/>
      <c r="O3135" s="5"/>
    </row>
    <row r="3136">
      <c r="A3136" s="6"/>
      <c r="C3136" s="6"/>
      <c r="L3136" s="7"/>
      <c r="M3136" s="5"/>
      <c r="N3136" s="5"/>
      <c r="O3136" s="5"/>
    </row>
    <row r="3137">
      <c r="A3137" s="6"/>
      <c r="C3137" s="6"/>
      <c r="L3137" s="7"/>
      <c r="M3137" s="5"/>
      <c r="N3137" s="5"/>
      <c r="O3137" s="5"/>
    </row>
    <row r="3138">
      <c r="A3138" s="6"/>
      <c r="C3138" s="6"/>
      <c r="L3138" s="7"/>
      <c r="M3138" s="5"/>
      <c r="N3138" s="5"/>
      <c r="O3138" s="5"/>
    </row>
    <row r="3139">
      <c r="A3139" s="6"/>
      <c r="C3139" s="6"/>
      <c r="L3139" s="7"/>
      <c r="M3139" s="5"/>
      <c r="N3139" s="5"/>
      <c r="O3139" s="5"/>
    </row>
    <row r="3140">
      <c r="A3140" s="6"/>
      <c r="C3140" s="6"/>
      <c r="L3140" s="7"/>
      <c r="M3140" s="5"/>
      <c r="N3140" s="5"/>
      <c r="O3140" s="5"/>
    </row>
    <row r="3141">
      <c r="A3141" s="6"/>
      <c r="C3141" s="6"/>
      <c r="L3141" s="7"/>
      <c r="M3141" s="5"/>
      <c r="N3141" s="5"/>
      <c r="O3141" s="5"/>
    </row>
    <row r="3142">
      <c r="A3142" s="6"/>
      <c r="C3142" s="6"/>
      <c r="L3142" s="7"/>
      <c r="M3142" s="5"/>
      <c r="N3142" s="5"/>
      <c r="O3142" s="5"/>
    </row>
    <row r="3143">
      <c r="A3143" s="6"/>
      <c r="C3143" s="6"/>
      <c r="L3143" s="7"/>
      <c r="M3143" s="5"/>
      <c r="N3143" s="5"/>
      <c r="O3143" s="5"/>
    </row>
    <row r="3144">
      <c r="A3144" s="6"/>
      <c r="C3144" s="6"/>
      <c r="L3144" s="7"/>
      <c r="M3144" s="5"/>
      <c r="N3144" s="5"/>
      <c r="O3144" s="5"/>
    </row>
    <row r="3145">
      <c r="A3145" s="6"/>
      <c r="C3145" s="6"/>
      <c r="L3145" s="7"/>
      <c r="M3145" s="5"/>
      <c r="N3145" s="5"/>
      <c r="O3145" s="5"/>
    </row>
    <row r="3146">
      <c r="A3146" s="6"/>
      <c r="C3146" s="6"/>
      <c r="L3146" s="7"/>
      <c r="M3146" s="5"/>
      <c r="N3146" s="5"/>
      <c r="O3146" s="5"/>
    </row>
    <row r="3147">
      <c r="A3147" s="6"/>
      <c r="C3147" s="6"/>
      <c r="L3147" s="7"/>
      <c r="M3147" s="5"/>
      <c r="N3147" s="5"/>
      <c r="O3147" s="5"/>
    </row>
    <row r="3148">
      <c r="A3148" s="6"/>
      <c r="C3148" s="6"/>
      <c r="L3148" s="7"/>
      <c r="M3148" s="5"/>
      <c r="N3148" s="5"/>
      <c r="O3148" s="5"/>
    </row>
    <row r="3149">
      <c r="A3149" s="6"/>
      <c r="C3149" s="6"/>
      <c r="L3149" s="7"/>
      <c r="M3149" s="5"/>
      <c r="N3149" s="5"/>
      <c r="O3149" s="5"/>
    </row>
    <row r="3150">
      <c r="A3150" s="6"/>
      <c r="C3150" s="6"/>
      <c r="L3150" s="7"/>
      <c r="M3150" s="5"/>
      <c r="N3150" s="5"/>
      <c r="O3150" s="5"/>
    </row>
    <row r="3151">
      <c r="A3151" s="6"/>
      <c r="C3151" s="6"/>
      <c r="L3151" s="7"/>
      <c r="M3151" s="5"/>
      <c r="N3151" s="5"/>
      <c r="O3151" s="5"/>
    </row>
    <row r="3152">
      <c r="A3152" s="6"/>
      <c r="C3152" s="6"/>
      <c r="L3152" s="7"/>
      <c r="M3152" s="5"/>
      <c r="N3152" s="5"/>
      <c r="O3152" s="5"/>
    </row>
    <row r="3153">
      <c r="A3153" s="6"/>
      <c r="C3153" s="6"/>
      <c r="L3153" s="7"/>
      <c r="M3153" s="5"/>
      <c r="N3153" s="5"/>
      <c r="O3153" s="5"/>
    </row>
    <row r="3154">
      <c r="A3154" s="6"/>
      <c r="C3154" s="6"/>
      <c r="L3154" s="7"/>
      <c r="M3154" s="5"/>
      <c r="N3154" s="5"/>
      <c r="O3154" s="5"/>
    </row>
    <row r="3155">
      <c r="A3155" s="6"/>
      <c r="C3155" s="6"/>
      <c r="L3155" s="7"/>
      <c r="M3155" s="5"/>
      <c r="N3155" s="5"/>
      <c r="O3155" s="5"/>
    </row>
    <row r="3156">
      <c r="A3156" s="6"/>
      <c r="C3156" s="6"/>
      <c r="L3156" s="7"/>
      <c r="M3156" s="5"/>
      <c r="N3156" s="5"/>
      <c r="O3156" s="5"/>
    </row>
    <row r="3157">
      <c r="A3157" s="6"/>
      <c r="C3157" s="6"/>
      <c r="L3157" s="7"/>
      <c r="M3157" s="5"/>
      <c r="N3157" s="5"/>
      <c r="O3157" s="5"/>
    </row>
    <row r="3158">
      <c r="A3158" s="6"/>
      <c r="C3158" s="6"/>
      <c r="L3158" s="7"/>
      <c r="M3158" s="5"/>
      <c r="N3158" s="5"/>
      <c r="O3158" s="5"/>
    </row>
    <row r="3159">
      <c r="A3159" s="6"/>
      <c r="C3159" s="6"/>
      <c r="L3159" s="7"/>
      <c r="M3159" s="5"/>
      <c r="N3159" s="5"/>
      <c r="O3159" s="5"/>
    </row>
    <row r="3160">
      <c r="A3160" s="6"/>
      <c r="C3160" s="6"/>
      <c r="L3160" s="7"/>
      <c r="M3160" s="5"/>
      <c r="N3160" s="5"/>
      <c r="O3160" s="5"/>
    </row>
    <row r="3161">
      <c r="A3161" s="6"/>
      <c r="C3161" s="6"/>
      <c r="L3161" s="7"/>
      <c r="M3161" s="5"/>
      <c r="N3161" s="5"/>
      <c r="O3161" s="5"/>
    </row>
    <row r="3162">
      <c r="A3162" s="6"/>
      <c r="C3162" s="6"/>
      <c r="L3162" s="7"/>
      <c r="M3162" s="5"/>
      <c r="N3162" s="5"/>
      <c r="O3162" s="5"/>
    </row>
    <row r="3163">
      <c r="A3163" s="6"/>
      <c r="C3163" s="6"/>
      <c r="L3163" s="7"/>
      <c r="M3163" s="5"/>
      <c r="N3163" s="5"/>
      <c r="O3163" s="5"/>
    </row>
    <row r="3164">
      <c r="A3164" s="6"/>
      <c r="C3164" s="6"/>
      <c r="L3164" s="7"/>
      <c r="M3164" s="5"/>
      <c r="N3164" s="5"/>
      <c r="O3164" s="5"/>
    </row>
    <row r="3165">
      <c r="A3165" s="6"/>
      <c r="C3165" s="6"/>
      <c r="L3165" s="7"/>
      <c r="M3165" s="5"/>
      <c r="N3165" s="5"/>
      <c r="O3165" s="5"/>
    </row>
    <row r="3166">
      <c r="A3166" s="6"/>
      <c r="C3166" s="6"/>
      <c r="L3166" s="7"/>
      <c r="M3166" s="5"/>
      <c r="N3166" s="5"/>
      <c r="O3166" s="5"/>
    </row>
    <row r="3167">
      <c r="A3167" s="6"/>
      <c r="C3167" s="6"/>
      <c r="L3167" s="7"/>
      <c r="M3167" s="5"/>
      <c r="N3167" s="5"/>
      <c r="O3167" s="5"/>
    </row>
    <row r="3168">
      <c r="A3168" s="6"/>
      <c r="C3168" s="6"/>
      <c r="L3168" s="7"/>
      <c r="M3168" s="5"/>
      <c r="N3168" s="5"/>
      <c r="O3168" s="5"/>
    </row>
    <row r="3169">
      <c r="A3169" s="6"/>
      <c r="C3169" s="6"/>
      <c r="L3169" s="7"/>
      <c r="M3169" s="5"/>
      <c r="N3169" s="5"/>
      <c r="O3169" s="5"/>
    </row>
    <row r="3170">
      <c r="A3170" s="6"/>
      <c r="C3170" s="6"/>
      <c r="L3170" s="7"/>
      <c r="M3170" s="5"/>
      <c r="N3170" s="5"/>
      <c r="O3170" s="5"/>
    </row>
    <row r="3171">
      <c r="A3171" s="6"/>
      <c r="C3171" s="6"/>
      <c r="L3171" s="7"/>
      <c r="M3171" s="5"/>
      <c r="N3171" s="5"/>
      <c r="O3171" s="5"/>
    </row>
    <row r="3172">
      <c r="A3172" s="6"/>
      <c r="C3172" s="6"/>
      <c r="L3172" s="7"/>
      <c r="M3172" s="5"/>
      <c r="N3172" s="5"/>
      <c r="O3172" s="5"/>
    </row>
    <row r="3173">
      <c r="A3173" s="6"/>
      <c r="C3173" s="6"/>
      <c r="L3173" s="7"/>
      <c r="M3173" s="5"/>
      <c r="N3173" s="5"/>
      <c r="O3173" s="5"/>
    </row>
    <row r="3174">
      <c r="A3174" s="6"/>
      <c r="C3174" s="6"/>
      <c r="L3174" s="7"/>
      <c r="M3174" s="5"/>
      <c r="N3174" s="5"/>
      <c r="O3174" s="5"/>
    </row>
    <row r="3175">
      <c r="A3175" s="6"/>
      <c r="C3175" s="6"/>
      <c r="L3175" s="7"/>
      <c r="M3175" s="5"/>
      <c r="N3175" s="5"/>
      <c r="O3175" s="5"/>
    </row>
    <row r="3176">
      <c r="A3176" s="6"/>
      <c r="C3176" s="6"/>
      <c r="L3176" s="7"/>
      <c r="M3176" s="5"/>
      <c r="N3176" s="5"/>
      <c r="O3176" s="5"/>
    </row>
    <row r="3177">
      <c r="A3177" s="6"/>
      <c r="C3177" s="6"/>
      <c r="L3177" s="7"/>
      <c r="M3177" s="5"/>
      <c r="N3177" s="5"/>
      <c r="O3177" s="5"/>
    </row>
    <row r="3178">
      <c r="A3178" s="6"/>
      <c r="C3178" s="6"/>
      <c r="L3178" s="7"/>
      <c r="M3178" s="5"/>
      <c r="N3178" s="5"/>
      <c r="O3178" s="5"/>
    </row>
    <row r="3179">
      <c r="A3179" s="6"/>
      <c r="C3179" s="6"/>
      <c r="L3179" s="7"/>
      <c r="M3179" s="5"/>
      <c r="N3179" s="5"/>
      <c r="O3179" s="5"/>
    </row>
    <row r="3180">
      <c r="A3180" s="6"/>
      <c r="C3180" s="6"/>
      <c r="L3180" s="7"/>
      <c r="M3180" s="5"/>
      <c r="N3180" s="5"/>
      <c r="O3180" s="5"/>
    </row>
    <row r="3181">
      <c r="A3181" s="6"/>
      <c r="C3181" s="6"/>
      <c r="L3181" s="7"/>
      <c r="M3181" s="5"/>
      <c r="N3181" s="5"/>
      <c r="O3181" s="5"/>
    </row>
    <row r="3182">
      <c r="A3182" s="6"/>
      <c r="C3182" s="6"/>
      <c r="L3182" s="7"/>
      <c r="M3182" s="5"/>
      <c r="N3182" s="5"/>
      <c r="O3182" s="5"/>
    </row>
    <row r="3183">
      <c r="A3183" s="6"/>
      <c r="C3183" s="6"/>
      <c r="L3183" s="7"/>
      <c r="M3183" s="5"/>
      <c r="N3183" s="5"/>
      <c r="O3183" s="5"/>
    </row>
    <row r="3184">
      <c r="A3184" s="6"/>
      <c r="C3184" s="6"/>
      <c r="L3184" s="7"/>
      <c r="M3184" s="5"/>
      <c r="N3184" s="5"/>
      <c r="O3184" s="5"/>
    </row>
    <row r="3185">
      <c r="A3185" s="6"/>
      <c r="C3185" s="6"/>
      <c r="L3185" s="7"/>
      <c r="M3185" s="5"/>
      <c r="N3185" s="5"/>
      <c r="O3185" s="5"/>
    </row>
    <row r="3186">
      <c r="A3186" s="6"/>
      <c r="C3186" s="6"/>
      <c r="L3186" s="7"/>
      <c r="M3186" s="5"/>
      <c r="N3186" s="5"/>
      <c r="O3186" s="5"/>
    </row>
    <row r="3187">
      <c r="A3187" s="6"/>
      <c r="C3187" s="6"/>
      <c r="L3187" s="7"/>
      <c r="M3187" s="5"/>
      <c r="N3187" s="5"/>
      <c r="O3187" s="5"/>
    </row>
    <row r="3188">
      <c r="A3188" s="6"/>
      <c r="C3188" s="6"/>
      <c r="L3188" s="7"/>
      <c r="M3188" s="5"/>
      <c r="N3188" s="5"/>
      <c r="O3188" s="5"/>
    </row>
    <row r="3189">
      <c r="A3189" s="6"/>
      <c r="C3189" s="6"/>
      <c r="L3189" s="7"/>
      <c r="M3189" s="5"/>
      <c r="N3189" s="5"/>
      <c r="O3189" s="5"/>
    </row>
    <row r="3190">
      <c r="A3190" s="6"/>
      <c r="C3190" s="6"/>
      <c r="L3190" s="7"/>
      <c r="M3190" s="5"/>
      <c r="N3190" s="5"/>
      <c r="O3190" s="5"/>
    </row>
    <row r="3191">
      <c r="A3191" s="6"/>
      <c r="C3191" s="6"/>
      <c r="L3191" s="7"/>
      <c r="M3191" s="5"/>
      <c r="N3191" s="5"/>
      <c r="O3191" s="5"/>
    </row>
    <row r="3192">
      <c r="A3192" s="6"/>
      <c r="C3192" s="6"/>
      <c r="L3192" s="7"/>
      <c r="M3192" s="5"/>
      <c r="N3192" s="5"/>
      <c r="O3192" s="5"/>
    </row>
    <row r="3193">
      <c r="A3193" s="6"/>
      <c r="C3193" s="6"/>
      <c r="L3193" s="7"/>
      <c r="M3193" s="5"/>
      <c r="N3193" s="5"/>
      <c r="O3193" s="5"/>
    </row>
    <row r="3194">
      <c r="A3194" s="6"/>
      <c r="C3194" s="6"/>
      <c r="L3194" s="7"/>
      <c r="M3194" s="5"/>
      <c r="N3194" s="5"/>
      <c r="O3194" s="5"/>
    </row>
    <row r="3195">
      <c r="A3195" s="6"/>
      <c r="C3195" s="6"/>
      <c r="L3195" s="7"/>
      <c r="M3195" s="5"/>
      <c r="N3195" s="5"/>
      <c r="O3195" s="5"/>
    </row>
    <row r="3196">
      <c r="A3196" s="6"/>
      <c r="C3196" s="6"/>
      <c r="L3196" s="7"/>
      <c r="M3196" s="5"/>
      <c r="N3196" s="5"/>
      <c r="O3196" s="5"/>
    </row>
    <row r="3197">
      <c r="A3197" s="6"/>
      <c r="C3197" s="6"/>
      <c r="L3197" s="7"/>
      <c r="M3197" s="5"/>
      <c r="N3197" s="5"/>
      <c r="O3197" s="5"/>
    </row>
    <row r="3198">
      <c r="A3198" s="6"/>
      <c r="C3198" s="6"/>
      <c r="L3198" s="7"/>
      <c r="M3198" s="5"/>
      <c r="N3198" s="5"/>
      <c r="O3198" s="5"/>
    </row>
    <row r="3199">
      <c r="A3199" s="6"/>
      <c r="C3199" s="6"/>
      <c r="L3199" s="7"/>
      <c r="M3199" s="5"/>
      <c r="N3199" s="5"/>
      <c r="O3199" s="5"/>
    </row>
    <row r="3200">
      <c r="A3200" s="6"/>
      <c r="C3200" s="6"/>
      <c r="L3200" s="7"/>
      <c r="M3200" s="5"/>
      <c r="N3200" s="5"/>
      <c r="O3200" s="5"/>
    </row>
    <row r="3201">
      <c r="A3201" s="6"/>
      <c r="C3201" s="6"/>
      <c r="L3201" s="7"/>
      <c r="M3201" s="5"/>
      <c r="N3201" s="5"/>
      <c r="O3201" s="5"/>
    </row>
    <row r="3202">
      <c r="A3202" s="6"/>
      <c r="C3202" s="6"/>
      <c r="L3202" s="7"/>
      <c r="M3202" s="5"/>
      <c r="N3202" s="5"/>
      <c r="O3202" s="5"/>
    </row>
    <row r="3203">
      <c r="A3203" s="6"/>
      <c r="C3203" s="6"/>
      <c r="L3203" s="7"/>
      <c r="M3203" s="5"/>
      <c r="N3203" s="5"/>
      <c r="O3203" s="5"/>
    </row>
    <row r="3204">
      <c r="A3204" s="6"/>
      <c r="C3204" s="6"/>
      <c r="L3204" s="7"/>
      <c r="M3204" s="5"/>
      <c r="N3204" s="5"/>
      <c r="O3204" s="5"/>
    </row>
    <row r="3205">
      <c r="A3205" s="6"/>
      <c r="C3205" s="6"/>
      <c r="L3205" s="7"/>
      <c r="M3205" s="5"/>
      <c r="N3205" s="5"/>
      <c r="O3205" s="5"/>
    </row>
    <row r="3206">
      <c r="A3206" s="6"/>
      <c r="C3206" s="6"/>
      <c r="L3206" s="7"/>
      <c r="M3206" s="5"/>
      <c r="N3206" s="5"/>
      <c r="O3206" s="5"/>
    </row>
    <row r="3207">
      <c r="A3207" s="6"/>
      <c r="C3207" s="6"/>
      <c r="L3207" s="7"/>
      <c r="M3207" s="5"/>
      <c r="N3207" s="5"/>
      <c r="O3207" s="5"/>
    </row>
    <row r="3208">
      <c r="A3208" s="6"/>
      <c r="C3208" s="6"/>
      <c r="L3208" s="7"/>
      <c r="M3208" s="5"/>
      <c r="N3208" s="5"/>
      <c r="O3208" s="5"/>
    </row>
    <row r="3209">
      <c r="A3209" s="6"/>
      <c r="C3209" s="6"/>
      <c r="L3209" s="7"/>
      <c r="M3209" s="5"/>
      <c r="N3209" s="5"/>
      <c r="O3209" s="5"/>
    </row>
    <row r="3210">
      <c r="A3210" s="6"/>
      <c r="C3210" s="6"/>
      <c r="L3210" s="7"/>
      <c r="M3210" s="5"/>
      <c r="N3210" s="5"/>
      <c r="O3210" s="5"/>
    </row>
    <row r="3211">
      <c r="A3211" s="6"/>
      <c r="C3211" s="6"/>
      <c r="L3211" s="7"/>
      <c r="M3211" s="5"/>
      <c r="N3211" s="5"/>
      <c r="O3211" s="5"/>
    </row>
    <row r="3212">
      <c r="A3212" s="6"/>
      <c r="C3212" s="6"/>
      <c r="L3212" s="7"/>
      <c r="M3212" s="5"/>
      <c r="N3212" s="5"/>
      <c r="O3212" s="5"/>
    </row>
    <row r="3213">
      <c r="A3213" s="6"/>
      <c r="C3213" s="6"/>
      <c r="L3213" s="7"/>
      <c r="M3213" s="5"/>
      <c r="N3213" s="5"/>
      <c r="O3213" s="5"/>
    </row>
    <row r="3214">
      <c r="A3214" s="6"/>
      <c r="C3214" s="6"/>
      <c r="L3214" s="7"/>
      <c r="M3214" s="5"/>
      <c r="N3214" s="5"/>
      <c r="O3214" s="5"/>
    </row>
    <row r="3215">
      <c r="A3215" s="6"/>
      <c r="C3215" s="6"/>
      <c r="L3215" s="7"/>
      <c r="M3215" s="5"/>
      <c r="N3215" s="5"/>
      <c r="O3215" s="5"/>
    </row>
    <row r="3216">
      <c r="A3216" s="6"/>
      <c r="C3216" s="6"/>
      <c r="L3216" s="7"/>
      <c r="M3216" s="5"/>
      <c r="N3216" s="5"/>
      <c r="O3216" s="5"/>
    </row>
    <row r="3217">
      <c r="A3217" s="6"/>
      <c r="C3217" s="6"/>
      <c r="L3217" s="7"/>
      <c r="M3217" s="5"/>
      <c r="N3217" s="5"/>
      <c r="O3217" s="5"/>
    </row>
    <row r="3218">
      <c r="A3218" s="6"/>
      <c r="C3218" s="6"/>
      <c r="L3218" s="7"/>
      <c r="M3218" s="5"/>
      <c r="N3218" s="5"/>
      <c r="O3218" s="5"/>
    </row>
    <row r="3219">
      <c r="A3219" s="6"/>
      <c r="C3219" s="6"/>
      <c r="L3219" s="7"/>
      <c r="M3219" s="5"/>
      <c r="N3219" s="5"/>
      <c r="O3219" s="5"/>
    </row>
    <row r="3220">
      <c r="A3220" s="6"/>
      <c r="C3220" s="6"/>
      <c r="L3220" s="7"/>
      <c r="M3220" s="5"/>
      <c r="N3220" s="5"/>
      <c r="O3220" s="5"/>
    </row>
    <row r="3221">
      <c r="A3221" s="6"/>
      <c r="C3221" s="6"/>
      <c r="L3221" s="7"/>
      <c r="M3221" s="5"/>
      <c r="N3221" s="5"/>
      <c r="O3221" s="5"/>
    </row>
    <row r="3222">
      <c r="A3222" s="6"/>
      <c r="C3222" s="6"/>
      <c r="L3222" s="7"/>
      <c r="M3222" s="5"/>
      <c r="N3222" s="5"/>
      <c r="O3222" s="5"/>
    </row>
    <row r="3223">
      <c r="A3223" s="6"/>
      <c r="C3223" s="6"/>
      <c r="L3223" s="7"/>
      <c r="M3223" s="5"/>
      <c r="N3223" s="5"/>
      <c r="O3223" s="5"/>
    </row>
    <row r="3224">
      <c r="A3224" s="6"/>
      <c r="C3224" s="6"/>
      <c r="L3224" s="7"/>
      <c r="M3224" s="5"/>
      <c r="N3224" s="5"/>
      <c r="O3224" s="5"/>
    </row>
    <row r="3225">
      <c r="A3225" s="6"/>
      <c r="C3225" s="6"/>
      <c r="L3225" s="7"/>
      <c r="M3225" s="5"/>
      <c r="N3225" s="5"/>
      <c r="O3225" s="5"/>
    </row>
    <row r="3226">
      <c r="A3226" s="6"/>
      <c r="C3226" s="6"/>
      <c r="L3226" s="7"/>
      <c r="M3226" s="5"/>
      <c r="N3226" s="5"/>
      <c r="O3226" s="5"/>
    </row>
    <row r="3227">
      <c r="A3227" s="6"/>
      <c r="C3227" s="6"/>
      <c r="L3227" s="7"/>
      <c r="M3227" s="5"/>
      <c r="N3227" s="5"/>
      <c r="O3227" s="5"/>
    </row>
    <row r="3228">
      <c r="A3228" s="6"/>
      <c r="C3228" s="6"/>
      <c r="L3228" s="7"/>
      <c r="M3228" s="5"/>
      <c r="N3228" s="5"/>
      <c r="O3228" s="5"/>
    </row>
    <row r="3229">
      <c r="A3229" s="6"/>
      <c r="C3229" s="6"/>
      <c r="L3229" s="7"/>
      <c r="M3229" s="5"/>
      <c r="N3229" s="5"/>
      <c r="O3229" s="5"/>
    </row>
    <row r="3230">
      <c r="A3230" s="6"/>
      <c r="C3230" s="6"/>
      <c r="L3230" s="7"/>
      <c r="M3230" s="5"/>
      <c r="N3230" s="5"/>
      <c r="O3230" s="5"/>
    </row>
    <row r="3231">
      <c r="A3231" s="6"/>
      <c r="C3231" s="6"/>
      <c r="L3231" s="7"/>
      <c r="M3231" s="5"/>
      <c r="N3231" s="5"/>
      <c r="O3231" s="5"/>
    </row>
    <row r="3232">
      <c r="A3232" s="6"/>
      <c r="C3232" s="6"/>
      <c r="L3232" s="7"/>
      <c r="M3232" s="5"/>
      <c r="N3232" s="5"/>
      <c r="O3232" s="5"/>
    </row>
    <row r="3233">
      <c r="A3233" s="6"/>
      <c r="C3233" s="6"/>
      <c r="L3233" s="7"/>
      <c r="M3233" s="5"/>
      <c r="N3233" s="5"/>
      <c r="O3233" s="5"/>
    </row>
    <row r="3234">
      <c r="A3234" s="6"/>
      <c r="C3234" s="6"/>
      <c r="L3234" s="7"/>
      <c r="M3234" s="5"/>
      <c r="N3234" s="5"/>
      <c r="O3234" s="5"/>
    </row>
    <row r="3235">
      <c r="A3235" s="6"/>
      <c r="C3235" s="6"/>
      <c r="L3235" s="7"/>
      <c r="M3235" s="5"/>
      <c r="N3235" s="5"/>
      <c r="O3235" s="5"/>
    </row>
    <row r="3236">
      <c r="A3236" s="6"/>
      <c r="C3236" s="6"/>
      <c r="L3236" s="7"/>
      <c r="M3236" s="5"/>
      <c r="N3236" s="5"/>
      <c r="O3236" s="5"/>
    </row>
    <row r="3237">
      <c r="A3237" s="6"/>
      <c r="C3237" s="6"/>
      <c r="L3237" s="7"/>
      <c r="M3237" s="5"/>
      <c r="N3237" s="5"/>
      <c r="O3237" s="5"/>
    </row>
    <row r="3238">
      <c r="A3238" s="6"/>
      <c r="C3238" s="6"/>
      <c r="L3238" s="7"/>
      <c r="M3238" s="5"/>
      <c r="N3238" s="5"/>
      <c r="O3238" s="5"/>
    </row>
    <row r="3239">
      <c r="A3239" s="6"/>
      <c r="C3239" s="6"/>
      <c r="L3239" s="7"/>
      <c r="M3239" s="5"/>
      <c r="N3239" s="5"/>
      <c r="O3239" s="5"/>
    </row>
    <row r="3240">
      <c r="A3240" s="6"/>
      <c r="C3240" s="6"/>
      <c r="L3240" s="7"/>
      <c r="M3240" s="5"/>
      <c r="N3240" s="5"/>
      <c r="O3240" s="5"/>
    </row>
    <row r="3241">
      <c r="A3241" s="6"/>
      <c r="C3241" s="6"/>
      <c r="L3241" s="7"/>
      <c r="M3241" s="5"/>
      <c r="N3241" s="5"/>
      <c r="O3241" s="5"/>
    </row>
    <row r="3242">
      <c r="A3242" s="6"/>
      <c r="C3242" s="6"/>
      <c r="L3242" s="7"/>
      <c r="M3242" s="5"/>
      <c r="N3242" s="5"/>
      <c r="O3242" s="5"/>
    </row>
    <row r="3243">
      <c r="A3243" s="6"/>
      <c r="C3243" s="6"/>
      <c r="L3243" s="7"/>
      <c r="M3243" s="5"/>
      <c r="N3243" s="5"/>
      <c r="O3243" s="5"/>
    </row>
    <row r="3244">
      <c r="A3244" s="6"/>
      <c r="C3244" s="6"/>
      <c r="L3244" s="7"/>
      <c r="M3244" s="5"/>
      <c r="N3244" s="5"/>
      <c r="O3244" s="5"/>
    </row>
    <row r="3245">
      <c r="A3245" s="6"/>
      <c r="C3245" s="6"/>
      <c r="L3245" s="7"/>
      <c r="M3245" s="5"/>
      <c r="N3245" s="5"/>
      <c r="O3245" s="5"/>
    </row>
    <row r="3246">
      <c r="A3246" s="6"/>
      <c r="C3246" s="6"/>
      <c r="L3246" s="7"/>
      <c r="M3246" s="5"/>
      <c r="N3246" s="5"/>
      <c r="O3246" s="5"/>
    </row>
    <row r="3247">
      <c r="A3247" s="6"/>
      <c r="C3247" s="6"/>
      <c r="L3247" s="7"/>
      <c r="M3247" s="5"/>
      <c r="N3247" s="5"/>
      <c r="O3247" s="5"/>
    </row>
    <row r="3248">
      <c r="A3248" s="6"/>
      <c r="C3248" s="6"/>
      <c r="L3248" s="7"/>
      <c r="M3248" s="5"/>
      <c r="N3248" s="5"/>
      <c r="O3248" s="5"/>
    </row>
    <row r="3249">
      <c r="A3249" s="6"/>
      <c r="C3249" s="6"/>
      <c r="L3249" s="7"/>
      <c r="M3249" s="5"/>
      <c r="N3249" s="5"/>
      <c r="O3249" s="5"/>
    </row>
    <row r="3250">
      <c r="A3250" s="6"/>
      <c r="C3250" s="6"/>
      <c r="L3250" s="7"/>
      <c r="M3250" s="5"/>
      <c r="N3250" s="5"/>
      <c r="O3250" s="5"/>
    </row>
    <row r="3251">
      <c r="A3251" s="6"/>
      <c r="C3251" s="6"/>
      <c r="L3251" s="7"/>
      <c r="M3251" s="5"/>
      <c r="N3251" s="5"/>
      <c r="O3251" s="5"/>
    </row>
    <row r="3252">
      <c r="A3252" s="6"/>
      <c r="C3252" s="6"/>
      <c r="L3252" s="7"/>
      <c r="M3252" s="5"/>
      <c r="N3252" s="5"/>
      <c r="O3252" s="5"/>
    </row>
    <row r="3253">
      <c r="A3253" s="6"/>
      <c r="C3253" s="6"/>
      <c r="L3253" s="7"/>
      <c r="M3253" s="5"/>
      <c r="N3253" s="5"/>
      <c r="O3253" s="5"/>
    </row>
    <row r="3254">
      <c r="A3254" s="6"/>
      <c r="C3254" s="6"/>
      <c r="L3254" s="7"/>
      <c r="M3254" s="5"/>
      <c r="N3254" s="5"/>
      <c r="O3254" s="5"/>
    </row>
    <row r="3255">
      <c r="A3255" s="6"/>
      <c r="C3255" s="6"/>
      <c r="L3255" s="7"/>
      <c r="M3255" s="5"/>
      <c r="N3255" s="5"/>
      <c r="O3255" s="5"/>
    </row>
    <row r="3256">
      <c r="A3256" s="6"/>
      <c r="C3256" s="6"/>
      <c r="L3256" s="7"/>
      <c r="M3256" s="5"/>
      <c r="N3256" s="5"/>
      <c r="O3256" s="5"/>
    </row>
    <row r="3257">
      <c r="A3257" s="6"/>
      <c r="C3257" s="6"/>
      <c r="L3257" s="7"/>
      <c r="M3257" s="5"/>
      <c r="N3257" s="5"/>
      <c r="O3257" s="5"/>
    </row>
    <row r="3258">
      <c r="A3258" s="6"/>
      <c r="C3258" s="6"/>
      <c r="L3258" s="7"/>
      <c r="M3258" s="5"/>
      <c r="N3258" s="5"/>
      <c r="O3258" s="5"/>
    </row>
    <row r="3259">
      <c r="A3259" s="6"/>
      <c r="C3259" s="6"/>
      <c r="L3259" s="7"/>
      <c r="M3259" s="5"/>
      <c r="N3259" s="5"/>
      <c r="O3259" s="5"/>
    </row>
    <row r="3260">
      <c r="A3260" s="6"/>
      <c r="C3260" s="6"/>
      <c r="L3260" s="7"/>
      <c r="M3260" s="5"/>
      <c r="N3260" s="5"/>
      <c r="O3260" s="5"/>
    </row>
    <row r="3261">
      <c r="A3261" s="6"/>
      <c r="C3261" s="6"/>
      <c r="L3261" s="7"/>
      <c r="M3261" s="5"/>
      <c r="N3261" s="5"/>
      <c r="O3261" s="5"/>
    </row>
    <row r="3262">
      <c r="A3262" s="6"/>
      <c r="C3262" s="6"/>
      <c r="L3262" s="7"/>
      <c r="M3262" s="5"/>
      <c r="N3262" s="5"/>
      <c r="O3262" s="5"/>
    </row>
    <row r="3263">
      <c r="A3263" s="6"/>
      <c r="C3263" s="6"/>
      <c r="L3263" s="7"/>
      <c r="M3263" s="5"/>
      <c r="N3263" s="5"/>
      <c r="O3263" s="5"/>
    </row>
    <row r="3264">
      <c r="A3264" s="6"/>
      <c r="C3264" s="6"/>
      <c r="L3264" s="7"/>
      <c r="M3264" s="5"/>
      <c r="N3264" s="5"/>
      <c r="O3264" s="5"/>
    </row>
    <row r="3265">
      <c r="A3265" s="6"/>
      <c r="C3265" s="6"/>
      <c r="L3265" s="7"/>
      <c r="M3265" s="5"/>
      <c r="N3265" s="5"/>
      <c r="O3265" s="5"/>
    </row>
    <row r="3266">
      <c r="A3266" s="6"/>
      <c r="C3266" s="6"/>
      <c r="L3266" s="7"/>
      <c r="M3266" s="5"/>
      <c r="N3266" s="5"/>
      <c r="O3266" s="5"/>
    </row>
    <row r="3267">
      <c r="A3267" s="6"/>
      <c r="C3267" s="6"/>
      <c r="L3267" s="7"/>
      <c r="M3267" s="5"/>
      <c r="N3267" s="5"/>
      <c r="O3267" s="5"/>
    </row>
    <row r="3268">
      <c r="A3268" s="6"/>
      <c r="C3268" s="6"/>
      <c r="L3268" s="7"/>
      <c r="M3268" s="5"/>
      <c r="N3268" s="5"/>
      <c r="O3268" s="5"/>
    </row>
    <row r="3269">
      <c r="A3269" s="6"/>
      <c r="C3269" s="6"/>
      <c r="L3269" s="7"/>
      <c r="M3269" s="5"/>
      <c r="N3269" s="5"/>
      <c r="O3269" s="5"/>
    </row>
    <row r="3270">
      <c r="A3270" s="6"/>
      <c r="C3270" s="6"/>
      <c r="L3270" s="7"/>
      <c r="M3270" s="5"/>
      <c r="N3270" s="5"/>
      <c r="O3270" s="5"/>
    </row>
    <row r="3271">
      <c r="A3271" s="6"/>
      <c r="C3271" s="6"/>
      <c r="L3271" s="7"/>
      <c r="M3271" s="5"/>
      <c r="N3271" s="5"/>
      <c r="O3271" s="5"/>
    </row>
    <row r="3272">
      <c r="A3272" s="6"/>
      <c r="C3272" s="6"/>
      <c r="L3272" s="7"/>
      <c r="M3272" s="5"/>
      <c r="N3272" s="5"/>
      <c r="O3272" s="5"/>
    </row>
    <row r="3273">
      <c r="A3273" s="6"/>
      <c r="C3273" s="6"/>
      <c r="L3273" s="7"/>
      <c r="M3273" s="5"/>
      <c r="N3273" s="5"/>
      <c r="O3273" s="5"/>
    </row>
    <row r="3274">
      <c r="A3274" s="6"/>
      <c r="C3274" s="6"/>
      <c r="L3274" s="7"/>
      <c r="M3274" s="5"/>
      <c r="N3274" s="5"/>
      <c r="O3274" s="5"/>
    </row>
    <row r="3275">
      <c r="A3275" s="6"/>
      <c r="C3275" s="6"/>
      <c r="L3275" s="7"/>
      <c r="M3275" s="5"/>
      <c r="N3275" s="5"/>
      <c r="O3275" s="5"/>
    </row>
    <row r="3276">
      <c r="A3276" s="6"/>
      <c r="C3276" s="6"/>
      <c r="L3276" s="7"/>
      <c r="M3276" s="5"/>
      <c r="N3276" s="5"/>
      <c r="O3276" s="5"/>
    </row>
    <row r="3277">
      <c r="A3277" s="6"/>
      <c r="C3277" s="6"/>
      <c r="L3277" s="7"/>
      <c r="M3277" s="5"/>
      <c r="N3277" s="5"/>
      <c r="O3277" s="5"/>
    </row>
    <row r="3278">
      <c r="A3278" s="6"/>
      <c r="C3278" s="6"/>
      <c r="L3278" s="7"/>
      <c r="M3278" s="5"/>
      <c r="N3278" s="5"/>
      <c r="O3278" s="5"/>
    </row>
    <row r="3279">
      <c r="A3279" s="6"/>
      <c r="C3279" s="6"/>
      <c r="L3279" s="7"/>
      <c r="M3279" s="5"/>
      <c r="N3279" s="5"/>
      <c r="O3279" s="5"/>
    </row>
    <row r="3280">
      <c r="A3280" s="6"/>
      <c r="C3280" s="6"/>
      <c r="L3280" s="7"/>
      <c r="M3280" s="5"/>
      <c r="N3280" s="5"/>
      <c r="O3280" s="5"/>
    </row>
    <row r="3281">
      <c r="A3281" s="6"/>
      <c r="C3281" s="6"/>
      <c r="L3281" s="7"/>
      <c r="M3281" s="5"/>
      <c r="N3281" s="5"/>
      <c r="O3281" s="5"/>
    </row>
    <row r="3282">
      <c r="A3282" s="6"/>
      <c r="C3282" s="6"/>
      <c r="L3282" s="7"/>
      <c r="M3282" s="5"/>
      <c r="N3282" s="5"/>
      <c r="O3282" s="5"/>
    </row>
    <row r="3283">
      <c r="A3283" s="6"/>
      <c r="C3283" s="6"/>
      <c r="L3283" s="7"/>
      <c r="M3283" s="5"/>
      <c r="N3283" s="5"/>
      <c r="O3283" s="5"/>
    </row>
    <row r="3284">
      <c r="A3284" s="6"/>
      <c r="C3284" s="6"/>
      <c r="L3284" s="7"/>
      <c r="M3284" s="5"/>
      <c r="N3284" s="5"/>
      <c r="O3284" s="5"/>
    </row>
    <row r="3285">
      <c r="A3285" s="6"/>
      <c r="C3285" s="6"/>
      <c r="L3285" s="7"/>
      <c r="M3285" s="5"/>
      <c r="N3285" s="5"/>
      <c r="O3285" s="5"/>
    </row>
    <row r="3286">
      <c r="A3286" s="6"/>
      <c r="C3286" s="6"/>
      <c r="L3286" s="7"/>
      <c r="M3286" s="5"/>
      <c r="N3286" s="5"/>
      <c r="O3286" s="5"/>
    </row>
    <row r="3287">
      <c r="A3287" s="6"/>
      <c r="C3287" s="6"/>
      <c r="L3287" s="7"/>
      <c r="M3287" s="5"/>
      <c r="N3287" s="5"/>
      <c r="O3287" s="5"/>
    </row>
    <row r="3288">
      <c r="A3288" s="6"/>
      <c r="C3288" s="6"/>
      <c r="L3288" s="7"/>
      <c r="M3288" s="5"/>
      <c r="N3288" s="5"/>
      <c r="O3288" s="5"/>
    </row>
    <row r="3289">
      <c r="A3289" s="6"/>
      <c r="C3289" s="6"/>
      <c r="L3289" s="7"/>
      <c r="M3289" s="5"/>
      <c r="N3289" s="5"/>
      <c r="O3289" s="5"/>
    </row>
    <row r="3290">
      <c r="A3290" s="6"/>
      <c r="C3290" s="6"/>
      <c r="L3290" s="7"/>
      <c r="M3290" s="5"/>
      <c r="N3290" s="5"/>
      <c r="O3290" s="5"/>
    </row>
    <row r="3291">
      <c r="A3291" s="6"/>
      <c r="C3291" s="6"/>
      <c r="L3291" s="7"/>
      <c r="M3291" s="5"/>
      <c r="N3291" s="5"/>
      <c r="O3291" s="5"/>
    </row>
    <row r="3292">
      <c r="A3292" s="6"/>
      <c r="C3292" s="6"/>
      <c r="L3292" s="7"/>
      <c r="M3292" s="5"/>
      <c r="N3292" s="5"/>
      <c r="O3292" s="5"/>
    </row>
    <row r="3293">
      <c r="A3293" s="6"/>
      <c r="C3293" s="6"/>
      <c r="L3293" s="7"/>
      <c r="M3293" s="5"/>
      <c r="N3293" s="5"/>
      <c r="O3293" s="5"/>
    </row>
    <row r="3294">
      <c r="A3294" s="6"/>
      <c r="C3294" s="6"/>
      <c r="L3294" s="7"/>
      <c r="M3294" s="5"/>
      <c r="N3294" s="5"/>
      <c r="O3294" s="5"/>
    </row>
    <row r="3295">
      <c r="A3295" s="6"/>
      <c r="C3295" s="6"/>
      <c r="L3295" s="7"/>
      <c r="M3295" s="5"/>
      <c r="N3295" s="5"/>
      <c r="O3295" s="5"/>
    </row>
    <row r="3296">
      <c r="A3296" s="6"/>
      <c r="C3296" s="6"/>
      <c r="L3296" s="7"/>
      <c r="M3296" s="5"/>
      <c r="N3296" s="5"/>
      <c r="O3296" s="5"/>
    </row>
    <row r="3297">
      <c r="A3297" s="6"/>
      <c r="C3297" s="6"/>
      <c r="L3297" s="7"/>
      <c r="M3297" s="5"/>
      <c r="N3297" s="5"/>
      <c r="O3297" s="5"/>
    </row>
    <row r="3298">
      <c r="A3298" s="6"/>
      <c r="C3298" s="6"/>
      <c r="L3298" s="7"/>
      <c r="M3298" s="5"/>
      <c r="N3298" s="5"/>
      <c r="O3298" s="5"/>
    </row>
    <row r="3299">
      <c r="A3299" s="6"/>
      <c r="C3299" s="6"/>
      <c r="L3299" s="7"/>
      <c r="M3299" s="5"/>
      <c r="N3299" s="5"/>
      <c r="O3299" s="5"/>
    </row>
    <row r="3300">
      <c r="A3300" s="6"/>
      <c r="C3300" s="6"/>
      <c r="L3300" s="7"/>
      <c r="M3300" s="5"/>
      <c r="N3300" s="5"/>
      <c r="O3300" s="5"/>
    </row>
    <row r="3301">
      <c r="A3301" s="6"/>
      <c r="C3301" s="6"/>
      <c r="L3301" s="7"/>
      <c r="M3301" s="5"/>
      <c r="N3301" s="5"/>
      <c r="O3301" s="5"/>
    </row>
    <row r="3302">
      <c r="A3302" s="6"/>
      <c r="C3302" s="6"/>
      <c r="L3302" s="7"/>
      <c r="M3302" s="5"/>
      <c r="N3302" s="5"/>
      <c r="O3302" s="5"/>
    </row>
    <row r="3303">
      <c r="A3303" s="6"/>
      <c r="C3303" s="6"/>
      <c r="L3303" s="7"/>
      <c r="M3303" s="5"/>
      <c r="N3303" s="5"/>
      <c r="O3303" s="5"/>
    </row>
    <row r="3304">
      <c r="A3304" s="6"/>
      <c r="C3304" s="6"/>
      <c r="L3304" s="7"/>
      <c r="M3304" s="5"/>
      <c r="N3304" s="5"/>
      <c r="O3304" s="5"/>
    </row>
    <row r="3305">
      <c r="A3305" s="6"/>
      <c r="C3305" s="6"/>
      <c r="L3305" s="7"/>
      <c r="M3305" s="5"/>
      <c r="N3305" s="5"/>
      <c r="O3305" s="5"/>
    </row>
    <row r="3306">
      <c r="A3306" s="6"/>
      <c r="C3306" s="6"/>
      <c r="L3306" s="7"/>
      <c r="M3306" s="5"/>
      <c r="N3306" s="5"/>
      <c r="O3306" s="5"/>
    </row>
    <row r="3307">
      <c r="A3307" s="6"/>
      <c r="C3307" s="6"/>
      <c r="L3307" s="7"/>
      <c r="M3307" s="5"/>
      <c r="N3307" s="5"/>
      <c r="O3307" s="5"/>
    </row>
    <row r="3308">
      <c r="A3308" s="6"/>
      <c r="C3308" s="6"/>
      <c r="L3308" s="7"/>
      <c r="M3308" s="5"/>
      <c r="N3308" s="5"/>
      <c r="O3308" s="5"/>
    </row>
    <row r="3309">
      <c r="A3309" s="6"/>
      <c r="C3309" s="6"/>
      <c r="L3309" s="7"/>
      <c r="M3309" s="5"/>
      <c r="N3309" s="5"/>
      <c r="O3309" s="5"/>
    </row>
    <row r="3310">
      <c r="A3310" s="6"/>
      <c r="C3310" s="6"/>
      <c r="L3310" s="7"/>
      <c r="M3310" s="5"/>
      <c r="N3310" s="5"/>
      <c r="O3310" s="5"/>
    </row>
    <row r="3311">
      <c r="A3311" s="6"/>
      <c r="C3311" s="6"/>
      <c r="L3311" s="7"/>
      <c r="M3311" s="5"/>
      <c r="N3311" s="5"/>
      <c r="O3311" s="5"/>
    </row>
    <row r="3312">
      <c r="A3312" s="6"/>
      <c r="C3312" s="6"/>
      <c r="L3312" s="7"/>
      <c r="M3312" s="5"/>
      <c r="N3312" s="5"/>
      <c r="O3312" s="5"/>
    </row>
    <row r="3313">
      <c r="A3313" s="6"/>
      <c r="C3313" s="6"/>
      <c r="L3313" s="7"/>
      <c r="M3313" s="5"/>
      <c r="N3313" s="5"/>
      <c r="O3313" s="5"/>
    </row>
    <row r="3314">
      <c r="A3314" s="6"/>
      <c r="C3314" s="6"/>
      <c r="L3314" s="7"/>
      <c r="M3314" s="5"/>
      <c r="N3314" s="5"/>
      <c r="O3314" s="5"/>
    </row>
    <row r="3315">
      <c r="A3315" s="6"/>
      <c r="C3315" s="6"/>
      <c r="L3315" s="7"/>
      <c r="M3315" s="5"/>
      <c r="N3315" s="5"/>
      <c r="O3315" s="5"/>
    </row>
    <row r="3316">
      <c r="A3316" s="6"/>
      <c r="C3316" s="6"/>
      <c r="L3316" s="7"/>
      <c r="M3316" s="5"/>
      <c r="N3316" s="5"/>
      <c r="O3316" s="5"/>
    </row>
    <row r="3317">
      <c r="A3317" s="6"/>
      <c r="C3317" s="6"/>
      <c r="L3317" s="7"/>
      <c r="M3317" s="5"/>
      <c r="N3317" s="5"/>
      <c r="O3317" s="5"/>
    </row>
    <row r="3318">
      <c r="A3318" s="6"/>
      <c r="C3318" s="6"/>
      <c r="L3318" s="7"/>
      <c r="M3318" s="5"/>
      <c r="N3318" s="5"/>
      <c r="O3318" s="5"/>
    </row>
    <row r="3319">
      <c r="A3319" s="6"/>
      <c r="C3319" s="6"/>
      <c r="L3319" s="7"/>
      <c r="M3319" s="5"/>
      <c r="N3319" s="5"/>
      <c r="O3319" s="5"/>
    </row>
    <row r="3320">
      <c r="A3320" s="6"/>
      <c r="C3320" s="6"/>
      <c r="L3320" s="7"/>
      <c r="M3320" s="5"/>
      <c r="N3320" s="5"/>
      <c r="O3320" s="5"/>
    </row>
    <row r="3321">
      <c r="A3321" s="6"/>
      <c r="C3321" s="6"/>
      <c r="L3321" s="7"/>
      <c r="M3321" s="5"/>
      <c r="N3321" s="5"/>
      <c r="O3321" s="5"/>
    </row>
    <row r="3322">
      <c r="A3322" s="6"/>
      <c r="C3322" s="6"/>
      <c r="L3322" s="7"/>
      <c r="M3322" s="5"/>
      <c r="N3322" s="5"/>
      <c r="O3322" s="5"/>
    </row>
    <row r="3323">
      <c r="A3323" s="6"/>
      <c r="C3323" s="6"/>
      <c r="L3323" s="7"/>
      <c r="M3323" s="5"/>
      <c r="N3323" s="5"/>
      <c r="O3323" s="5"/>
    </row>
    <row r="3324">
      <c r="A3324" s="6"/>
      <c r="C3324" s="6"/>
      <c r="L3324" s="7"/>
      <c r="M3324" s="5"/>
      <c r="N3324" s="5"/>
      <c r="O3324" s="5"/>
    </row>
    <row r="3325">
      <c r="A3325" s="6"/>
      <c r="C3325" s="6"/>
      <c r="L3325" s="7"/>
      <c r="M3325" s="5"/>
      <c r="N3325" s="5"/>
      <c r="O3325" s="5"/>
    </row>
    <row r="3326">
      <c r="A3326" s="6"/>
      <c r="C3326" s="6"/>
      <c r="L3326" s="7"/>
      <c r="M3326" s="5"/>
      <c r="N3326" s="5"/>
      <c r="O3326" s="5"/>
    </row>
    <row r="3327">
      <c r="A3327" s="6"/>
      <c r="C3327" s="6"/>
      <c r="L3327" s="7"/>
      <c r="M3327" s="5"/>
      <c r="N3327" s="5"/>
      <c r="O3327" s="5"/>
    </row>
    <row r="3328">
      <c r="A3328" s="6"/>
      <c r="C3328" s="6"/>
      <c r="L3328" s="7"/>
      <c r="M3328" s="5"/>
      <c r="N3328" s="5"/>
      <c r="O3328" s="5"/>
    </row>
    <row r="3329">
      <c r="A3329" s="6"/>
      <c r="C3329" s="6"/>
      <c r="L3329" s="7"/>
      <c r="M3329" s="5"/>
      <c r="N3329" s="5"/>
      <c r="O3329" s="5"/>
    </row>
    <row r="3330">
      <c r="A3330" s="6"/>
      <c r="C3330" s="6"/>
      <c r="L3330" s="7"/>
      <c r="M3330" s="5"/>
      <c r="N3330" s="5"/>
      <c r="O3330" s="5"/>
    </row>
    <row r="3331">
      <c r="A3331" s="6"/>
      <c r="C3331" s="6"/>
      <c r="L3331" s="7"/>
      <c r="M3331" s="5"/>
      <c r="N3331" s="5"/>
      <c r="O3331" s="5"/>
    </row>
    <row r="3332">
      <c r="A3332" s="6"/>
      <c r="C3332" s="6"/>
      <c r="L3332" s="7"/>
      <c r="M3332" s="5"/>
      <c r="N3332" s="5"/>
      <c r="O3332" s="5"/>
    </row>
    <row r="3333">
      <c r="A3333" s="6"/>
      <c r="C3333" s="6"/>
      <c r="L3333" s="7"/>
      <c r="M3333" s="5"/>
      <c r="N3333" s="5"/>
      <c r="O3333" s="5"/>
    </row>
    <row r="3334">
      <c r="A3334" s="6"/>
      <c r="C3334" s="6"/>
      <c r="L3334" s="7"/>
      <c r="M3334" s="5"/>
      <c r="N3334" s="5"/>
      <c r="O3334" s="5"/>
    </row>
    <row r="3335">
      <c r="A3335" s="6"/>
      <c r="C3335" s="6"/>
      <c r="L3335" s="7"/>
      <c r="M3335" s="5"/>
      <c r="N3335" s="5"/>
      <c r="O3335" s="5"/>
    </row>
    <row r="3336">
      <c r="A3336" s="6"/>
      <c r="C3336" s="6"/>
      <c r="L3336" s="7"/>
      <c r="M3336" s="5"/>
      <c r="N3336" s="5"/>
      <c r="O3336" s="5"/>
    </row>
    <row r="3337">
      <c r="A3337" s="6"/>
      <c r="C3337" s="6"/>
      <c r="L3337" s="7"/>
      <c r="M3337" s="5"/>
      <c r="N3337" s="5"/>
      <c r="O3337" s="5"/>
    </row>
    <row r="3338">
      <c r="A3338" s="6"/>
      <c r="C3338" s="6"/>
      <c r="L3338" s="7"/>
      <c r="M3338" s="5"/>
      <c r="N3338" s="5"/>
      <c r="O3338" s="5"/>
    </row>
    <row r="3339">
      <c r="A3339" s="6"/>
      <c r="C3339" s="6"/>
      <c r="L3339" s="7"/>
      <c r="M3339" s="5"/>
      <c r="N3339" s="5"/>
      <c r="O3339" s="5"/>
    </row>
    <row r="3340">
      <c r="A3340" s="6"/>
      <c r="C3340" s="6"/>
      <c r="L3340" s="7"/>
      <c r="M3340" s="5"/>
      <c r="N3340" s="5"/>
      <c r="O3340" s="5"/>
    </row>
    <row r="3341">
      <c r="A3341" s="6"/>
      <c r="C3341" s="6"/>
      <c r="L3341" s="7"/>
      <c r="M3341" s="5"/>
      <c r="N3341" s="5"/>
      <c r="O3341" s="5"/>
    </row>
    <row r="3342">
      <c r="A3342" s="6"/>
      <c r="C3342" s="6"/>
      <c r="L3342" s="7"/>
      <c r="M3342" s="5"/>
      <c r="N3342" s="5"/>
      <c r="O3342" s="5"/>
    </row>
    <row r="3343">
      <c r="A3343" s="6"/>
      <c r="C3343" s="6"/>
      <c r="L3343" s="7"/>
      <c r="M3343" s="5"/>
      <c r="N3343" s="5"/>
      <c r="O3343" s="5"/>
    </row>
    <row r="3344">
      <c r="A3344" s="6"/>
      <c r="C3344" s="6"/>
      <c r="L3344" s="7"/>
      <c r="M3344" s="5"/>
      <c r="N3344" s="5"/>
      <c r="O3344" s="5"/>
    </row>
    <row r="3345">
      <c r="A3345" s="6"/>
      <c r="C3345" s="6"/>
      <c r="L3345" s="7"/>
      <c r="M3345" s="5"/>
      <c r="N3345" s="5"/>
      <c r="O3345" s="5"/>
    </row>
    <row r="3346">
      <c r="A3346" s="6"/>
      <c r="C3346" s="6"/>
      <c r="L3346" s="7"/>
      <c r="M3346" s="5"/>
      <c r="N3346" s="5"/>
      <c r="O3346" s="5"/>
    </row>
    <row r="3347">
      <c r="A3347" s="6"/>
      <c r="C3347" s="6"/>
      <c r="L3347" s="7"/>
      <c r="M3347" s="5"/>
      <c r="N3347" s="5"/>
      <c r="O3347" s="5"/>
    </row>
    <row r="3348">
      <c r="A3348" s="6"/>
      <c r="C3348" s="6"/>
      <c r="L3348" s="7"/>
      <c r="M3348" s="5"/>
      <c r="N3348" s="5"/>
      <c r="O3348" s="5"/>
    </row>
    <row r="3349">
      <c r="A3349" s="6"/>
      <c r="C3349" s="6"/>
      <c r="L3349" s="7"/>
      <c r="M3349" s="5"/>
      <c r="N3349" s="5"/>
      <c r="O3349" s="5"/>
    </row>
    <row r="3350">
      <c r="A3350" s="6"/>
      <c r="C3350" s="6"/>
      <c r="L3350" s="7"/>
      <c r="M3350" s="5"/>
      <c r="N3350" s="5"/>
      <c r="O3350" s="5"/>
    </row>
    <row r="3351">
      <c r="A3351" s="6"/>
      <c r="C3351" s="6"/>
      <c r="L3351" s="7"/>
      <c r="M3351" s="5"/>
      <c r="N3351" s="5"/>
      <c r="O3351" s="5"/>
    </row>
    <row r="3352">
      <c r="A3352" s="6"/>
      <c r="C3352" s="6"/>
      <c r="L3352" s="7"/>
      <c r="M3352" s="5"/>
      <c r="N3352" s="5"/>
      <c r="O3352" s="5"/>
    </row>
    <row r="3353">
      <c r="A3353" s="6"/>
      <c r="C3353" s="6"/>
      <c r="L3353" s="7"/>
      <c r="M3353" s="5"/>
      <c r="N3353" s="5"/>
      <c r="O3353" s="5"/>
    </row>
    <row r="3354">
      <c r="A3354" s="6"/>
      <c r="C3354" s="6"/>
      <c r="L3354" s="7"/>
      <c r="M3354" s="5"/>
      <c r="N3354" s="5"/>
      <c r="O3354" s="5"/>
    </row>
    <row r="3355">
      <c r="A3355" s="6"/>
      <c r="C3355" s="6"/>
      <c r="L3355" s="7"/>
      <c r="M3355" s="5"/>
      <c r="N3355" s="5"/>
      <c r="O3355" s="5"/>
    </row>
    <row r="3356">
      <c r="A3356" s="6"/>
      <c r="C3356" s="6"/>
      <c r="L3356" s="7"/>
      <c r="M3356" s="5"/>
      <c r="N3356" s="5"/>
      <c r="O3356" s="5"/>
    </row>
    <row r="3357">
      <c r="A3357" s="6"/>
      <c r="C3357" s="6"/>
      <c r="L3357" s="7"/>
      <c r="M3357" s="5"/>
      <c r="N3357" s="5"/>
      <c r="O3357" s="5"/>
    </row>
    <row r="3358">
      <c r="A3358" s="6"/>
      <c r="C3358" s="6"/>
      <c r="L3358" s="7"/>
      <c r="M3358" s="5"/>
      <c r="N3358" s="5"/>
      <c r="O3358" s="5"/>
    </row>
    <row r="3359">
      <c r="A3359" s="6"/>
      <c r="C3359" s="6"/>
      <c r="L3359" s="7"/>
      <c r="M3359" s="5"/>
      <c r="N3359" s="5"/>
      <c r="O3359" s="5"/>
    </row>
    <row r="3360">
      <c r="A3360" s="6"/>
      <c r="C3360" s="6"/>
      <c r="L3360" s="7"/>
      <c r="M3360" s="5"/>
      <c r="N3360" s="5"/>
      <c r="O3360" s="5"/>
    </row>
    <row r="3361">
      <c r="A3361" s="6"/>
      <c r="C3361" s="6"/>
      <c r="L3361" s="7"/>
      <c r="M3361" s="5"/>
      <c r="N3361" s="5"/>
      <c r="O3361" s="5"/>
    </row>
    <row r="3362">
      <c r="A3362" s="6"/>
      <c r="C3362" s="6"/>
      <c r="L3362" s="7"/>
      <c r="M3362" s="5"/>
      <c r="N3362" s="5"/>
      <c r="O3362" s="5"/>
    </row>
    <row r="3363">
      <c r="A3363" s="6"/>
      <c r="C3363" s="6"/>
      <c r="L3363" s="7"/>
      <c r="M3363" s="5"/>
      <c r="N3363" s="5"/>
      <c r="O3363" s="5"/>
    </row>
    <row r="3364">
      <c r="A3364" s="6"/>
      <c r="C3364" s="6"/>
      <c r="L3364" s="7"/>
      <c r="M3364" s="5"/>
      <c r="N3364" s="5"/>
      <c r="O3364" s="5"/>
    </row>
    <row r="3365">
      <c r="A3365" s="6"/>
      <c r="C3365" s="6"/>
      <c r="L3365" s="7"/>
      <c r="M3365" s="5"/>
      <c r="N3365" s="5"/>
      <c r="O3365" s="5"/>
    </row>
    <row r="3366">
      <c r="A3366" s="6"/>
      <c r="C3366" s="6"/>
      <c r="L3366" s="7"/>
      <c r="M3366" s="5"/>
      <c r="N3366" s="5"/>
      <c r="O3366" s="5"/>
    </row>
    <row r="3367">
      <c r="A3367" s="6"/>
      <c r="C3367" s="6"/>
      <c r="L3367" s="7"/>
      <c r="M3367" s="5"/>
      <c r="N3367" s="5"/>
      <c r="O3367" s="5"/>
    </row>
    <row r="3368">
      <c r="A3368" s="6"/>
      <c r="C3368" s="6"/>
      <c r="L3368" s="7"/>
      <c r="M3368" s="5"/>
      <c r="N3368" s="5"/>
      <c r="O3368" s="5"/>
    </row>
    <row r="3369">
      <c r="A3369" s="6"/>
      <c r="C3369" s="6"/>
      <c r="L3369" s="7"/>
      <c r="M3369" s="5"/>
      <c r="N3369" s="5"/>
      <c r="O3369" s="5"/>
    </row>
    <row r="3370">
      <c r="A3370" s="6"/>
      <c r="C3370" s="6"/>
      <c r="L3370" s="7"/>
      <c r="M3370" s="5"/>
      <c r="N3370" s="5"/>
      <c r="O3370" s="5"/>
    </row>
    <row r="3371">
      <c r="A3371" s="6"/>
      <c r="C3371" s="6"/>
      <c r="L3371" s="7"/>
      <c r="M3371" s="5"/>
      <c r="N3371" s="5"/>
      <c r="O3371" s="5"/>
    </row>
    <row r="3372">
      <c r="A3372" s="6"/>
      <c r="C3372" s="6"/>
      <c r="L3372" s="7"/>
      <c r="M3372" s="5"/>
      <c r="N3372" s="5"/>
      <c r="O3372" s="5"/>
    </row>
    <row r="3373">
      <c r="A3373" s="6"/>
      <c r="C3373" s="6"/>
      <c r="L3373" s="7"/>
      <c r="M3373" s="5"/>
      <c r="N3373" s="5"/>
      <c r="O3373" s="5"/>
    </row>
    <row r="3374">
      <c r="A3374" s="6"/>
      <c r="C3374" s="6"/>
      <c r="L3374" s="7"/>
      <c r="M3374" s="5"/>
      <c r="N3374" s="5"/>
      <c r="O3374" s="5"/>
    </row>
    <row r="3375">
      <c r="A3375" s="6"/>
      <c r="C3375" s="6"/>
      <c r="L3375" s="7"/>
      <c r="M3375" s="5"/>
      <c r="N3375" s="5"/>
      <c r="O3375" s="5"/>
    </row>
    <row r="3376">
      <c r="A3376" s="6"/>
      <c r="C3376" s="6"/>
      <c r="L3376" s="7"/>
      <c r="M3376" s="5"/>
      <c r="N3376" s="5"/>
      <c r="O3376" s="5"/>
    </row>
    <row r="3377">
      <c r="A3377" s="6"/>
      <c r="C3377" s="6"/>
      <c r="L3377" s="7"/>
      <c r="M3377" s="5"/>
      <c r="N3377" s="5"/>
      <c r="O3377" s="5"/>
    </row>
    <row r="3378">
      <c r="A3378" s="6"/>
      <c r="C3378" s="6"/>
      <c r="L3378" s="7"/>
      <c r="M3378" s="5"/>
      <c r="N3378" s="5"/>
      <c r="O3378" s="5"/>
    </row>
    <row r="3379">
      <c r="A3379" s="6"/>
      <c r="C3379" s="6"/>
      <c r="L3379" s="7"/>
      <c r="M3379" s="5"/>
      <c r="N3379" s="5"/>
      <c r="O3379" s="5"/>
    </row>
    <row r="3380">
      <c r="A3380" s="6"/>
      <c r="C3380" s="6"/>
      <c r="L3380" s="7"/>
      <c r="M3380" s="5"/>
      <c r="N3380" s="5"/>
      <c r="O3380" s="5"/>
    </row>
    <row r="3381">
      <c r="A3381" s="6"/>
      <c r="C3381" s="6"/>
      <c r="L3381" s="7"/>
      <c r="M3381" s="5"/>
      <c r="N3381" s="5"/>
      <c r="O3381" s="5"/>
    </row>
    <row r="3382">
      <c r="A3382" s="6"/>
      <c r="C3382" s="6"/>
      <c r="L3382" s="7"/>
      <c r="M3382" s="5"/>
      <c r="N3382" s="5"/>
      <c r="O3382" s="5"/>
    </row>
    <row r="3383">
      <c r="A3383" s="6"/>
      <c r="C3383" s="6"/>
      <c r="L3383" s="7"/>
      <c r="M3383" s="5"/>
      <c r="N3383" s="5"/>
      <c r="O3383" s="5"/>
    </row>
    <row r="3384">
      <c r="A3384" s="6"/>
      <c r="C3384" s="6"/>
      <c r="L3384" s="7"/>
      <c r="M3384" s="5"/>
      <c r="N3384" s="5"/>
      <c r="O3384" s="5"/>
    </row>
    <row r="3385">
      <c r="A3385" s="6"/>
      <c r="C3385" s="6"/>
      <c r="L3385" s="7"/>
      <c r="M3385" s="5"/>
      <c r="N3385" s="5"/>
      <c r="O3385" s="5"/>
    </row>
    <row r="3386">
      <c r="A3386" s="6"/>
      <c r="C3386" s="6"/>
      <c r="L3386" s="7"/>
      <c r="M3386" s="5"/>
      <c r="N3386" s="5"/>
      <c r="O3386" s="5"/>
    </row>
    <row r="3387">
      <c r="A3387" s="6"/>
      <c r="C3387" s="6"/>
      <c r="L3387" s="7"/>
      <c r="M3387" s="5"/>
      <c r="N3387" s="5"/>
      <c r="O3387" s="5"/>
    </row>
    <row r="3388">
      <c r="A3388" s="6"/>
      <c r="C3388" s="6"/>
      <c r="L3388" s="7"/>
      <c r="M3388" s="5"/>
      <c r="N3388" s="5"/>
      <c r="O3388" s="5"/>
    </row>
    <row r="3389">
      <c r="A3389" s="6"/>
      <c r="C3389" s="6"/>
      <c r="L3389" s="7"/>
      <c r="M3389" s="5"/>
      <c r="N3389" s="5"/>
      <c r="O3389" s="5"/>
    </row>
    <row r="3390">
      <c r="A3390" s="6"/>
      <c r="C3390" s="6"/>
      <c r="L3390" s="7"/>
      <c r="M3390" s="5"/>
      <c r="N3390" s="5"/>
      <c r="O3390" s="5"/>
    </row>
    <row r="3391">
      <c r="A3391" s="6"/>
      <c r="C3391" s="6"/>
      <c r="L3391" s="7"/>
      <c r="M3391" s="5"/>
      <c r="N3391" s="5"/>
      <c r="O3391" s="5"/>
    </row>
    <row r="3392">
      <c r="A3392" s="6"/>
      <c r="C3392" s="6"/>
      <c r="L3392" s="7"/>
      <c r="M3392" s="5"/>
      <c r="N3392" s="5"/>
      <c r="O3392" s="5"/>
    </row>
    <row r="3393">
      <c r="A3393" s="6"/>
      <c r="C3393" s="6"/>
      <c r="L3393" s="7"/>
      <c r="M3393" s="5"/>
      <c r="N3393" s="5"/>
      <c r="O3393" s="5"/>
    </row>
    <row r="3394">
      <c r="A3394" s="6"/>
      <c r="C3394" s="6"/>
      <c r="L3394" s="7"/>
      <c r="M3394" s="5"/>
      <c r="N3394" s="5"/>
      <c r="O3394" s="5"/>
    </row>
    <row r="3395">
      <c r="A3395" s="6"/>
      <c r="C3395" s="6"/>
      <c r="L3395" s="7"/>
      <c r="M3395" s="5"/>
      <c r="N3395" s="5"/>
      <c r="O3395" s="5"/>
    </row>
    <row r="3396">
      <c r="A3396" s="6"/>
      <c r="C3396" s="6"/>
      <c r="L3396" s="7"/>
      <c r="M3396" s="5"/>
      <c r="N3396" s="5"/>
      <c r="O3396" s="5"/>
    </row>
    <row r="3397">
      <c r="A3397" s="6"/>
      <c r="C3397" s="6"/>
      <c r="L3397" s="7"/>
      <c r="M3397" s="5"/>
      <c r="N3397" s="5"/>
      <c r="O3397" s="5"/>
    </row>
    <row r="3398">
      <c r="A3398" s="6"/>
      <c r="C3398" s="6"/>
      <c r="L3398" s="7"/>
      <c r="M3398" s="5"/>
      <c r="N3398" s="5"/>
      <c r="O3398" s="5"/>
    </row>
    <row r="3399">
      <c r="A3399" s="6"/>
      <c r="C3399" s="6"/>
      <c r="L3399" s="7"/>
      <c r="M3399" s="5"/>
      <c r="N3399" s="5"/>
      <c r="O3399" s="5"/>
    </row>
    <row r="3400">
      <c r="A3400" s="6"/>
      <c r="C3400" s="6"/>
      <c r="L3400" s="7"/>
      <c r="M3400" s="5"/>
      <c r="N3400" s="5"/>
      <c r="O3400" s="5"/>
    </row>
    <row r="3401">
      <c r="A3401" s="6"/>
      <c r="C3401" s="6"/>
      <c r="L3401" s="7"/>
      <c r="M3401" s="5"/>
      <c r="N3401" s="5"/>
      <c r="O3401" s="5"/>
    </row>
    <row r="3402">
      <c r="A3402" s="6"/>
      <c r="C3402" s="6"/>
      <c r="L3402" s="7"/>
      <c r="M3402" s="5"/>
      <c r="N3402" s="5"/>
      <c r="O3402" s="5"/>
    </row>
    <row r="3403">
      <c r="A3403" s="6"/>
      <c r="C3403" s="6"/>
      <c r="L3403" s="7"/>
      <c r="M3403" s="5"/>
      <c r="N3403" s="5"/>
      <c r="O3403" s="5"/>
    </row>
    <row r="3404">
      <c r="A3404" s="6"/>
      <c r="C3404" s="6"/>
      <c r="L3404" s="7"/>
      <c r="M3404" s="5"/>
      <c r="N3404" s="5"/>
      <c r="O3404" s="5"/>
    </row>
    <row r="3405">
      <c r="A3405" s="6"/>
      <c r="C3405" s="6"/>
      <c r="L3405" s="7"/>
      <c r="M3405" s="5"/>
      <c r="N3405" s="5"/>
      <c r="O3405" s="5"/>
    </row>
    <row r="3406">
      <c r="A3406" s="6"/>
      <c r="C3406" s="6"/>
      <c r="L3406" s="7"/>
      <c r="M3406" s="5"/>
      <c r="N3406" s="5"/>
      <c r="O3406" s="5"/>
    </row>
    <row r="3407">
      <c r="A3407" s="6"/>
      <c r="C3407" s="6"/>
      <c r="L3407" s="7"/>
      <c r="M3407" s="5"/>
      <c r="N3407" s="5"/>
      <c r="O3407" s="5"/>
    </row>
    <row r="3408">
      <c r="A3408" s="6"/>
      <c r="C3408" s="6"/>
      <c r="L3408" s="7"/>
      <c r="M3408" s="5"/>
      <c r="N3408" s="5"/>
      <c r="O3408" s="5"/>
    </row>
    <row r="3409">
      <c r="A3409" s="6"/>
      <c r="C3409" s="6"/>
      <c r="L3409" s="7"/>
      <c r="M3409" s="5"/>
      <c r="N3409" s="5"/>
      <c r="O3409" s="5"/>
    </row>
    <row r="3410">
      <c r="A3410" s="6"/>
      <c r="C3410" s="6"/>
      <c r="L3410" s="7"/>
      <c r="M3410" s="5"/>
      <c r="N3410" s="5"/>
      <c r="O3410" s="5"/>
    </row>
    <row r="3411">
      <c r="A3411" s="6"/>
      <c r="C3411" s="6"/>
      <c r="L3411" s="7"/>
      <c r="M3411" s="5"/>
      <c r="N3411" s="5"/>
      <c r="O3411" s="5"/>
    </row>
    <row r="3412">
      <c r="A3412" s="6"/>
      <c r="C3412" s="6"/>
      <c r="L3412" s="7"/>
      <c r="M3412" s="5"/>
      <c r="N3412" s="5"/>
      <c r="O3412" s="5"/>
    </row>
    <row r="3413">
      <c r="A3413" s="6"/>
      <c r="C3413" s="6"/>
      <c r="L3413" s="7"/>
      <c r="M3413" s="5"/>
      <c r="N3413" s="5"/>
      <c r="O3413" s="5"/>
    </row>
    <row r="3414">
      <c r="A3414" s="6"/>
      <c r="C3414" s="6"/>
      <c r="L3414" s="7"/>
      <c r="M3414" s="5"/>
      <c r="N3414" s="5"/>
      <c r="O3414" s="5"/>
    </row>
    <row r="3415">
      <c r="A3415" s="6"/>
      <c r="C3415" s="6"/>
      <c r="L3415" s="7"/>
      <c r="M3415" s="5"/>
      <c r="N3415" s="5"/>
      <c r="O3415" s="5"/>
    </row>
    <row r="3416">
      <c r="A3416" s="6"/>
      <c r="C3416" s="6"/>
      <c r="L3416" s="7"/>
      <c r="M3416" s="5"/>
      <c r="N3416" s="5"/>
      <c r="O3416" s="5"/>
    </row>
    <row r="3417">
      <c r="A3417" s="6"/>
      <c r="C3417" s="6"/>
      <c r="L3417" s="7"/>
      <c r="M3417" s="5"/>
      <c r="N3417" s="5"/>
      <c r="O3417" s="5"/>
    </row>
    <row r="3418">
      <c r="A3418" s="6"/>
      <c r="C3418" s="6"/>
      <c r="L3418" s="7"/>
      <c r="M3418" s="5"/>
      <c r="N3418" s="5"/>
      <c r="O3418" s="5"/>
    </row>
    <row r="3419">
      <c r="A3419" s="6"/>
      <c r="C3419" s="6"/>
      <c r="L3419" s="7"/>
      <c r="M3419" s="5"/>
      <c r="N3419" s="5"/>
      <c r="O3419" s="5"/>
    </row>
    <row r="3420">
      <c r="A3420" s="6"/>
      <c r="C3420" s="6"/>
      <c r="L3420" s="7"/>
      <c r="M3420" s="5"/>
      <c r="N3420" s="5"/>
      <c r="O3420" s="5"/>
    </row>
    <row r="3421">
      <c r="A3421" s="6"/>
      <c r="C3421" s="6"/>
      <c r="L3421" s="7"/>
      <c r="M3421" s="5"/>
      <c r="N3421" s="5"/>
      <c r="O3421" s="5"/>
    </row>
    <row r="3422">
      <c r="A3422" s="6"/>
      <c r="C3422" s="6"/>
      <c r="L3422" s="7"/>
      <c r="M3422" s="5"/>
      <c r="N3422" s="5"/>
      <c r="O3422" s="5"/>
    </row>
    <row r="3423">
      <c r="A3423" s="6"/>
      <c r="C3423" s="6"/>
      <c r="L3423" s="7"/>
      <c r="M3423" s="5"/>
      <c r="N3423" s="5"/>
      <c r="O3423" s="5"/>
    </row>
    <row r="3424">
      <c r="A3424" s="6"/>
      <c r="C3424" s="6"/>
      <c r="L3424" s="7"/>
      <c r="M3424" s="5"/>
      <c r="N3424" s="5"/>
      <c r="O3424" s="5"/>
    </row>
    <row r="3425">
      <c r="A3425" s="6"/>
      <c r="C3425" s="6"/>
      <c r="L3425" s="7"/>
      <c r="M3425" s="5"/>
      <c r="N3425" s="5"/>
      <c r="O3425" s="5"/>
    </row>
    <row r="3426">
      <c r="A3426" s="6"/>
      <c r="C3426" s="6"/>
      <c r="L3426" s="7"/>
      <c r="M3426" s="5"/>
      <c r="N3426" s="5"/>
      <c r="O3426" s="5"/>
    </row>
    <row r="3427">
      <c r="A3427" s="6"/>
      <c r="C3427" s="6"/>
      <c r="L3427" s="7"/>
      <c r="M3427" s="5"/>
      <c r="N3427" s="5"/>
      <c r="O3427" s="5"/>
    </row>
    <row r="3428">
      <c r="A3428" s="6"/>
      <c r="C3428" s="6"/>
      <c r="L3428" s="7"/>
      <c r="M3428" s="5"/>
      <c r="N3428" s="5"/>
      <c r="O3428" s="5"/>
    </row>
    <row r="3429">
      <c r="A3429" s="6"/>
      <c r="C3429" s="6"/>
      <c r="L3429" s="7"/>
      <c r="M3429" s="5"/>
      <c r="N3429" s="5"/>
      <c r="O3429" s="5"/>
    </row>
    <row r="3430">
      <c r="A3430" s="6"/>
      <c r="C3430" s="6"/>
      <c r="L3430" s="7"/>
      <c r="M3430" s="5"/>
      <c r="N3430" s="5"/>
      <c r="O3430" s="5"/>
    </row>
    <row r="3431">
      <c r="A3431" s="6"/>
      <c r="C3431" s="6"/>
      <c r="L3431" s="7"/>
      <c r="M3431" s="5"/>
      <c r="N3431" s="5"/>
      <c r="O3431" s="5"/>
    </row>
    <row r="3432">
      <c r="A3432" s="6"/>
      <c r="C3432" s="6"/>
      <c r="L3432" s="7"/>
      <c r="M3432" s="5"/>
      <c r="N3432" s="5"/>
      <c r="O3432" s="5"/>
    </row>
    <row r="3433">
      <c r="A3433" s="6"/>
      <c r="C3433" s="6"/>
      <c r="L3433" s="7"/>
      <c r="M3433" s="5"/>
      <c r="N3433" s="5"/>
      <c r="O3433" s="5"/>
    </row>
    <row r="3434">
      <c r="A3434" s="6"/>
      <c r="C3434" s="6"/>
      <c r="L3434" s="7"/>
      <c r="M3434" s="5"/>
      <c r="N3434" s="5"/>
      <c r="O3434" s="5"/>
    </row>
    <row r="3435">
      <c r="A3435" s="6"/>
      <c r="C3435" s="6"/>
      <c r="L3435" s="7"/>
      <c r="M3435" s="5"/>
      <c r="N3435" s="5"/>
      <c r="O3435" s="5"/>
    </row>
    <row r="3436">
      <c r="A3436" s="6"/>
      <c r="C3436" s="6"/>
      <c r="L3436" s="7"/>
      <c r="M3436" s="5"/>
      <c r="N3436" s="5"/>
      <c r="O3436" s="5"/>
    </row>
    <row r="3437">
      <c r="A3437" s="6"/>
      <c r="C3437" s="6"/>
      <c r="L3437" s="7"/>
      <c r="M3437" s="5"/>
      <c r="N3437" s="5"/>
      <c r="O3437" s="5"/>
    </row>
    <row r="3438">
      <c r="A3438" s="6"/>
      <c r="C3438" s="6"/>
      <c r="L3438" s="7"/>
      <c r="M3438" s="5"/>
      <c r="N3438" s="5"/>
      <c r="O3438" s="5"/>
    </row>
    <row r="3439">
      <c r="A3439" s="6"/>
      <c r="C3439" s="6"/>
      <c r="L3439" s="7"/>
      <c r="M3439" s="5"/>
      <c r="N3439" s="5"/>
      <c r="O3439" s="5"/>
    </row>
    <row r="3440">
      <c r="A3440" s="6"/>
      <c r="C3440" s="6"/>
      <c r="L3440" s="7"/>
      <c r="M3440" s="5"/>
      <c r="N3440" s="5"/>
      <c r="O3440" s="5"/>
    </row>
    <row r="3441">
      <c r="A3441" s="6"/>
      <c r="C3441" s="6"/>
      <c r="L3441" s="7"/>
      <c r="M3441" s="5"/>
      <c r="N3441" s="5"/>
      <c r="O3441" s="5"/>
    </row>
    <row r="3442">
      <c r="A3442" s="6"/>
      <c r="C3442" s="6"/>
      <c r="L3442" s="7"/>
      <c r="M3442" s="5"/>
      <c r="N3442" s="5"/>
      <c r="O3442" s="5"/>
    </row>
    <row r="3443">
      <c r="A3443" s="6"/>
      <c r="C3443" s="6"/>
      <c r="L3443" s="7"/>
      <c r="M3443" s="5"/>
      <c r="N3443" s="5"/>
      <c r="O3443" s="5"/>
    </row>
    <row r="3444">
      <c r="A3444" s="6"/>
      <c r="C3444" s="6"/>
      <c r="L3444" s="7"/>
      <c r="M3444" s="5"/>
      <c r="N3444" s="5"/>
      <c r="O3444" s="5"/>
    </row>
    <row r="3445">
      <c r="A3445" s="6"/>
      <c r="C3445" s="6"/>
      <c r="L3445" s="7"/>
      <c r="M3445" s="5"/>
      <c r="N3445" s="5"/>
      <c r="O3445" s="5"/>
    </row>
    <row r="3446">
      <c r="A3446" s="6"/>
      <c r="C3446" s="6"/>
      <c r="L3446" s="7"/>
      <c r="M3446" s="5"/>
      <c r="N3446" s="5"/>
      <c r="O3446" s="5"/>
    </row>
    <row r="3447">
      <c r="A3447" s="6"/>
      <c r="C3447" s="6"/>
      <c r="L3447" s="7"/>
      <c r="M3447" s="5"/>
      <c r="N3447" s="5"/>
      <c r="O3447" s="5"/>
    </row>
    <row r="3448">
      <c r="A3448" s="6"/>
      <c r="C3448" s="6"/>
      <c r="L3448" s="7"/>
      <c r="M3448" s="5"/>
      <c r="N3448" s="5"/>
      <c r="O3448" s="5"/>
    </row>
    <row r="3449">
      <c r="A3449" s="6"/>
      <c r="C3449" s="6"/>
      <c r="L3449" s="7"/>
      <c r="M3449" s="5"/>
      <c r="N3449" s="5"/>
      <c r="O3449" s="5"/>
    </row>
    <row r="3450">
      <c r="A3450" s="6"/>
      <c r="C3450" s="6"/>
      <c r="L3450" s="7"/>
      <c r="M3450" s="5"/>
      <c r="N3450" s="5"/>
      <c r="O3450" s="5"/>
    </row>
    <row r="3451">
      <c r="A3451" s="6"/>
      <c r="C3451" s="6"/>
      <c r="L3451" s="7"/>
      <c r="M3451" s="5"/>
      <c r="N3451" s="5"/>
      <c r="O3451" s="5"/>
    </row>
    <row r="3452">
      <c r="A3452" s="6"/>
      <c r="C3452" s="6"/>
      <c r="L3452" s="7"/>
      <c r="M3452" s="5"/>
      <c r="N3452" s="5"/>
      <c r="O3452" s="5"/>
    </row>
    <row r="3453">
      <c r="A3453" s="6"/>
      <c r="C3453" s="6"/>
      <c r="L3453" s="7"/>
      <c r="M3453" s="5"/>
      <c r="N3453" s="5"/>
      <c r="O3453" s="5"/>
    </row>
    <row r="3454">
      <c r="A3454" s="6"/>
      <c r="C3454" s="6"/>
      <c r="L3454" s="7"/>
      <c r="M3454" s="5"/>
      <c r="N3454" s="5"/>
      <c r="O3454" s="5"/>
    </row>
    <row r="3455">
      <c r="A3455" s="6"/>
      <c r="C3455" s="6"/>
      <c r="L3455" s="7"/>
      <c r="M3455" s="5"/>
      <c r="N3455" s="5"/>
      <c r="O3455" s="5"/>
    </row>
    <row r="3456">
      <c r="A3456" s="6"/>
      <c r="C3456" s="6"/>
      <c r="L3456" s="7"/>
      <c r="M3456" s="5"/>
      <c r="N3456" s="5"/>
      <c r="O3456" s="5"/>
    </row>
    <row r="3457">
      <c r="A3457" s="6"/>
      <c r="C3457" s="6"/>
      <c r="L3457" s="7"/>
      <c r="M3457" s="5"/>
      <c r="N3457" s="5"/>
      <c r="O3457" s="5"/>
    </row>
    <row r="3458">
      <c r="A3458" s="6"/>
      <c r="C3458" s="6"/>
      <c r="L3458" s="7"/>
      <c r="M3458" s="5"/>
      <c r="N3458" s="5"/>
      <c r="O3458" s="5"/>
    </row>
    <row r="3459">
      <c r="A3459" s="6"/>
      <c r="C3459" s="6"/>
      <c r="L3459" s="7"/>
      <c r="M3459" s="5"/>
      <c r="N3459" s="5"/>
      <c r="O3459" s="5"/>
    </row>
    <row r="3460">
      <c r="A3460" s="6"/>
      <c r="C3460" s="6"/>
      <c r="L3460" s="7"/>
      <c r="M3460" s="5"/>
      <c r="N3460" s="5"/>
      <c r="O3460" s="5"/>
    </row>
    <row r="3461">
      <c r="A3461" s="6"/>
      <c r="C3461" s="6"/>
      <c r="L3461" s="7"/>
      <c r="M3461" s="5"/>
      <c r="N3461" s="5"/>
      <c r="O3461" s="5"/>
    </row>
    <row r="3462">
      <c r="A3462" s="6"/>
      <c r="C3462" s="6"/>
      <c r="L3462" s="7"/>
      <c r="M3462" s="5"/>
      <c r="N3462" s="5"/>
      <c r="O3462" s="5"/>
    </row>
    <row r="3463">
      <c r="A3463" s="6"/>
      <c r="C3463" s="6"/>
      <c r="L3463" s="7"/>
      <c r="M3463" s="5"/>
      <c r="N3463" s="5"/>
      <c r="O3463" s="5"/>
    </row>
    <row r="3464">
      <c r="A3464" s="6"/>
      <c r="C3464" s="6"/>
      <c r="L3464" s="7"/>
      <c r="M3464" s="5"/>
      <c r="N3464" s="5"/>
      <c r="O3464" s="5"/>
    </row>
    <row r="3465">
      <c r="A3465" s="6"/>
      <c r="C3465" s="6"/>
      <c r="L3465" s="7"/>
      <c r="M3465" s="5"/>
      <c r="N3465" s="5"/>
      <c r="O3465" s="5"/>
    </row>
    <row r="3466">
      <c r="A3466" s="6"/>
      <c r="C3466" s="6"/>
      <c r="L3466" s="7"/>
      <c r="M3466" s="5"/>
      <c r="N3466" s="5"/>
      <c r="O3466" s="5"/>
    </row>
    <row r="3467">
      <c r="A3467" s="6"/>
      <c r="C3467" s="6"/>
      <c r="L3467" s="7"/>
      <c r="M3467" s="5"/>
      <c r="N3467" s="5"/>
      <c r="O3467" s="5"/>
    </row>
    <row r="3468">
      <c r="A3468" s="6"/>
      <c r="C3468" s="6"/>
      <c r="L3468" s="7"/>
      <c r="M3468" s="5"/>
      <c r="N3468" s="5"/>
      <c r="O3468" s="5"/>
    </row>
    <row r="3469">
      <c r="A3469" s="6"/>
      <c r="C3469" s="6"/>
      <c r="L3469" s="7"/>
      <c r="M3469" s="5"/>
      <c r="N3469" s="5"/>
      <c r="O3469" s="5"/>
    </row>
    <row r="3470">
      <c r="A3470" s="6"/>
      <c r="C3470" s="6"/>
      <c r="L3470" s="7"/>
      <c r="M3470" s="5"/>
      <c r="N3470" s="5"/>
      <c r="O3470" s="5"/>
    </row>
    <row r="3471">
      <c r="A3471" s="6"/>
      <c r="C3471" s="6"/>
      <c r="L3471" s="7"/>
      <c r="M3471" s="5"/>
      <c r="N3471" s="5"/>
      <c r="O3471" s="5"/>
    </row>
    <row r="3472">
      <c r="A3472" s="6"/>
      <c r="C3472" s="6"/>
      <c r="L3472" s="7"/>
      <c r="M3472" s="5"/>
      <c r="N3472" s="5"/>
      <c r="O3472" s="5"/>
    </row>
    <row r="3473">
      <c r="A3473" s="6"/>
      <c r="C3473" s="6"/>
      <c r="L3473" s="7"/>
      <c r="M3473" s="5"/>
      <c r="N3473" s="5"/>
      <c r="O3473" s="5"/>
    </row>
    <row r="3474">
      <c r="A3474" s="6"/>
      <c r="C3474" s="6"/>
      <c r="L3474" s="7"/>
      <c r="M3474" s="5"/>
      <c r="N3474" s="5"/>
      <c r="O3474" s="5"/>
    </row>
    <row r="3475">
      <c r="A3475" s="6"/>
      <c r="C3475" s="6"/>
      <c r="L3475" s="7"/>
      <c r="M3475" s="5"/>
      <c r="N3475" s="5"/>
      <c r="O3475" s="5"/>
    </row>
    <row r="3476">
      <c r="A3476" s="6"/>
      <c r="C3476" s="6"/>
      <c r="L3476" s="7"/>
      <c r="M3476" s="5"/>
      <c r="N3476" s="5"/>
      <c r="O3476" s="5"/>
    </row>
    <row r="3477">
      <c r="A3477" s="6"/>
      <c r="C3477" s="6"/>
      <c r="L3477" s="7"/>
      <c r="M3477" s="5"/>
      <c r="N3477" s="5"/>
      <c r="O3477" s="5"/>
    </row>
    <row r="3478">
      <c r="A3478" s="6"/>
      <c r="C3478" s="6"/>
      <c r="L3478" s="7"/>
      <c r="M3478" s="5"/>
      <c r="N3478" s="5"/>
      <c r="O3478" s="5"/>
    </row>
    <row r="3479">
      <c r="A3479" s="6"/>
      <c r="C3479" s="6"/>
      <c r="L3479" s="7"/>
      <c r="M3479" s="5"/>
      <c r="N3479" s="5"/>
      <c r="O3479" s="5"/>
    </row>
    <row r="3480">
      <c r="A3480" s="6"/>
      <c r="C3480" s="6"/>
      <c r="L3480" s="7"/>
      <c r="M3480" s="5"/>
      <c r="N3480" s="5"/>
      <c r="O3480" s="5"/>
    </row>
    <row r="3481">
      <c r="A3481" s="6"/>
      <c r="C3481" s="6"/>
      <c r="L3481" s="7"/>
      <c r="M3481" s="5"/>
      <c r="N3481" s="5"/>
      <c r="O3481" s="5"/>
    </row>
    <row r="3482">
      <c r="A3482" s="6"/>
      <c r="C3482" s="6"/>
      <c r="L3482" s="7"/>
      <c r="M3482" s="5"/>
      <c r="N3482" s="5"/>
      <c r="O3482" s="5"/>
    </row>
    <row r="3483">
      <c r="A3483" s="6"/>
      <c r="C3483" s="6"/>
      <c r="L3483" s="7"/>
      <c r="M3483" s="5"/>
      <c r="N3483" s="5"/>
      <c r="O3483" s="5"/>
    </row>
    <row r="3484">
      <c r="A3484" s="6"/>
      <c r="C3484" s="6"/>
      <c r="L3484" s="7"/>
      <c r="M3484" s="5"/>
      <c r="N3484" s="5"/>
      <c r="O3484" s="5"/>
    </row>
    <row r="3485">
      <c r="A3485" s="6"/>
      <c r="C3485" s="6"/>
      <c r="L3485" s="7"/>
      <c r="M3485" s="5"/>
      <c r="N3485" s="5"/>
      <c r="O3485" s="5"/>
    </row>
    <row r="3486">
      <c r="A3486" s="6"/>
      <c r="C3486" s="6"/>
      <c r="L3486" s="7"/>
      <c r="M3486" s="5"/>
      <c r="N3486" s="5"/>
      <c r="O3486" s="5"/>
    </row>
    <row r="3487">
      <c r="A3487" s="6"/>
      <c r="C3487" s="6"/>
      <c r="L3487" s="7"/>
      <c r="M3487" s="5"/>
      <c r="N3487" s="5"/>
      <c r="O3487" s="5"/>
    </row>
    <row r="3488">
      <c r="A3488" s="6"/>
      <c r="C3488" s="6"/>
      <c r="L3488" s="7"/>
      <c r="M3488" s="5"/>
      <c r="N3488" s="5"/>
      <c r="O3488" s="5"/>
    </row>
    <row r="3489">
      <c r="A3489" s="6"/>
      <c r="C3489" s="6"/>
      <c r="L3489" s="7"/>
      <c r="M3489" s="5"/>
      <c r="N3489" s="5"/>
      <c r="O3489" s="5"/>
    </row>
    <row r="3490">
      <c r="A3490" s="6"/>
      <c r="C3490" s="6"/>
      <c r="L3490" s="7"/>
      <c r="M3490" s="5"/>
      <c r="N3490" s="5"/>
      <c r="O3490" s="5"/>
    </row>
    <row r="3491">
      <c r="A3491" s="6"/>
      <c r="C3491" s="6"/>
      <c r="L3491" s="7"/>
      <c r="M3491" s="5"/>
      <c r="N3491" s="5"/>
      <c r="O3491" s="5"/>
    </row>
    <row r="3492">
      <c r="A3492" s="6"/>
      <c r="C3492" s="6"/>
      <c r="L3492" s="7"/>
      <c r="M3492" s="5"/>
      <c r="N3492" s="5"/>
      <c r="O3492" s="5"/>
    </row>
    <row r="3493">
      <c r="A3493" s="6"/>
      <c r="C3493" s="6"/>
      <c r="L3493" s="7"/>
      <c r="M3493" s="5"/>
      <c r="N3493" s="5"/>
      <c r="O3493" s="5"/>
    </row>
    <row r="3494">
      <c r="A3494" s="6"/>
      <c r="C3494" s="6"/>
      <c r="L3494" s="7"/>
      <c r="M3494" s="5"/>
      <c r="N3494" s="5"/>
      <c r="O3494" s="5"/>
    </row>
    <row r="3495">
      <c r="A3495" s="6"/>
      <c r="C3495" s="6"/>
      <c r="L3495" s="7"/>
      <c r="M3495" s="5"/>
      <c r="N3495" s="5"/>
      <c r="O3495" s="5"/>
    </row>
    <row r="3496">
      <c r="A3496" s="6"/>
      <c r="C3496" s="6"/>
      <c r="L3496" s="7"/>
      <c r="M3496" s="5"/>
      <c r="N3496" s="5"/>
      <c r="O3496" s="5"/>
    </row>
    <row r="3497">
      <c r="A3497" s="6"/>
      <c r="C3497" s="6"/>
      <c r="L3497" s="7"/>
      <c r="M3497" s="5"/>
      <c r="N3497" s="5"/>
      <c r="O3497" s="5"/>
    </row>
    <row r="3498">
      <c r="A3498" s="6"/>
      <c r="C3498" s="6"/>
      <c r="L3498" s="7"/>
      <c r="M3498" s="5"/>
      <c r="N3498" s="5"/>
      <c r="O3498" s="5"/>
    </row>
    <row r="3499">
      <c r="A3499" s="6"/>
      <c r="C3499" s="6"/>
      <c r="L3499" s="7"/>
      <c r="M3499" s="5"/>
      <c r="N3499" s="5"/>
      <c r="O3499" s="5"/>
    </row>
    <row r="3500">
      <c r="A3500" s="6"/>
      <c r="C3500" s="6"/>
      <c r="L3500" s="7"/>
      <c r="M3500" s="5"/>
      <c r="N3500" s="5"/>
      <c r="O3500" s="5"/>
    </row>
    <row r="3501">
      <c r="A3501" s="6"/>
      <c r="C3501" s="6"/>
      <c r="L3501" s="7"/>
      <c r="M3501" s="5"/>
      <c r="N3501" s="5"/>
      <c r="O3501" s="5"/>
    </row>
    <row r="3502">
      <c r="A3502" s="6"/>
      <c r="C3502" s="6"/>
      <c r="L3502" s="7"/>
      <c r="M3502" s="5"/>
      <c r="N3502" s="5"/>
      <c r="O3502" s="5"/>
    </row>
    <row r="3503">
      <c r="A3503" s="6"/>
      <c r="C3503" s="6"/>
      <c r="L3503" s="7"/>
      <c r="M3503" s="5"/>
      <c r="N3503" s="5"/>
      <c r="O3503" s="5"/>
    </row>
    <row r="3504">
      <c r="A3504" s="6"/>
      <c r="C3504" s="6"/>
      <c r="L3504" s="7"/>
      <c r="M3504" s="5"/>
      <c r="N3504" s="5"/>
      <c r="O3504" s="5"/>
    </row>
    <row r="3505">
      <c r="A3505" s="6"/>
      <c r="C3505" s="6"/>
      <c r="L3505" s="7"/>
      <c r="M3505" s="5"/>
      <c r="N3505" s="5"/>
      <c r="O3505" s="5"/>
    </row>
    <row r="3506">
      <c r="A3506" s="6"/>
      <c r="C3506" s="6"/>
      <c r="L3506" s="7"/>
      <c r="M3506" s="5"/>
      <c r="N3506" s="5"/>
      <c r="O3506" s="5"/>
    </row>
    <row r="3507">
      <c r="A3507" s="6"/>
      <c r="C3507" s="6"/>
      <c r="L3507" s="7"/>
      <c r="M3507" s="5"/>
      <c r="N3507" s="5"/>
      <c r="O3507" s="5"/>
    </row>
    <row r="3508">
      <c r="A3508" s="6"/>
      <c r="C3508" s="6"/>
      <c r="L3508" s="7"/>
      <c r="M3508" s="5"/>
      <c r="N3508" s="5"/>
      <c r="O3508" s="5"/>
    </row>
    <row r="3509">
      <c r="A3509" s="6"/>
      <c r="C3509" s="6"/>
      <c r="L3509" s="7"/>
      <c r="M3509" s="5"/>
      <c r="N3509" s="5"/>
      <c r="O3509" s="5"/>
    </row>
    <row r="3510">
      <c r="A3510" s="6"/>
      <c r="C3510" s="6"/>
      <c r="L3510" s="7"/>
      <c r="M3510" s="5"/>
      <c r="N3510" s="5"/>
      <c r="O3510" s="5"/>
    </row>
    <row r="3511">
      <c r="A3511" s="6"/>
      <c r="C3511" s="6"/>
      <c r="L3511" s="7"/>
      <c r="M3511" s="5"/>
      <c r="N3511" s="5"/>
      <c r="O3511" s="5"/>
    </row>
    <row r="3512">
      <c r="A3512" s="6"/>
      <c r="C3512" s="6"/>
      <c r="L3512" s="7"/>
      <c r="M3512" s="5"/>
      <c r="N3512" s="5"/>
      <c r="O3512" s="5"/>
    </row>
    <row r="3513">
      <c r="A3513" s="6"/>
      <c r="C3513" s="6"/>
      <c r="L3513" s="7"/>
      <c r="M3513" s="5"/>
      <c r="N3513" s="5"/>
      <c r="O3513" s="5"/>
    </row>
    <row r="3514">
      <c r="A3514" s="6"/>
      <c r="C3514" s="6"/>
      <c r="L3514" s="7"/>
      <c r="M3514" s="5"/>
      <c r="N3514" s="5"/>
      <c r="O3514" s="5"/>
    </row>
    <row r="3515">
      <c r="A3515" s="6"/>
      <c r="C3515" s="6"/>
      <c r="L3515" s="7"/>
      <c r="M3515" s="5"/>
      <c r="N3515" s="5"/>
      <c r="O3515" s="5"/>
    </row>
    <row r="3516">
      <c r="A3516" s="6"/>
      <c r="C3516" s="6"/>
      <c r="L3516" s="7"/>
      <c r="M3516" s="5"/>
      <c r="N3516" s="5"/>
      <c r="O3516" s="5"/>
    </row>
    <row r="3517">
      <c r="A3517" s="6"/>
      <c r="C3517" s="6"/>
      <c r="L3517" s="7"/>
      <c r="M3517" s="5"/>
      <c r="N3517" s="5"/>
      <c r="O3517" s="5"/>
    </row>
    <row r="3518">
      <c r="A3518" s="6"/>
      <c r="C3518" s="6"/>
      <c r="L3518" s="7"/>
      <c r="M3518" s="5"/>
      <c r="N3518" s="5"/>
      <c r="O3518" s="5"/>
    </row>
    <row r="3519">
      <c r="A3519" s="6"/>
      <c r="C3519" s="6"/>
      <c r="L3519" s="7"/>
      <c r="M3519" s="5"/>
      <c r="N3519" s="5"/>
      <c r="O3519" s="5"/>
    </row>
    <row r="3520">
      <c r="A3520" s="6"/>
      <c r="C3520" s="6"/>
      <c r="L3520" s="7"/>
      <c r="M3520" s="5"/>
      <c r="N3520" s="5"/>
      <c r="O3520" s="5"/>
    </row>
    <row r="3521">
      <c r="A3521" s="6"/>
      <c r="C3521" s="6"/>
      <c r="L3521" s="7"/>
      <c r="M3521" s="5"/>
      <c r="N3521" s="5"/>
      <c r="O3521" s="5"/>
    </row>
    <row r="3522">
      <c r="A3522" s="6"/>
      <c r="C3522" s="6"/>
      <c r="L3522" s="7"/>
      <c r="M3522" s="5"/>
      <c r="N3522" s="5"/>
      <c r="O3522" s="5"/>
    </row>
    <row r="3523">
      <c r="A3523" s="6"/>
      <c r="C3523" s="6"/>
      <c r="L3523" s="7"/>
      <c r="M3523" s="5"/>
      <c r="N3523" s="5"/>
      <c r="O3523" s="5"/>
    </row>
    <row r="3524">
      <c r="A3524" s="6"/>
      <c r="C3524" s="6"/>
      <c r="L3524" s="7"/>
      <c r="M3524" s="5"/>
      <c r="N3524" s="5"/>
      <c r="O3524" s="5"/>
    </row>
    <row r="3525">
      <c r="A3525" s="6"/>
      <c r="C3525" s="6"/>
      <c r="L3525" s="7"/>
      <c r="M3525" s="5"/>
      <c r="N3525" s="5"/>
      <c r="O3525" s="5"/>
    </row>
    <row r="3526">
      <c r="A3526" s="6"/>
      <c r="C3526" s="6"/>
      <c r="L3526" s="7"/>
      <c r="M3526" s="5"/>
      <c r="N3526" s="5"/>
      <c r="O3526" s="5"/>
    </row>
    <row r="3527">
      <c r="A3527" s="6"/>
      <c r="C3527" s="6"/>
      <c r="L3527" s="7"/>
      <c r="M3527" s="5"/>
      <c r="N3527" s="5"/>
      <c r="O3527" s="5"/>
    </row>
    <row r="3528">
      <c r="A3528" s="6"/>
      <c r="C3528" s="6"/>
      <c r="L3528" s="7"/>
      <c r="M3528" s="5"/>
      <c r="N3528" s="5"/>
      <c r="O3528" s="5"/>
    </row>
    <row r="3529">
      <c r="A3529" s="6"/>
      <c r="C3529" s="6"/>
      <c r="L3529" s="7"/>
      <c r="M3529" s="5"/>
      <c r="N3529" s="5"/>
      <c r="O3529" s="5"/>
    </row>
    <row r="3530">
      <c r="A3530" s="6"/>
      <c r="C3530" s="6"/>
      <c r="L3530" s="7"/>
      <c r="M3530" s="5"/>
      <c r="N3530" s="5"/>
      <c r="O3530" s="5"/>
    </row>
    <row r="3531">
      <c r="A3531" s="6"/>
      <c r="C3531" s="6"/>
      <c r="L3531" s="7"/>
      <c r="M3531" s="5"/>
      <c r="N3531" s="5"/>
      <c r="O3531" s="5"/>
    </row>
    <row r="3532">
      <c r="A3532" s="6"/>
      <c r="C3532" s="6"/>
      <c r="L3532" s="7"/>
      <c r="M3532" s="5"/>
      <c r="N3532" s="5"/>
      <c r="O3532" s="5"/>
    </row>
    <row r="3533">
      <c r="A3533" s="6"/>
      <c r="C3533" s="6"/>
      <c r="L3533" s="7"/>
      <c r="M3533" s="5"/>
      <c r="N3533" s="5"/>
      <c r="O3533" s="5"/>
    </row>
    <row r="3534">
      <c r="A3534" s="6"/>
      <c r="C3534" s="6"/>
      <c r="L3534" s="7"/>
      <c r="M3534" s="5"/>
      <c r="N3534" s="5"/>
      <c r="O3534" s="5"/>
    </row>
    <row r="3535">
      <c r="A3535" s="6"/>
      <c r="C3535" s="6"/>
      <c r="L3535" s="7"/>
      <c r="M3535" s="5"/>
      <c r="N3535" s="5"/>
      <c r="O3535" s="5"/>
    </row>
    <row r="3536">
      <c r="A3536" s="6"/>
      <c r="C3536" s="6"/>
      <c r="L3536" s="7"/>
      <c r="M3536" s="5"/>
      <c r="N3536" s="5"/>
      <c r="O3536" s="5"/>
    </row>
    <row r="3537">
      <c r="A3537" s="6"/>
      <c r="C3537" s="6"/>
      <c r="L3537" s="7"/>
      <c r="M3537" s="5"/>
      <c r="N3537" s="5"/>
      <c r="O3537" s="5"/>
    </row>
    <row r="3538">
      <c r="A3538" s="6"/>
      <c r="C3538" s="6"/>
      <c r="L3538" s="7"/>
      <c r="M3538" s="5"/>
      <c r="N3538" s="5"/>
      <c r="O3538" s="5"/>
    </row>
    <row r="3539">
      <c r="A3539" s="6"/>
      <c r="C3539" s="6"/>
      <c r="L3539" s="7"/>
      <c r="M3539" s="5"/>
      <c r="N3539" s="5"/>
      <c r="O3539" s="5"/>
    </row>
    <row r="3540">
      <c r="A3540" s="6"/>
      <c r="C3540" s="6"/>
      <c r="L3540" s="7"/>
      <c r="M3540" s="5"/>
      <c r="N3540" s="5"/>
      <c r="O3540" s="5"/>
    </row>
    <row r="3541">
      <c r="A3541" s="6"/>
      <c r="C3541" s="6"/>
      <c r="L3541" s="7"/>
      <c r="M3541" s="5"/>
      <c r="N3541" s="5"/>
      <c r="O3541" s="5"/>
    </row>
    <row r="3542">
      <c r="A3542" s="6"/>
      <c r="C3542" s="6"/>
      <c r="L3542" s="7"/>
      <c r="M3542" s="5"/>
      <c r="N3542" s="5"/>
      <c r="O3542" s="5"/>
    </row>
    <row r="3543">
      <c r="A3543" s="6"/>
      <c r="C3543" s="6"/>
      <c r="L3543" s="7"/>
      <c r="M3543" s="5"/>
      <c r="N3543" s="5"/>
      <c r="O3543" s="5"/>
    </row>
    <row r="3544">
      <c r="A3544" s="6"/>
      <c r="C3544" s="6"/>
      <c r="L3544" s="7"/>
      <c r="M3544" s="5"/>
      <c r="N3544" s="5"/>
      <c r="O3544" s="5"/>
    </row>
    <row r="3545">
      <c r="A3545" s="6"/>
      <c r="C3545" s="6"/>
      <c r="L3545" s="7"/>
      <c r="M3545" s="5"/>
      <c r="N3545" s="5"/>
      <c r="O3545" s="5"/>
    </row>
    <row r="3546">
      <c r="A3546" s="6"/>
      <c r="C3546" s="6"/>
      <c r="L3546" s="7"/>
      <c r="M3546" s="5"/>
      <c r="N3546" s="5"/>
      <c r="O3546" s="5"/>
    </row>
    <row r="3547">
      <c r="A3547" s="6"/>
      <c r="C3547" s="6"/>
      <c r="L3547" s="7"/>
      <c r="M3547" s="5"/>
      <c r="N3547" s="5"/>
      <c r="O3547" s="5"/>
    </row>
    <row r="3548">
      <c r="A3548" s="6"/>
      <c r="C3548" s="6"/>
      <c r="L3548" s="7"/>
      <c r="M3548" s="5"/>
      <c r="N3548" s="5"/>
      <c r="O3548" s="5"/>
    </row>
    <row r="3549">
      <c r="A3549" s="6"/>
      <c r="C3549" s="6"/>
      <c r="L3549" s="7"/>
      <c r="M3549" s="5"/>
      <c r="N3549" s="5"/>
      <c r="O3549" s="5"/>
    </row>
    <row r="3550">
      <c r="A3550" s="6"/>
      <c r="C3550" s="6"/>
      <c r="L3550" s="7"/>
      <c r="M3550" s="5"/>
      <c r="N3550" s="5"/>
      <c r="O3550" s="5"/>
    </row>
    <row r="3551">
      <c r="A3551" s="6"/>
      <c r="C3551" s="6"/>
      <c r="L3551" s="7"/>
      <c r="M3551" s="5"/>
      <c r="N3551" s="5"/>
      <c r="O3551" s="5"/>
    </row>
    <row r="3552">
      <c r="A3552" s="6"/>
      <c r="C3552" s="6"/>
      <c r="L3552" s="7"/>
      <c r="M3552" s="5"/>
      <c r="N3552" s="5"/>
      <c r="O3552" s="5"/>
    </row>
    <row r="3553">
      <c r="A3553" s="6"/>
      <c r="C3553" s="6"/>
      <c r="L3553" s="7"/>
      <c r="M3553" s="5"/>
      <c r="N3553" s="5"/>
      <c r="O3553" s="5"/>
    </row>
    <row r="3554">
      <c r="A3554" s="6"/>
      <c r="C3554" s="6"/>
      <c r="L3554" s="7"/>
      <c r="M3554" s="5"/>
      <c r="N3554" s="5"/>
      <c r="O3554" s="5"/>
    </row>
    <row r="3555">
      <c r="A3555" s="6"/>
      <c r="C3555" s="6"/>
      <c r="L3555" s="7"/>
      <c r="M3555" s="5"/>
      <c r="N3555" s="5"/>
      <c r="O3555" s="5"/>
    </row>
    <row r="3556">
      <c r="A3556" s="6"/>
      <c r="C3556" s="6"/>
      <c r="L3556" s="7"/>
      <c r="M3556" s="5"/>
      <c r="N3556" s="5"/>
      <c r="O3556" s="5"/>
    </row>
    <row r="3557">
      <c r="A3557" s="6"/>
      <c r="C3557" s="6"/>
      <c r="L3557" s="7"/>
      <c r="M3557" s="5"/>
      <c r="N3557" s="5"/>
      <c r="O3557" s="5"/>
    </row>
    <row r="3558">
      <c r="A3558" s="6"/>
      <c r="C3558" s="6"/>
      <c r="L3558" s="7"/>
      <c r="M3558" s="5"/>
      <c r="N3558" s="5"/>
      <c r="O3558" s="5"/>
    </row>
    <row r="3559">
      <c r="A3559" s="6"/>
      <c r="C3559" s="6"/>
      <c r="L3559" s="7"/>
      <c r="M3559" s="5"/>
      <c r="N3559" s="5"/>
      <c r="O3559" s="5"/>
    </row>
    <row r="3560">
      <c r="A3560" s="6"/>
      <c r="C3560" s="6"/>
      <c r="L3560" s="7"/>
      <c r="M3560" s="5"/>
      <c r="N3560" s="5"/>
      <c r="O3560" s="5"/>
    </row>
    <row r="3561">
      <c r="A3561" s="6"/>
      <c r="C3561" s="6"/>
      <c r="L3561" s="7"/>
      <c r="M3561" s="5"/>
      <c r="N3561" s="5"/>
      <c r="O3561" s="5"/>
    </row>
    <row r="3562">
      <c r="A3562" s="6"/>
      <c r="C3562" s="6"/>
      <c r="L3562" s="7"/>
      <c r="M3562" s="5"/>
      <c r="N3562" s="5"/>
      <c r="O3562" s="5"/>
    </row>
    <row r="3563">
      <c r="A3563" s="6"/>
      <c r="C3563" s="6"/>
      <c r="L3563" s="7"/>
      <c r="M3563" s="5"/>
      <c r="N3563" s="5"/>
      <c r="O3563" s="5"/>
    </row>
    <row r="3564">
      <c r="A3564" s="6"/>
      <c r="C3564" s="6"/>
      <c r="L3564" s="7"/>
      <c r="M3564" s="5"/>
      <c r="N3564" s="5"/>
      <c r="O3564" s="5"/>
    </row>
    <row r="3565">
      <c r="A3565" s="6"/>
      <c r="C3565" s="6"/>
      <c r="L3565" s="7"/>
      <c r="M3565" s="5"/>
      <c r="N3565" s="5"/>
      <c r="O3565" s="5"/>
    </row>
    <row r="3566">
      <c r="A3566" s="6"/>
      <c r="C3566" s="6"/>
      <c r="L3566" s="7"/>
      <c r="M3566" s="5"/>
      <c r="N3566" s="5"/>
      <c r="O3566" s="5"/>
    </row>
    <row r="3567">
      <c r="A3567" s="6"/>
      <c r="C3567" s="6"/>
      <c r="L3567" s="7"/>
      <c r="M3567" s="5"/>
      <c r="N3567" s="5"/>
      <c r="O3567" s="5"/>
    </row>
    <row r="3568">
      <c r="A3568" s="6"/>
      <c r="C3568" s="6"/>
      <c r="L3568" s="7"/>
      <c r="M3568" s="5"/>
      <c r="N3568" s="5"/>
      <c r="O3568" s="5"/>
    </row>
    <row r="3569">
      <c r="A3569" s="6"/>
      <c r="C3569" s="6"/>
      <c r="L3569" s="7"/>
      <c r="M3569" s="5"/>
      <c r="N3569" s="5"/>
      <c r="O3569" s="5"/>
    </row>
    <row r="3570">
      <c r="A3570" s="6"/>
      <c r="C3570" s="6"/>
      <c r="L3570" s="7"/>
      <c r="M3570" s="5"/>
      <c r="N3570" s="5"/>
      <c r="O3570" s="5"/>
    </row>
    <row r="3571">
      <c r="A3571" s="6"/>
      <c r="C3571" s="6"/>
      <c r="L3571" s="7"/>
      <c r="M3571" s="5"/>
      <c r="N3571" s="5"/>
      <c r="O3571" s="5"/>
    </row>
    <row r="3572">
      <c r="A3572" s="6"/>
      <c r="C3572" s="6"/>
      <c r="L3572" s="7"/>
      <c r="M3572" s="5"/>
      <c r="N3572" s="5"/>
      <c r="O3572" s="5"/>
    </row>
    <row r="3573">
      <c r="A3573" s="6"/>
      <c r="C3573" s="6"/>
      <c r="L3573" s="7"/>
      <c r="M3573" s="5"/>
      <c r="N3573" s="5"/>
      <c r="O3573" s="5"/>
    </row>
    <row r="3574">
      <c r="A3574" s="6"/>
      <c r="C3574" s="6"/>
      <c r="L3574" s="7"/>
      <c r="M3574" s="5"/>
      <c r="N3574" s="5"/>
      <c r="O3574" s="5"/>
    </row>
    <row r="3575">
      <c r="A3575" s="6"/>
      <c r="C3575" s="6"/>
      <c r="L3575" s="7"/>
      <c r="M3575" s="5"/>
      <c r="N3575" s="5"/>
      <c r="O3575" s="5"/>
    </row>
    <row r="3576">
      <c r="A3576" s="6"/>
      <c r="C3576" s="6"/>
      <c r="L3576" s="7"/>
      <c r="M3576" s="5"/>
      <c r="N3576" s="5"/>
      <c r="O3576" s="5"/>
    </row>
    <row r="3577">
      <c r="A3577" s="6"/>
      <c r="C3577" s="6"/>
      <c r="L3577" s="7"/>
      <c r="M3577" s="5"/>
      <c r="N3577" s="5"/>
      <c r="O3577" s="5"/>
    </row>
    <row r="3578">
      <c r="A3578" s="6"/>
      <c r="C3578" s="6"/>
      <c r="L3578" s="7"/>
      <c r="M3578" s="5"/>
      <c r="N3578" s="5"/>
      <c r="O3578" s="5"/>
    </row>
    <row r="3579">
      <c r="A3579" s="6"/>
      <c r="C3579" s="6"/>
      <c r="L3579" s="7"/>
      <c r="M3579" s="5"/>
      <c r="N3579" s="5"/>
      <c r="O3579" s="5"/>
    </row>
    <row r="3580">
      <c r="A3580" s="6"/>
      <c r="C3580" s="6"/>
      <c r="L3580" s="7"/>
      <c r="M3580" s="5"/>
      <c r="N3580" s="5"/>
      <c r="O3580" s="5"/>
    </row>
    <row r="3581">
      <c r="A3581" s="6"/>
      <c r="C3581" s="6"/>
      <c r="L3581" s="7"/>
      <c r="M3581" s="5"/>
      <c r="N3581" s="5"/>
      <c r="O3581" s="5"/>
    </row>
    <row r="3582">
      <c r="A3582" s="6"/>
      <c r="C3582" s="6"/>
      <c r="L3582" s="7"/>
      <c r="M3582" s="5"/>
      <c r="N3582" s="5"/>
      <c r="O3582" s="5"/>
    </row>
    <row r="3583">
      <c r="A3583" s="6"/>
      <c r="C3583" s="6"/>
      <c r="L3583" s="7"/>
      <c r="M3583" s="5"/>
      <c r="N3583" s="5"/>
      <c r="O3583" s="5"/>
    </row>
    <row r="3584">
      <c r="A3584" s="6"/>
      <c r="C3584" s="6"/>
      <c r="L3584" s="7"/>
      <c r="M3584" s="5"/>
      <c r="N3584" s="5"/>
      <c r="O3584" s="5"/>
    </row>
    <row r="3585">
      <c r="A3585" s="6"/>
      <c r="C3585" s="6"/>
      <c r="L3585" s="7"/>
      <c r="M3585" s="5"/>
      <c r="N3585" s="5"/>
      <c r="O3585" s="5"/>
    </row>
    <row r="3586">
      <c r="A3586" s="6"/>
      <c r="C3586" s="6"/>
      <c r="L3586" s="7"/>
      <c r="M3586" s="5"/>
      <c r="N3586" s="5"/>
      <c r="O3586" s="5"/>
    </row>
    <row r="3587">
      <c r="A3587" s="6"/>
      <c r="C3587" s="6"/>
      <c r="L3587" s="7"/>
      <c r="M3587" s="5"/>
      <c r="N3587" s="5"/>
      <c r="O3587" s="5"/>
    </row>
    <row r="3588">
      <c r="A3588" s="6"/>
      <c r="C3588" s="6"/>
      <c r="L3588" s="7"/>
      <c r="M3588" s="5"/>
      <c r="N3588" s="5"/>
      <c r="O3588" s="5"/>
    </row>
    <row r="3589">
      <c r="A3589" s="6"/>
      <c r="C3589" s="6"/>
      <c r="L3589" s="7"/>
      <c r="M3589" s="5"/>
      <c r="N3589" s="5"/>
      <c r="O3589" s="5"/>
    </row>
    <row r="3590">
      <c r="A3590" s="6"/>
      <c r="C3590" s="6"/>
      <c r="L3590" s="7"/>
      <c r="M3590" s="5"/>
      <c r="N3590" s="5"/>
      <c r="O3590" s="5"/>
    </row>
    <row r="3591">
      <c r="A3591" s="6"/>
      <c r="C3591" s="6"/>
      <c r="L3591" s="7"/>
      <c r="M3591" s="5"/>
      <c r="N3591" s="5"/>
      <c r="O3591" s="5"/>
    </row>
    <row r="3592">
      <c r="A3592" s="6"/>
      <c r="C3592" s="6"/>
      <c r="L3592" s="7"/>
      <c r="M3592" s="5"/>
      <c r="N3592" s="5"/>
      <c r="O3592" s="5"/>
    </row>
    <row r="3593">
      <c r="A3593" s="6"/>
      <c r="C3593" s="6"/>
      <c r="L3593" s="7"/>
      <c r="M3593" s="5"/>
      <c r="N3593" s="5"/>
      <c r="O3593" s="5"/>
    </row>
    <row r="3594">
      <c r="A3594" s="6"/>
      <c r="C3594" s="6"/>
      <c r="L3594" s="7"/>
      <c r="M3594" s="5"/>
      <c r="N3594" s="5"/>
      <c r="O3594" s="5"/>
    </row>
    <row r="3595">
      <c r="A3595" s="6"/>
      <c r="C3595" s="6"/>
      <c r="L3595" s="7"/>
      <c r="M3595" s="5"/>
      <c r="N3595" s="5"/>
      <c r="O3595" s="5"/>
    </row>
    <row r="3596">
      <c r="A3596" s="6"/>
      <c r="C3596" s="6"/>
      <c r="L3596" s="7"/>
      <c r="M3596" s="5"/>
      <c r="N3596" s="5"/>
      <c r="O3596" s="5"/>
    </row>
    <row r="3597">
      <c r="A3597" s="6"/>
      <c r="C3597" s="6"/>
      <c r="L3597" s="7"/>
      <c r="M3597" s="5"/>
      <c r="N3597" s="5"/>
      <c r="O3597" s="5"/>
    </row>
    <row r="3598">
      <c r="A3598" s="6"/>
      <c r="C3598" s="6"/>
      <c r="L3598" s="7"/>
      <c r="M3598" s="5"/>
      <c r="N3598" s="5"/>
      <c r="O3598" s="5"/>
    </row>
    <row r="3599">
      <c r="A3599" s="6"/>
      <c r="C3599" s="6"/>
      <c r="L3599" s="7"/>
      <c r="M3599" s="5"/>
      <c r="N3599" s="5"/>
      <c r="O3599" s="5"/>
    </row>
    <row r="3600">
      <c r="A3600" s="6"/>
      <c r="C3600" s="6"/>
      <c r="L3600" s="7"/>
      <c r="M3600" s="5"/>
      <c r="N3600" s="5"/>
      <c r="O3600" s="5"/>
    </row>
    <row r="3601">
      <c r="A3601" s="6"/>
      <c r="C3601" s="6"/>
      <c r="L3601" s="7"/>
      <c r="M3601" s="5"/>
      <c r="N3601" s="5"/>
      <c r="O3601" s="5"/>
    </row>
    <row r="3602">
      <c r="A3602" s="6"/>
      <c r="C3602" s="6"/>
      <c r="L3602" s="7"/>
      <c r="M3602" s="5"/>
      <c r="N3602" s="5"/>
      <c r="O3602" s="5"/>
    </row>
    <row r="3603">
      <c r="A3603" s="6"/>
      <c r="C3603" s="6"/>
      <c r="L3603" s="7"/>
      <c r="M3603" s="5"/>
      <c r="N3603" s="5"/>
      <c r="O3603" s="5"/>
    </row>
    <row r="3604">
      <c r="A3604" s="6"/>
      <c r="C3604" s="6"/>
      <c r="L3604" s="7"/>
      <c r="M3604" s="5"/>
      <c r="N3604" s="5"/>
      <c r="O3604" s="5"/>
    </row>
    <row r="3605">
      <c r="A3605" s="6"/>
      <c r="C3605" s="6"/>
      <c r="L3605" s="7"/>
      <c r="M3605" s="5"/>
      <c r="N3605" s="5"/>
      <c r="O3605" s="5"/>
    </row>
    <row r="3606">
      <c r="A3606" s="6"/>
      <c r="C3606" s="6"/>
      <c r="L3606" s="7"/>
      <c r="M3606" s="5"/>
      <c r="N3606" s="5"/>
      <c r="O3606" s="5"/>
    </row>
    <row r="3607">
      <c r="A3607" s="6"/>
      <c r="C3607" s="6"/>
      <c r="L3607" s="7"/>
      <c r="M3607" s="5"/>
      <c r="N3607" s="5"/>
      <c r="O3607" s="5"/>
    </row>
    <row r="3608">
      <c r="A3608" s="6"/>
      <c r="C3608" s="6"/>
      <c r="L3608" s="7"/>
      <c r="M3608" s="5"/>
      <c r="N3608" s="5"/>
      <c r="O3608" s="5"/>
    </row>
    <row r="3609">
      <c r="A3609" s="6"/>
      <c r="C3609" s="6"/>
      <c r="L3609" s="7"/>
      <c r="M3609" s="5"/>
      <c r="N3609" s="5"/>
      <c r="O3609" s="5"/>
    </row>
    <row r="3610">
      <c r="A3610" s="6"/>
      <c r="C3610" s="6"/>
      <c r="L3610" s="7"/>
      <c r="M3610" s="5"/>
      <c r="N3610" s="5"/>
      <c r="O3610" s="5"/>
    </row>
    <row r="3611">
      <c r="A3611" s="6"/>
      <c r="C3611" s="6"/>
      <c r="L3611" s="7"/>
      <c r="M3611" s="5"/>
      <c r="N3611" s="5"/>
      <c r="O3611" s="5"/>
    </row>
    <row r="3612">
      <c r="A3612" s="6"/>
      <c r="C3612" s="6"/>
      <c r="L3612" s="7"/>
      <c r="M3612" s="5"/>
      <c r="N3612" s="5"/>
      <c r="O3612" s="5"/>
    </row>
    <row r="3613">
      <c r="A3613" s="6"/>
      <c r="C3613" s="6"/>
      <c r="L3613" s="7"/>
      <c r="M3613" s="5"/>
      <c r="N3613" s="5"/>
      <c r="O3613" s="5"/>
    </row>
    <row r="3614">
      <c r="A3614" s="6"/>
      <c r="C3614" s="6"/>
      <c r="L3614" s="7"/>
      <c r="M3614" s="5"/>
      <c r="N3614" s="5"/>
      <c r="O3614" s="5"/>
    </row>
    <row r="3615">
      <c r="A3615" s="6"/>
      <c r="C3615" s="6"/>
      <c r="L3615" s="7"/>
      <c r="M3615" s="5"/>
      <c r="N3615" s="5"/>
      <c r="O3615" s="5"/>
    </row>
    <row r="3616">
      <c r="A3616" s="6"/>
      <c r="C3616" s="6"/>
      <c r="L3616" s="7"/>
      <c r="M3616" s="5"/>
      <c r="N3616" s="5"/>
      <c r="O3616" s="5"/>
    </row>
    <row r="3617">
      <c r="A3617" s="6"/>
      <c r="C3617" s="6"/>
      <c r="L3617" s="7"/>
      <c r="M3617" s="5"/>
      <c r="N3617" s="5"/>
      <c r="O3617" s="5"/>
    </row>
    <row r="3618">
      <c r="A3618" s="6"/>
      <c r="C3618" s="6"/>
      <c r="L3618" s="7"/>
      <c r="M3618" s="5"/>
      <c r="N3618" s="5"/>
      <c r="O3618" s="5"/>
    </row>
    <row r="3619">
      <c r="A3619" s="6"/>
      <c r="C3619" s="6"/>
      <c r="L3619" s="7"/>
      <c r="M3619" s="5"/>
      <c r="N3619" s="5"/>
      <c r="O3619" s="5"/>
    </row>
    <row r="3620">
      <c r="A3620" s="6"/>
      <c r="C3620" s="6"/>
      <c r="L3620" s="7"/>
      <c r="M3620" s="5"/>
      <c r="N3620" s="5"/>
      <c r="O3620" s="5"/>
    </row>
    <row r="3621">
      <c r="A3621" s="6"/>
      <c r="C3621" s="6"/>
      <c r="L3621" s="7"/>
      <c r="M3621" s="5"/>
      <c r="N3621" s="5"/>
      <c r="O3621" s="5"/>
    </row>
    <row r="3622">
      <c r="A3622" s="6"/>
      <c r="C3622" s="6"/>
      <c r="L3622" s="7"/>
      <c r="M3622" s="5"/>
      <c r="N3622" s="5"/>
      <c r="O3622" s="5"/>
    </row>
    <row r="3623">
      <c r="A3623" s="6"/>
      <c r="C3623" s="6"/>
      <c r="L3623" s="7"/>
      <c r="M3623" s="5"/>
      <c r="N3623" s="5"/>
      <c r="O3623" s="5"/>
    </row>
    <row r="3624">
      <c r="A3624" s="6"/>
      <c r="C3624" s="6"/>
      <c r="L3624" s="7"/>
      <c r="M3624" s="5"/>
      <c r="N3624" s="5"/>
      <c r="O3624" s="5"/>
    </row>
    <row r="3625">
      <c r="A3625" s="6"/>
      <c r="C3625" s="6"/>
      <c r="L3625" s="7"/>
      <c r="M3625" s="5"/>
      <c r="N3625" s="5"/>
      <c r="O3625" s="5"/>
    </row>
    <row r="3626">
      <c r="A3626" s="6"/>
      <c r="C3626" s="6"/>
      <c r="L3626" s="7"/>
      <c r="M3626" s="5"/>
      <c r="N3626" s="5"/>
      <c r="O3626" s="5"/>
    </row>
    <row r="3627">
      <c r="A3627" s="6"/>
      <c r="C3627" s="6"/>
      <c r="L3627" s="7"/>
      <c r="M3627" s="5"/>
      <c r="N3627" s="5"/>
      <c r="O3627" s="5"/>
    </row>
    <row r="3628">
      <c r="A3628" s="6"/>
      <c r="C3628" s="6"/>
      <c r="L3628" s="7"/>
      <c r="M3628" s="5"/>
      <c r="N3628" s="5"/>
      <c r="O3628" s="5"/>
    </row>
    <row r="3629">
      <c r="A3629" s="6"/>
      <c r="C3629" s="6"/>
      <c r="L3629" s="7"/>
      <c r="M3629" s="5"/>
      <c r="N3629" s="5"/>
      <c r="O3629" s="5"/>
    </row>
    <row r="3630">
      <c r="A3630" s="6"/>
      <c r="C3630" s="6"/>
      <c r="L3630" s="7"/>
      <c r="M3630" s="5"/>
      <c r="N3630" s="5"/>
      <c r="O3630" s="5"/>
    </row>
    <row r="3631">
      <c r="A3631" s="6"/>
      <c r="C3631" s="6"/>
      <c r="L3631" s="7"/>
      <c r="M3631" s="5"/>
      <c r="N3631" s="5"/>
      <c r="O3631" s="5"/>
    </row>
    <row r="3632">
      <c r="A3632" s="6"/>
      <c r="C3632" s="6"/>
      <c r="L3632" s="7"/>
      <c r="M3632" s="5"/>
      <c r="N3632" s="5"/>
      <c r="O3632" s="5"/>
    </row>
    <row r="3633">
      <c r="A3633" s="6"/>
      <c r="C3633" s="6"/>
      <c r="L3633" s="7"/>
      <c r="M3633" s="5"/>
      <c r="N3633" s="5"/>
      <c r="O3633" s="5"/>
    </row>
    <row r="3634">
      <c r="A3634" s="6"/>
      <c r="C3634" s="6"/>
      <c r="L3634" s="7"/>
      <c r="M3634" s="5"/>
      <c r="N3634" s="5"/>
      <c r="O3634" s="5"/>
    </row>
    <row r="3635">
      <c r="A3635" s="6"/>
      <c r="C3635" s="6"/>
      <c r="L3635" s="7"/>
      <c r="M3635" s="5"/>
      <c r="N3635" s="5"/>
      <c r="O3635" s="5"/>
    </row>
    <row r="3636">
      <c r="A3636" s="6"/>
      <c r="C3636" s="6"/>
      <c r="L3636" s="7"/>
      <c r="M3636" s="5"/>
      <c r="N3636" s="5"/>
      <c r="O3636" s="5"/>
    </row>
    <row r="3637">
      <c r="A3637" s="6"/>
      <c r="C3637" s="6"/>
      <c r="L3637" s="7"/>
      <c r="M3637" s="5"/>
      <c r="N3637" s="5"/>
      <c r="O3637" s="5"/>
    </row>
    <row r="3638">
      <c r="A3638" s="6"/>
      <c r="C3638" s="6"/>
      <c r="L3638" s="7"/>
      <c r="M3638" s="5"/>
      <c r="N3638" s="5"/>
      <c r="O3638" s="5"/>
    </row>
    <row r="3639">
      <c r="A3639" s="6"/>
      <c r="C3639" s="6"/>
      <c r="L3639" s="7"/>
      <c r="M3639" s="5"/>
      <c r="N3639" s="5"/>
      <c r="O3639" s="5"/>
    </row>
    <row r="3640">
      <c r="A3640" s="6"/>
      <c r="C3640" s="6"/>
      <c r="L3640" s="7"/>
      <c r="M3640" s="5"/>
      <c r="N3640" s="5"/>
      <c r="O3640" s="5"/>
    </row>
    <row r="3641">
      <c r="A3641" s="6"/>
      <c r="C3641" s="6"/>
      <c r="L3641" s="7"/>
      <c r="M3641" s="5"/>
      <c r="N3641" s="5"/>
      <c r="O3641" s="5"/>
    </row>
    <row r="3642">
      <c r="A3642" s="6"/>
      <c r="C3642" s="6"/>
      <c r="L3642" s="7"/>
      <c r="M3642" s="5"/>
      <c r="N3642" s="5"/>
      <c r="O3642" s="5"/>
    </row>
    <row r="3643">
      <c r="A3643" s="6"/>
      <c r="C3643" s="6"/>
      <c r="L3643" s="7"/>
      <c r="M3643" s="5"/>
      <c r="N3643" s="5"/>
      <c r="O3643" s="5"/>
    </row>
    <row r="3644">
      <c r="A3644" s="6"/>
      <c r="C3644" s="6"/>
      <c r="L3644" s="7"/>
      <c r="M3644" s="5"/>
      <c r="N3644" s="5"/>
      <c r="O3644" s="5"/>
    </row>
    <row r="3645">
      <c r="A3645" s="6"/>
      <c r="C3645" s="6"/>
      <c r="L3645" s="7"/>
      <c r="M3645" s="5"/>
      <c r="N3645" s="5"/>
      <c r="O3645" s="5"/>
    </row>
    <row r="3646">
      <c r="A3646" s="6"/>
      <c r="C3646" s="6"/>
      <c r="L3646" s="7"/>
      <c r="M3646" s="5"/>
      <c r="N3646" s="5"/>
      <c r="O3646" s="5"/>
    </row>
    <row r="3647">
      <c r="A3647" s="6"/>
      <c r="C3647" s="6"/>
      <c r="L3647" s="7"/>
      <c r="M3647" s="5"/>
      <c r="N3647" s="5"/>
      <c r="O3647" s="5"/>
    </row>
    <row r="3648">
      <c r="A3648" s="6"/>
      <c r="C3648" s="6"/>
      <c r="L3648" s="7"/>
      <c r="M3648" s="5"/>
      <c r="N3648" s="5"/>
      <c r="O3648" s="5"/>
    </row>
    <row r="3649">
      <c r="A3649" s="6"/>
      <c r="C3649" s="6"/>
      <c r="L3649" s="7"/>
      <c r="M3649" s="5"/>
      <c r="N3649" s="5"/>
      <c r="O3649" s="5"/>
    </row>
    <row r="3650">
      <c r="A3650" s="6"/>
      <c r="C3650" s="6"/>
      <c r="L3650" s="7"/>
      <c r="M3650" s="5"/>
      <c r="N3650" s="5"/>
      <c r="O3650" s="5"/>
    </row>
    <row r="3651">
      <c r="A3651" s="6"/>
      <c r="C3651" s="6"/>
      <c r="L3651" s="7"/>
      <c r="M3651" s="5"/>
      <c r="N3651" s="5"/>
      <c r="O3651" s="5"/>
    </row>
    <row r="3652">
      <c r="A3652" s="6"/>
      <c r="C3652" s="6"/>
      <c r="L3652" s="7"/>
      <c r="M3652" s="5"/>
      <c r="N3652" s="5"/>
      <c r="O3652" s="5"/>
    </row>
    <row r="3653">
      <c r="A3653" s="6"/>
      <c r="C3653" s="6"/>
      <c r="L3653" s="7"/>
      <c r="M3653" s="5"/>
      <c r="N3653" s="5"/>
      <c r="O3653" s="5"/>
    </row>
    <row r="3654">
      <c r="A3654" s="6"/>
      <c r="C3654" s="6"/>
      <c r="L3654" s="7"/>
      <c r="M3654" s="5"/>
      <c r="N3654" s="5"/>
      <c r="O3654" s="5"/>
    </row>
    <row r="3655">
      <c r="A3655" s="6"/>
      <c r="C3655" s="6"/>
      <c r="L3655" s="7"/>
      <c r="M3655" s="5"/>
      <c r="N3655" s="5"/>
      <c r="O3655" s="5"/>
    </row>
    <row r="3656">
      <c r="A3656" s="6"/>
      <c r="C3656" s="6"/>
      <c r="L3656" s="7"/>
      <c r="M3656" s="5"/>
      <c r="N3656" s="5"/>
      <c r="O3656" s="5"/>
    </row>
    <row r="3657">
      <c r="A3657" s="6"/>
      <c r="C3657" s="6"/>
      <c r="L3657" s="7"/>
      <c r="M3657" s="5"/>
      <c r="N3657" s="5"/>
      <c r="O3657" s="5"/>
    </row>
    <row r="3658">
      <c r="A3658" s="6"/>
      <c r="C3658" s="6"/>
      <c r="L3658" s="7"/>
      <c r="M3658" s="5"/>
      <c r="N3658" s="5"/>
      <c r="O3658" s="5"/>
    </row>
    <row r="3659">
      <c r="A3659" s="6"/>
      <c r="C3659" s="6"/>
      <c r="L3659" s="7"/>
      <c r="M3659" s="5"/>
      <c r="N3659" s="5"/>
      <c r="O3659" s="5"/>
    </row>
    <row r="3660">
      <c r="A3660" s="6"/>
      <c r="C3660" s="6"/>
      <c r="L3660" s="7"/>
      <c r="M3660" s="5"/>
      <c r="N3660" s="5"/>
      <c r="O3660" s="5"/>
    </row>
    <row r="3661">
      <c r="A3661" s="6"/>
      <c r="C3661" s="6"/>
      <c r="L3661" s="7"/>
      <c r="M3661" s="5"/>
      <c r="N3661" s="5"/>
      <c r="O3661" s="5"/>
    </row>
    <row r="3662">
      <c r="A3662" s="6"/>
      <c r="C3662" s="6"/>
      <c r="L3662" s="7"/>
      <c r="M3662" s="5"/>
      <c r="N3662" s="5"/>
      <c r="O3662" s="5"/>
    </row>
    <row r="3663">
      <c r="A3663" s="6"/>
      <c r="C3663" s="6"/>
      <c r="L3663" s="7"/>
      <c r="M3663" s="5"/>
      <c r="N3663" s="5"/>
      <c r="O3663" s="5"/>
    </row>
    <row r="3664">
      <c r="A3664" s="6"/>
      <c r="C3664" s="6"/>
      <c r="L3664" s="7"/>
      <c r="M3664" s="5"/>
      <c r="N3664" s="5"/>
      <c r="O3664" s="5"/>
    </row>
    <row r="3665">
      <c r="A3665" s="6"/>
      <c r="C3665" s="6"/>
      <c r="L3665" s="7"/>
      <c r="M3665" s="5"/>
      <c r="N3665" s="5"/>
      <c r="O3665" s="5"/>
    </row>
    <row r="3666">
      <c r="A3666" s="6"/>
      <c r="C3666" s="6"/>
      <c r="L3666" s="7"/>
      <c r="M3666" s="5"/>
      <c r="N3666" s="5"/>
      <c r="O3666" s="5"/>
    </row>
    <row r="3667">
      <c r="A3667" s="6"/>
      <c r="C3667" s="6"/>
      <c r="L3667" s="7"/>
      <c r="M3667" s="5"/>
      <c r="N3667" s="5"/>
      <c r="O3667" s="5"/>
    </row>
    <row r="3668">
      <c r="A3668" s="6"/>
      <c r="C3668" s="6"/>
      <c r="L3668" s="7"/>
      <c r="M3668" s="5"/>
      <c r="N3668" s="5"/>
      <c r="O3668" s="5"/>
    </row>
    <row r="3669">
      <c r="A3669" s="6"/>
      <c r="C3669" s="6"/>
      <c r="L3669" s="7"/>
      <c r="M3669" s="5"/>
      <c r="N3669" s="5"/>
      <c r="O3669" s="5"/>
    </row>
    <row r="3670">
      <c r="A3670" s="6"/>
      <c r="C3670" s="6"/>
      <c r="L3670" s="7"/>
      <c r="M3670" s="5"/>
      <c r="N3670" s="5"/>
      <c r="O3670" s="5"/>
    </row>
    <row r="3671">
      <c r="A3671" s="6"/>
      <c r="C3671" s="6"/>
      <c r="L3671" s="7"/>
      <c r="M3671" s="5"/>
      <c r="N3671" s="5"/>
      <c r="O3671" s="5"/>
    </row>
    <row r="3672">
      <c r="A3672" s="6"/>
      <c r="C3672" s="6"/>
      <c r="L3672" s="7"/>
      <c r="M3672" s="5"/>
      <c r="N3672" s="5"/>
      <c r="O3672" s="5"/>
    </row>
    <row r="3673">
      <c r="A3673" s="6"/>
      <c r="C3673" s="6"/>
      <c r="L3673" s="7"/>
      <c r="M3673" s="5"/>
      <c r="N3673" s="5"/>
      <c r="O3673" s="5"/>
    </row>
    <row r="3674">
      <c r="A3674" s="6"/>
      <c r="C3674" s="6"/>
      <c r="L3674" s="7"/>
      <c r="M3674" s="5"/>
      <c r="N3674" s="5"/>
      <c r="O3674" s="5"/>
    </row>
    <row r="3675">
      <c r="A3675" s="6"/>
      <c r="C3675" s="6"/>
      <c r="L3675" s="7"/>
      <c r="M3675" s="5"/>
      <c r="N3675" s="5"/>
      <c r="O3675" s="5"/>
    </row>
    <row r="3676">
      <c r="A3676" s="6"/>
      <c r="C3676" s="6"/>
      <c r="L3676" s="7"/>
      <c r="M3676" s="5"/>
      <c r="N3676" s="5"/>
      <c r="O3676" s="5"/>
    </row>
    <row r="3677">
      <c r="A3677" s="6"/>
      <c r="C3677" s="6"/>
      <c r="L3677" s="7"/>
      <c r="M3677" s="5"/>
      <c r="N3677" s="5"/>
      <c r="O3677" s="5"/>
    </row>
    <row r="3678">
      <c r="A3678" s="6"/>
      <c r="C3678" s="6"/>
      <c r="L3678" s="7"/>
      <c r="M3678" s="5"/>
      <c r="N3678" s="5"/>
      <c r="O3678" s="5"/>
    </row>
    <row r="3679">
      <c r="A3679" s="6"/>
      <c r="C3679" s="6"/>
      <c r="L3679" s="7"/>
      <c r="M3679" s="5"/>
      <c r="N3679" s="5"/>
      <c r="O3679" s="5"/>
    </row>
    <row r="3680">
      <c r="A3680" s="6"/>
      <c r="C3680" s="6"/>
      <c r="L3680" s="7"/>
      <c r="M3680" s="5"/>
      <c r="N3680" s="5"/>
      <c r="O3680" s="5"/>
    </row>
    <row r="3681">
      <c r="A3681" s="6"/>
      <c r="C3681" s="6"/>
      <c r="L3681" s="7"/>
      <c r="M3681" s="5"/>
      <c r="N3681" s="5"/>
      <c r="O3681" s="5"/>
    </row>
    <row r="3682">
      <c r="A3682" s="6"/>
      <c r="C3682" s="6"/>
      <c r="L3682" s="7"/>
      <c r="M3682" s="5"/>
      <c r="N3682" s="5"/>
      <c r="O3682" s="5"/>
    </row>
    <row r="3683">
      <c r="A3683" s="6"/>
      <c r="C3683" s="6"/>
      <c r="L3683" s="7"/>
      <c r="M3683" s="5"/>
      <c r="N3683" s="5"/>
      <c r="O3683" s="5"/>
    </row>
    <row r="3684">
      <c r="A3684" s="6"/>
      <c r="C3684" s="6"/>
      <c r="L3684" s="7"/>
      <c r="M3684" s="5"/>
      <c r="N3684" s="5"/>
      <c r="O3684" s="5"/>
    </row>
    <row r="3685">
      <c r="A3685" s="6"/>
      <c r="C3685" s="6"/>
      <c r="L3685" s="7"/>
      <c r="M3685" s="5"/>
      <c r="N3685" s="5"/>
      <c r="O3685" s="5"/>
    </row>
    <row r="3686">
      <c r="A3686" s="6"/>
      <c r="C3686" s="6"/>
      <c r="L3686" s="7"/>
      <c r="M3686" s="5"/>
      <c r="N3686" s="5"/>
      <c r="O3686" s="5"/>
    </row>
    <row r="3687">
      <c r="A3687" s="6"/>
      <c r="C3687" s="6"/>
      <c r="L3687" s="7"/>
      <c r="M3687" s="5"/>
      <c r="N3687" s="5"/>
      <c r="O3687" s="5"/>
    </row>
    <row r="3688">
      <c r="A3688" s="6"/>
      <c r="C3688" s="6"/>
      <c r="L3688" s="7"/>
      <c r="M3688" s="5"/>
      <c r="N3688" s="5"/>
      <c r="O3688" s="5"/>
    </row>
    <row r="3689">
      <c r="A3689" s="6"/>
      <c r="C3689" s="6"/>
      <c r="L3689" s="7"/>
      <c r="M3689" s="5"/>
      <c r="N3689" s="5"/>
      <c r="O3689" s="5"/>
    </row>
    <row r="3690">
      <c r="A3690" s="6"/>
      <c r="C3690" s="6"/>
      <c r="L3690" s="7"/>
      <c r="M3690" s="5"/>
      <c r="N3690" s="5"/>
      <c r="O3690" s="5"/>
    </row>
    <row r="3691">
      <c r="A3691" s="6"/>
      <c r="C3691" s="6"/>
      <c r="L3691" s="7"/>
      <c r="M3691" s="5"/>
      <c r="N3691" s="5"/>
      <c r="O3691" s="5"/>
    </row>
    <row r="3692">
      <c r="A3692" s="6"/>
      <c r="C3692" s="6"/>
      <c r="L3692" s="7"/>
      <c r="M3692" s="5"/>
      <c r="N3692" s="5"/>
      <c r="O3692" s="5"/>
    </row>
    <row r="3693">
      <c r="A3693" s="6"/>
      <c r="C3693" s="6"/>
      <c r="L3693" s="7"/>
      <c r="M3693" s="5"/>
      <c r="N3693" s="5"/>
      <c r="O3693" s="5"/>
    </row>
    <row r="3694">
      <c r="A3694" s="6"/>
      <c r="C3694" s="6"/>
      <c r="L3694" s="7"/>
      <c r="M3694" s="5"/>
      <c r="N3694" s="5"/>
      <c r="O3694" s="5"/>
    </row>
    <row r="3695">
      <c r="A3695" s="6"/>
      <c r="C3695" s="6"/>
      <c r="L3695" s="7"/>
      <c r="M3695" s="5"/>
      <c r="N3695" s="5"/>
      <c r="O3695" s="5"/>
    </row>
    <row r="3696">
      <c r="A3696" s="6"/>
      <c r="C3696" s="6"/>
      <c r="L3696" s="7"/>
      <c r="M3696" s="5"/>
      <c r="N3696" s="5"/>
      <c r="O3696" s="5"/>
    </row>
    <row r="3697">
      <c r="A3697" s="6"/>
      <c r="C3697" s="6"/>
      <c r="L3697" s="7"/>
      <c r="M3697" s="5"/>
      <c r="N3697" s="5"/>
      <c r="O3697" s="5"/>
    </row>
    <row r="3698">
      <c r="A3698" s="6"/>
      <c r="C3698" s="6"/>
      <c r="L3698" s="7"/>
      <c r="M3698" s="5"/>
      <c r="N3698" s="5"/>
      <c r="O3698" s="5"/>
    </row>
    <row r="3699">
      <c r="A3699" s="6"/>
      <c r="C3699" s="6"/>
      <c r="L3699" s="7"/>
      <c r="M3699" s="5"/>
      <c r="N3699" s="5"/>
      <c r="O3699" s="5"/>
    </row>
    <row r="3700">
      <c r="A3700" s="6"/>
      <c r="C3700" s="6"/>
      <c r="L3700" s="7"/>
      <c r="M3700" s="5"/>
      <c r="N3700" s="5"/>
      <c r="O3700" s="5"/>
    </row>
    <row r="3701">
      <c r="A3701" s="6"/>
      <c r="C3701" s="6"/>
      <c r="L3701" s="7"/>
      <c r="M3701" s="5"/>
      <c r="N3701" s="5"/>
      <c r="O3701" s="5"/>
    </row>
    <row r="3702">
      <c r="A3702" s="6"/>
      <c r="C3702" s="6"/>
      <c r="L3702" s="7"/>
      <c r="M3702" s="5"/>
      <c r="N3702" s="5"/>
      <c r="O3702" s="5"/>
    </row>
    <row r="3703">
      <c r="A3703" s="6"/>
      <c r="C3703" s="6"/>
      <c r="L3703" s="7"/>
      <c r="M3703" s="5"/>
      <c r="N3703" s="5"/>
      <c r="O3703" s="5"/>
    </row>
    <row r="3704">
      <c r="A3704" s="6"/>
      <c r="C3704" s="6"/>
      <c r="L3704" s="7"/>
      <c r="M3704" s="5"/>
      <c r="N3704" s="5"/>
      <c r="O3704" s="5"/>
    </row>
    <row r="3705">
      <c r="A3705" s="6"/>
      <c r="C3705" s="6"/>
      <c r="L3705" s="7"/>
      <c r="M3705" s="5"/>
      <c r="N3705" s="5"/>
      <c r="O3705" s="5"/>
    </row>
    <row r="3706">
      <c r="A3706" s="6"/>
      <c r="C3706" s="6"/>
      <c r="L3706" s="7"/>
      <c r="M3706" s="5"/>
      <c r="N3706" s="5"/>
      <c r="O3706" s="5"/>
    </row>
    <row r="3707">
      <c r="A3707" s="6"/>
      <c r="C3707" s="6"/>
      <c r="L3707" s="7"/>
      <c r="M3707" s="5"/>
      <c r="N3707" s="5"/>
      <c r="O3707" s="5"/>
    </row>
    <row r="3708">
      <c r="A3708" s="6"/>
      <c r="C3708" s="6"/>
      <c r="L3708" s="7"/>
      <c r="M3708" s="5"/>
      <c r="N3708" s="5"/>
      <c r="O3708" s="5"/>
    </row>
    <row r="3709">
      <c r="A3709" s="6"/>
      <c r="C3709" s="6"/>
      <c r="L3709" s="7"/>
      <c r="M3709" s="5"/>
      <c r="N3709" s="5"/>
      <c r="O3709" s="5"/>
    </row>
    <row r="3710">
      <c r="A3710" s="6"/>
      <c r="C3710" s="6"/>
      <c r="L3710" s="7"/>
      <c r="M3710" s="5"/>
      <c r="N3710" s="5"/>
      <c r="O3710" s="5"/>
    </row>
    <row r="3711">
      <c r="A3711" s="6"/>
      <c r="C3711" s="6"/>
      <c r="L3711" s="7"/>
      <c r="M3711" s="5"/>
      <c r="N3711" s="5"/>
      <c r="O3711" s="5"/>
    </row>
    <row r="3712">
      <c r="A3712" s="6"/>
      <c r="C3712" s="6"/>
      <c r="L3712" s="7"/>
      <c r="M3712" s="5"/>
      <c r="N3712" s="5"/>
      <c r="O3712" s="5"/>
    </row>
    <row r="3713">
      <c r="A3713" s="6"/>
      <c r="C3713" s="6"/>
      <c r="L3713" s="7"/>
      <c r="M3713" s="5"/>
      <c r="N3713" s="5"/>
      <c r="O3713" s="5"/>
    </row>
    <row r="3714">
      <c r="A3714" s="6"/>
      <c r="C3714" s="6"/>
      <c r="L3714" s="7"/>
      <c r="M3714" s="5"/>
      <c r="N3714" s="5"/>
      <c r="O3714" s="5"/>
    </row>
    <row r="3715">
      <c r="A3715" s="6"/>
      <c r="C3715" s="6"/>
      <c r="L3715" s="7"/>
      <c r="M3715" s="5"/>
      <c r="N3715" s="5"/>
      <c r="O3715" s="5"/>
    </row>
    <row r="3716">
      <c r="A3716" s="6"/>
      <c r="C3716" s="6"/>
      <c r="L3716" s="7"/>
      <c r="M3716" s="5"/>
      <c r="N3716" s="5"/>
      <c r="O3716" s="5"/>
    </row>
    <row r="3717">
      <c r="A3717" s="6"/>
      <c r="C3717" s="6"/>
      <c r="L3717" s="7"/>
      <c r="M3717" s="5"/>
      <c r="N3717" s="5"/>
      <c r="O3717" s="5"/>
    </row>
    <row r="3718">
      <c r="A3718" s="6"/>
      <c r="C3718" s="6"/>
      <c r="L3718" s="7"/>
      <c r="M3718" s="5"/>
      <c r="N3718" s="5"/>
      <c r="O3718" s="5"/>
    </row>
    <row r="3719">
      <c r="A3719" s="6"/>
      <c r="C3719" s="6"/>
      <c r="L3719" s="7"/>
      <c r="M3719" s="5"/>
      <c r="N3719" s="5"/>
      <c r="O3719" s="5"/>
    </row>
    <row r="3720">
      <c r="A3720" s="6"/>
      <c r="C3720" s="6"/>
      <c r="L3720" s="7"/>
      <c r="M3720" s="5"/>
      <c r="N3720" s="5"/>
      <c r="O3720" s="5"/>
    </row>
    <row r="3721">
      <c r="A3721" s="6"/>
      <c r="C3721" s="6"/>
      <c r="L3721" s="7"/>
      <c r="M3721" s="5"/>
      <c r="N3721" s="5"/>
      <c r="O3721" s="5"/>
    </row>
    <row r="3722">
      <c r="A3722" s="6"/>
      <c r="C3722" s="6"/>
      <c r="L3722" s="7"/>
      <c r="M3722" s="5"/>
      <c r="N3722" s="5"/>
      <c r="O3722" s="5"/>
    </row>
    <row r="3723">
      <c r="A3723" s="6"/>
      <c r="C3723" s="6"/>
      <c r="L3723" s="7"/>
      <c r="M3723" s="5"/>
      <c r="N3723" s="5"/>
      <c r="O3723" s="5"/>
    </row>
    <row r="3724">
      <c r="A3724" s="6"/>
      <c r="C3724" s="6"/>
      <c r="L3724" s="7"/>
      <c r="M3724" s="5"/>
      <c r="N3724" s="5"/>
      <c r="O3724" s="5"/>
    </row>
    <row r="3725">
      <c r="A3725" s="6"/>
      <c r="C3725" s="6"/>
      <c r="L3725" s="7"/>
      <c r="M3725" s="5"/>
      <c r="N3725" s="5"/>
      <c r="O3725" s="5"/>
    </row>
    <row r="3726">
      <c r="A3726" s="6"/>
      <c r="C3726" s="6"/>
      <c r="L3726" s="7"/>
      <c r="M3726" s="5"/>
      <c r="N3726" s="5"/>
      <c r="O3726" s="5"/>
    </row>
    <row r="3727">
      <c r="A3727" s="6"/>
      <c r="C3727" s="6"/>
      <c r="L3727" s="7"/>
      <c r="M3727" s="5"/>
      <c r="N3727" s="5"/>
      <c r="O3727" s="5"/>
    </row>
    <row r="3728">
      <c r="A3728" s="6"/>
      <c r="C3728" s="6"/>
      <c r="L3728" s="7"/>
      <c r="M3728" s="5"/>
      <c r="N3728" s="5"/>
      <c r="O3728" s="5"/>
    </row>
    <row r="3729">
      <c r="A3729" s="6"/>
      <c r="C3729" s="6"/>
      <c r="L3729" s="7"/>
      <c r="M3729" s="5"/>
      <c r="N3729" s="5"/>
      <c r="O3729" s="5"/>
    </row>
    <row r="3730">
      <c r="A3730" s="6"/>
      <c r="C3730" s="6"/>
      <c r="L3730" s="7"/>
      <c r="M3730" s="5"/>
      <c r="N3730" s="5"/>
      <c r="O3730" s="5"/>
    </row>
    <row r="3731">
      <c r="A3731" s="6"/>
      <c r="C3731" s="6"/>
      <c r="L3731" s="7"/>
      <c r="M3731" s="5"/>
      <c r="N3731" s="5"/>
      <c r="O3731" s="5"/>
    </row>
    <row r="3732">
      <c r="A3732" s="6"/>
      <c r="C3732" s="6"/>
      <c r="L3732" s="7"/>
      <c r="M3732" s="5"/>
      <c r="N3732" s="5"/>
      <c r="O3732" s="5"/>
    </row>
    <row r="3733">
      <c r="A3733" s="6"/>
      <c r="C3733" s="6"/>
      <c r="L3733" s="7"/>
      <c r="M3733" s="5"/>
      <c r="N3733" s="5"/>
      <c r="O3733" s="5"/>
    </row>
    <row r="3734">
      <c r="A3734" s="6"/>
      <c r="C3734" s="6"/>
      <c r="L3734" s="7"/>
      <c r="M3734" s="5"/>
      <c r="N3734" s="5"/>
      <c r="O3734" s="5"/>
    </row>
    <row r="3735">
      <c r="A3735" s="6"/>
      <c r="C3735" s="6"/>
      <c r="L3735" s="7"/>
      <c r="M3735" s="5"/>
      <c r="N3735" s="5"/>
      <c r="O3735" s="5"/>
    </row>
    <row r="3736">
      <c r="A3736" s="6"/>
      <c r="C3736" s="6"/>
      <c r="L3736" s="7"/>
      <c r="M3736" s="5"/>
      <c r="N3736" s="5"/>
      <c r="O3736" s="5"/>
    </row>
    <row r="3737">
      <c r="A3737" s="6"/>
      <c r="C3737" s="6"/>
      <c r="L3737" s="7"/>
      <c r="M3737" s="5"/>
      <c r="N3737" s="5"/>
      <c r="O3737" s="5"/>
    </row>
    <row r="3738">
      <c r="A3738" s="6"/>
      <c r="C3738" s="6"/>
      <c r="L3738" s="7"/>
      <c r="M3738" s="5"/>
      <c r="N3738" s="5"/>
      <c r="O3738" s="5"/>
    </row>
    <row r="3739">
      <c r="A3739" s="6"/>
      <c r="C3739" s="6"/>
      <c r="L3739" s="7"/>
      <c r="M3739" s="5"/>
      <c r="N3739" s="5"/>
      <c r="O3739" s="5"/>
    </row>
    <row r="3740">
      <c r="A3740" s="6"/>
      <c r="C3740" s="6"/>
      <c r="L3740" s="7"/>
      <c r="M3740" s="5"/>
      <c r="N3740" s="5"/>
      <c r="O3740" s="5"/>
    </row>
    <row r="3741">
      <c r="A3741" s="6"/>
      <c r="C3741" s="6"/>
      <c r="L3741" s="7"/>
      <c r="M3741" s="5"/>
      <c r="N3741" s="5"/>
      <c r="O3741" s="5"/>
    </row>
    <row r="3742">
      <c r="A3742" s="6"/>
      <c r="C3742" s="6"/>
      <c r="L3742" s="7"/>
      <c r="M3742" s="5"/>
      <c r="N3742" s="5"/>
      <c r="O3742" s="5"/>
    </row>
    <row r="3743">
      <c r="A3743" s="6"/>
      <c r="C3743" s="6"/>
      <c r="L3743" s="7"/>
      <c r="M3743" s="5"/>
      <c r="N3743" s="5"/>
      <c r="O3743" s="5"/>
    </row>
    <row r="3744">
      <c r="A3744" s="6"/>
      <c r="C3744" s="6"/>
      <c r="L3744" s="7"/>
      <c r="M3744" s="5"/>
      <c r="N3744" s="5"/>
      <c r="O3744" s="5"/>
    </row>
    <row r="3745">
      <c r="A3745" s="6"/>
      <c r="C3745" s="6"/>
      <c r="L3745" s="7"/>
      <c r="M3745" s="5"/>
      <c r="N3745" s="5"/>
      <c r="O3745" s="5"/>
    </row>
    <row r="3746">
      <c r="A3746" s="6"/>
      <c r="C3746" s="6"/>
      <c r="L3746" s="7"/>
      <c r="M3746" s="5"/>
      <c r="N3746" s="5"/>
      <c r="O3746" s="5"/>
    </row>
    <row r="3747">
      <c r="A3747" s="6"/>
      <c r="C3747" s="6"/>
      <c r="L3747" s="7"/>
      <c r="M3747" s="5"/>
      <c r="N3747" s="5"/>
      <c r="O3747" s="5"/>
    </row>
    <row r="3748">
      <c r="A3748" s="6"/>
      <c r="C3748" s="6"/>
      <c r="L3748" s="7"/>
      <c r="M3748" s="5"/>
      <c r="N3748" s="5"/>
      <c r="O3748" s="5"/>
    </row>
    <row r="3749">
      <c r="A3749" s="6"/>
      <c r="C3749" s="6"/>
      <c r="L3749" s="7"/>
      <c r="M3749" s="5"/>
      <c r="N3749" s="5"/>
      <c r="O3749" s="5"/>
    </row>
    <row r="3750">
      <c r="A3750" s="6"/>
      <c r="C3750" s="6"/>
      <c r="L3750" s="7"/>
      <c r="M3750" s="5"/>
      <c r="N3750" s="5"/>
      <c r="O3750" s="5"/>
    </row>
    <row r="3751">
      <c r="A3751" s="6"/>
      <c r="C3751" s="6"/>
      <c r="L3751" s="7"/>
      <c r="M3751" s="5"/>
      <c r="N3751" s="5"/>
      <c r="O3751" s="5"/>
    </row>
    <row r="3752">
      <c r="A3752" s="6"/>
      <c r="C3752" s="6"/>
      <c r="L3752" s="7"/>
      <c r="M3752" s="5"/>
      <c r="N3752" s="5"/>
      <c r="O3752" s="5"/>
    </row>
    <row r="3753">
      <c r="A3753" s="6"/>
      <c r="C3753" s="6"/>
      <c r="L3753" s="7"/>
      <c r="M3753" s="5"/>
      <c r="N3753" s="5"/>
      <c r="O3753" s="5"/>
    </row>
    <row r="3754">
      <c r="A3754" s="6"/>
      <c r="C3754" s="6"/>
      <c r="L3754" s="7"/>
      <c r="M3754" s="5"/>
      <c r="N3754" s="5"/>
      <c r="O3754" s="5"/>
    </row>
    <row r="3755">
      <c r="A3755" s="6"/>
      <c r="C3755" s="6"/>
      <c r="L3755" s="7"/>
      <c r="M3755" s="5"/>
      <c r="N3755" s="5"/>
      <c r="O3755" s="5"/>
    </row>
    <row r="3756">
      <c r="A3756" s="6"/>
      <c r="C3756" s="6"/>
      <c r="L3756" s="7"/>
      <c r="M3756" s="5"/>
      <c r="N3756" s="5"/>
      <c r="O3756" s="5"/>
    </row>
    <row r="3757">
      <c r="A3757" s="6"/>
      <c r="C3757" s="6"/>
      <c r="L3757" s="7"/>
      <c r="M3757" s="5"/>
      <c r="N3757" s="5"/>
      <c r="O3757" s="5"/>
    </row>
    <row r="3758">
      <c r="A3758" s="6"/>
      <c r="C3758" s="6"/>
      <c r="L3758" s="7"/>
      <c r="M3758" s="5"/>
      <c r="N3758" s="5"/>
      <c r="O3758" s="5"/>
    </row>
    <row r="3759">
      <c r="A3759" s="6"/>
      <c r="C3759" s="6"/>
      <c r="L3759" s="7"/>
      <c r="M3759" s="5"/>
      <c r="N3759" s="5"/>
      <c r="O3759" s="5"/>
    </row>
    <row r="3760">
      <c r="A3760" s="6"/>
      <c r="C3760" s="6"/>
      <c r="L3760" s="7"/>
      <c r="M3760" s="5"/>
      <c r="N3760" s="5"/>
      <c r="O3760" s="5"/>
    </row>
    <row r="3761">
      <c r="A3761" s="6"/>
      <c r="C3761" s="6"/>
      <c r="L3761" s="7"/>
      <c r="M3761" s="5"/>
      <c r="N3761" s="5"/>
      <c r="O3761" s="5"/>
    </row>
    <row r="3762">
      <c r="A3762" s="6"/>
      <c r="C3762" s="6"/>
      <c r="L3762" s="7"/>
      <c r="M3762" s="5"/>
      <c r="N3762" s="5"/>
      <c r="O3762" s="5"/>
    </row>
    <row r="3763">
      <c r="A3763" s="6"/>
      <c r="C3763" s="6"/>
      <c r="L3763" s="7"/>
      <c r="M3763" s="5"/>
      <c r="N3763" s="5"/>
      <c r="O3763" s="5"/>
    </row>
    <row r="3764">
      <c r="A3764" s="6"/>
      <c r="C3764" s="6"/>
      <c r="L3764" s="7"/>
      <c r="M3764" s="5"/>
      <c r="N3764" s="5"/>
      <c r="O3764" s="5"/>
    </row>
    <row r="3765">
      <c r="A3765" s="6"/>
      <c r="C3765" s="6"/>
      <c r="L3765" s="7"/>
      <c r="M3765" s="5"/>
      <c r="N3765" s="5"/>
      <c r="O3765" s="5"/>
    </row>
    <row r="3766">
      <c r="A3766" s="6"/>
      <c r="C3766" s="6"/>
      <c r="L3766" s="7"/>
      <c r="M3766" s="5"/>
      <c r="N3766" s="5"/>
      <c r="O3766" s="5"/>
    </row>
    <row r="3767">
      <c r="A3767" s="6"/>
      <c r="C3767" s="6"/>
      <c r="L3767" s="7"/>
      <c r="M3767" s="5"/>
      <c r="N3767" s="5"/>
      <c r="O3767" s="5"/>
    </row>
    <row r="3768">
      <c r="A3768" s="6"/>
      <c r="C3768" s="6"/>
      <c r="L3768" s="7"/>
      <c r="M3768" s="5"/>
      <c r="N3768" s="5"/>
      <c r="O3768" s="5"/>
    </row>
    <row r="3769">
      <c r="A3769" s="6"/>
      <c r="C3769" s="6"/>
      <c r="L3769" s="7"/>
      <c r="M3769" s="5"/>
      <c r="N3769" s="5"/>
      <c r="O3769" s="5"/>
    </row>
    <row r="3770">
      <c r="A3770" s="6"/>
      <c r="C3770" s="6"/>
      <c r="L3770" s="7"/>
      <c r="M3770" s="5"/>
      <c r="N3770" s="5"/>
      <c r="O3770" s="5"/>
    </row>
    <row r="3771">
      <c r="A3771" s="6"/>
      <c r="C3771" s="6"/>
      <c r="L3771" s="7"/>
      <c r="M3771" s="5"/>
      <c r="N3771" s="5"/>
      <c r="O3771" s="5"/>
    </row>
    <row r="3772">
      <c r="A3772" s="6"/>
      <c r="C3772" s="6"/>
      <c r="L3772" s="7"/>
      <c r="M3772" s="5"/>
      <c r="N3772" s="5"/>
      <c r="O3772" s="5"/>
    </row>
    <row r="3773">
      <c r="A3773" s="6"/>
      <c r="C3773" s="6"/>
      <c r="L3773" s="7"/>
      <c r="M3773" s="5"/>
      <c r="N3773" s="5"/>
      <c r="O3773" s="5"/>
    </row>
    <row r="3774">
      <c r="A3774" s="6"/>
      <c r="C3774" s="6"/>
      <c r="L3774" s="7"/>
      <c r="M3774" s="5"/>
      <c r="N3774" s="5"/>
      <c r="O3774" s="5"/>
    </row>
    <row r="3775">
      <c r="A3775" s="6"/>
      <c r="C3775" s="6"/>
      <c r="L3775" s="7"/>
      <c r="M3775" s="5"/>
      <c r="N3775" s="5"/>
      <c r="O3775" s="5"/>
    </row>
    <row r="3776">
      <c r="A3776" s="6"/>
      <c r="C3776" s="6"/>
      <c r="L3776" s="7"/>
      <c r="M3776" s="5"/>
      <c r="N3776" s="5"/>
      <c r="O3776" s="5"/>
    </row>
    <row r="3777">
      <c r="A3777" s="6"/>
      <c r="C3777" s="6"/>
      <c r="L3777" s="7"/>
      <c r="M3777" s="5"/>
      <c r="N3777" s="5"/>
      <c r="O3777" s="5"/>
    </row>
    <row r="3778">
      <c r="A3778" s="6"/>
      <c r="C3778" s="6"/>
      <c r="L3778" s="7"/>
      <c r="M3778" s="5"/>
      <c r="N3778" s="5"/>
      <c r="O3778" s="5"/>
    </row>
    <row r="3779">
      <c r="A3779" s="6"/>
      <c r="C3779" s="6"/>
      <c r="L3779" s="7"/>
      <c r="M3779" s="5"/>
      <c r="N3779" s="5"/>
      <c r="O3779" s="5"/>
    </row>
    <row r="3780">
      <c r="A3780" s="6"/>
      <c r="C3780" s="6"/>
      <c r="L3780" s="7"/>
      <c r="M3780" s="5"/>
      <c r="N3780" s="5"/>
      <c r="O3780" s="5"/>
    </row>
    <row r="3781">
      <c r="A3781" s="6"/>
      <c r="C3781" s="6"/>
      <c r="L3781" s="7"/>
      <c r="M3781" s="5"/>
      <c r="N3781" s="5"/>
      <c r="O3781" s="5"/>
    </row>
    <row r="3782">
      <c r="A3782" s="6"/>
      <c r="C3782" s="6"/>
      <c r="L3782" s="7"/>
      <c r="M3782" s="5"/>
      <c r="N3782" s="5"/>
      <c r="O3782" s="5"/>
    </row>
    <row r="3783">
      <c r="A3783" s="6"/>
      <c r="C3783" s="6"/>
      <c r="L3783" s="7"/>
      <c r="M3783" s="5"/>
      <c r="N3783" s="5"/>
      <c r="O3783" s="5"/>
    </row>
    <row r="3784">
      <c r="A3784" s="6"/>
      <c r="C3784" s="6"/>
      <c r="L3784" s="7"/>
      <c r="M3784" s="5"/>
      <c r="N3784" s="5"/>
      <c r="O3784" s="5"/>
    </row>
    <row r="3785">
      <c r="A3785" s="6"/>
      <c r="C3785" s="6"/>
      <c r="L3785" s="7"/>
      <c r="M3785" s="5"/>
      <c r="N3785" s="5"/>
      <c r="O3785" s="5"/>
    </row>
    <row r="3786">
      <c r="A3786" s="6"/>
      <c r="C3786" s="6"/>
      <c r="L3786" s="7"/>
      <c r="M3786" s="5"/>
      <c r="N3786" s="5"/>
      <c r="O3786" s="5"/>
    </row>
    <row r="3787">
      <c r="A3787" s="6"/>
      <c r="C3787" s="6"/>
      <c r="L3787" s="7"/>
      <c r="M3787" s="5"/>
      <c r="N3787" s="5"/>
      <c r="O3787" s="5"/>
    </row>
    <row r="3788">
      <c r="A3788" s="6"/>
      <c r="C3788" s="6"/>
      <c r="L3788" s="7"/>
      <c r="M3788" s="5"/>
      <c r="N3788" s="5"/>
      <c r="O3788" s="5"/>
    </row>
    <row r="3789">
      <c r="A3789" s="6"/>
      <c r="C3789" s="6"/>
      <c r="L3789" s="7"/>
      <c r="M3789" s="5"/>
      <c r="N3789" s="5"/>
      <c r="O3789" s="5"/>
    </row>
    <row r="3790">
      <c r="A3790" s="6"/>
      <c r="C3790" s="6"/>
      <c r="L3790" s="7"/>
      <c r="M3790" s="5"/>
      <c r="N3790" s="5"/>
      <c r="O3790" s="5"/>
    </row>
    <row r="3791">
      <c r="A3791" s="6"/>
      <c r="C3791" s="6"/>
      <c r="L3791" s="7"/>
      <c r="M3791" s="5"/>
      <c r="N3791" s="5"/>
      <c r="O3791" s="5"/>
    </row>
    <row r="3792">
      <c r="A3792" s="6"/>
      <c r="C3792" s="6"/>
      <c r="L3792" s="7"/>
      <c r="M3792" s="5"/>
      <c r="N3792" s="5"/>
      <c r="O3792" s="5"/>
    </row>
    <row r="3793">
      <c r="A3793" s="6"/>
      <c r="C3793" s="6"/>
      <c r="L3793" s="7"/>
      <c r="M3793" s="5"/>
      <c r="N3793" s="5"/>
      <c r="O3793" s="5"/>
    </row>
    <row r="3794">
      <c r="A3794" s="6"/>
      <c r="C3794" s="6"/>
      <c r="L3794" s="7"/>
      <c r="M3794" s="5"/>
      <c r="N3794" s="5"/>
      <c r="O3794" s="5"/>
    </row>
    <row r="3795">
      <c r="A3795" s="6"/>
      <c r="C3795" s="6"/>
      <c r="L3795" s="7"/>
      <c r="M3795" s="5"/>
      <c r="N3795" s="5"/>
      <c r="O3795" s="5"/>
    </row>
    <row r="3796">
      <c r="A3796" s="6"/>
      <c r="C3796" s="6"/>
      <c r="L3796" s="7"/>
      <c r="M3796" s="5"/>
      <c r="N3796" s="5"/>
      <c r="O3796" s="5"/>
    </row>
    <row r="3797">
      <c r="A3797" s="6"/>
      <c r="C3797" s="6"/>
      <c r="L3797" s="7"/>
      <c r="M3797" s="5"/>
      <c r="N3797" s="5"/>
      <c r="O3797" s="5"/>
    </row>
    <row r="3798">
      <c r="A3798" s="6"/>
      <c r="C3798" s="6"/>
      <c r="L3798" s="7"/>
      <c r="M3798" s="5"/>
      <c r="N3798" s="5"/>
      <c r="O3798" s="5"/>
    </row>
    <row r="3799">
      <c r="A3799" s="6"/>
      <c r="C3799" s="6"/>
      <c r="L3799" s="7"/>
      <c r="M3799" s="5"/>
      <c r="N3799" s="5"/>
      <c r="O3799" s="5"/>
    </row>
    <row r="3800">
      <c r="A3800" s="6"/>
      <c r="C3800" s="6"/>
      <c r="L3800" s="7"/>
      <c r="M3800" s="5"/>
      <c r="N3800" s="5"/>
      <c r="O3800" s="5"/>
    </row>
    <row r="3801">
      <c r="A3801" s="6"/>
      <c r="C3801" s="6"/>
      <c r="L3801" s="7"/>
      <c r="M3801" s="5"/>
      <c r="N3801" s="5"/>
      <c r="O3801" s="5"/>
    </row>
    <row r="3802">
      <c r="A3802" s="6"/>
      <c r="C3802" s="6"/>
      <c r="L3802" s="7"/>
      <c r="M3802" s="5"/>
      <c r="N3802" s="5"/>
      <c r="O3802" s="5"/>
    </row>
    <row r="3803">
      <c r="A3803" s="6"/>
      <c r="C3803" s="6"/>
      <c r="L3803" s="7"/>
      <c r="M3803" s="5"/>
      <c r="N3803" s="5"/>
      <c r="O3803" s="5"/>
    </row>
    <row r="3804">
      <c r="A3804" s="6"/>
      <c r="C3804" s="6"/>
      <c r="L3804" s="7"/>
      <c r="M3804" s="5"/>
      <c r="N3804" s="5"/>
      <c r="O3804" s="5"/>
    </row>
    <row r="3805">
      <c r="A3805" s="6"/>
      <c r="C3805" s="6"/>
      <c r="L3805" s="7"/>
      <c r="M3805" s="5"/>
      <c r="N3805" s="5"/>
      <c r="O3805" s="5"/>
    </row>
    <row r="3806">
      <c r="A3806" s="6"/>
      <c r="C3806" s="6"/>
      <c r="L3806" s="7"/>
      <c r="M3806" s="5"/>
      <c r="N3806" s="5"/>
      <c r="O3806" s="5"/>
    </row>
    <row r="3807">
      <c r="A3807" s="6"/>
      <c r="C3807" s="6"/>
      <c r="L3807" s="7"/>
      <c r="M3807" s="5"/>
      <c r="N3807" s="5"/>
      <c r="O3807" s="5"/>
    </row>
    <row r="3808">
      <c r="A3808" s="6"/>
      <c r="C3808" s="6"/>
      <c r="L3808" s="7"/>
      <c r="M3808" s="5"/>
      <c r="N3808" s="5"/>
      <c r="O3808" s="5"/>
    </row>
    <row r="3809">
      <c r="A3809" s="6"/>
      <c r="C3809" s="6"/>
      <c r="L3809" s="7"/>
      <c r="M3809" s="5"/>
      <c r="N3809" s="5"/>
      <c r="O3809" s="5"/>
    </row>
    <row r="3810">
      <c r="A3810" s="6"/>
      <c r="C3810" s="6"/>
      <c r="L3810" s="7"/>
      <c r="M3810" s="5"/>
      <c r="N3810" s="5"/>
      <c r="O3810" s="5"/>
    </row>
    <row r="3811">
      <c r="A3811" s="6"/>
      <c r="C3811" s="6"/>
      <c r="L3811" s="7"/>
      <c r="M3811" s="5"/>
      <c r="N3811" s="5"/>
      <c r="O3811" s="5"/>
    </row>
    <row r="3812">
      <c r="A3812" s="6"/>
      <c r="C3812" s="6"/>
      <c r="L3812" s="7"/>
      <c r="M3812" s="5"/>
      <c r="N3812" s="5"/>
      <c r="O3812" s="5"/>
    </row>
    <row r="3813">
      <c r="A3813" s="6"/>
      <c r="C3813" s="6"/>
      <c r="L3813" s="7"/>
      <c r="M3813" s="5"/>
      <c r="N3813" s="5"/>
      <c r="O3813" s="5"/>
    </row>
    <row r="3814">
      <c r="A3814" s="6"/>
      <c r="C3814" s="6"/>
      <c r="L3814" s="7"/>
      <c r="M3814" s="5"/>
      <c r="N3814" s="5"/>
      <c r="O3814" s="5"/>
    </row>
    <row r="3815">
      <c r="A3815" s="6"/>
      <c r="C3815" s="6"/>
      <c r="L3815" s="7"/>
      <c r="M3815" s="5"/>
      <c r="N3815" s="5"/>
      <c r="O3815" s="5"/>
    </row>
    <row r="3816">
      <c r="A3816" s="6"/>
      <c r="C3816" s="6"/>
      <c r="L3816" s="7"/>
      <c r="M3816" s="5"/>
      <c r="N3816" s="5"/>
      <c r="O3816" s="5"/>
    </row>
    <row r="3817">
      <c r="A3817" s="6"/>
      <c r="C3817" s="6"/>
      <c r="L3817" s="7"/>
      <c r="M3817" s="5"/>
      <c r="N3817" s="5"/>
      <c r="O3817" s="5"/>
    </row>
    <row r="3818">
      <c r="A3818" s="6"/>
      <c r="C3818" s="6"/>
      <c r="L3818" s="7"/>
      <c r="M3818" s="5"/>
      <c r="N3818" s="5"/>
      <c r="O3818" s="5"/>
    </row>
    <row r="3819">
      <c r="A3819" s="6"/>
      <c r="C3819" s="6"/>
      <c r="L3819" s="7"/>
      <c r="M3819" s="5"/>
      <c r="N3819" s="5"/>
      <c r="O3819" s="5"/>
    </row>
    <row r="3820">
      <c r="A3820" s="6"/>
      <c r="C3820" s="6"/>
      <c r="L3820" s="7"/>
      <c r="M3820" s="5"/>
      <c r="N3820" s="5"/>
      <c r="O3820" s="5"/>
    </row>
    <row r="3821">
      <c r="A3821" s="6"/>
      <c r="C3821" s="6"/>
      <c r="L3821" s="7"/>
      <c r="M3821" s="5"/>
      <c r="N3821" s="5"/>
      <c r="O3821" s="5"/>
    </row>
    <row r="3822">
      <c r="A3822" s="6"/>
      <c r="C3822" s="6"/>
      <c r="L3822" s="7"/>
      <c r="M3822" s="5"/>
      <c r="N3822" s="5"/>
      <c r="O3822" s="5"/>
    </row>
    <row r="3823">
      <c r="A3823" s="6"/>
      <c r="C3823" s="6"/>
      <c r="L3823" s="7"/>
      <c r="M3823" s="5"/>
      <c r="N3823" s="5"/>
      <c r="O3823" s="5"/>
    </row>
    <row r="3824">
      <c r="A3824" s="6"/>
      <c r="C3824" s="6"/>
      <c r="L3824" s="7"/>
      <c r="M3824" s="5"/>
      <c r="N3824" s="5"/>
      <c r="O3824" s="5"/>
    </row>
    <row r="3825">
      <c r="A3825" s="6"/>
      <c r="C3825" s="6"/>
      <c r="L3825" s="7"/>
      <c r="M3825" s="5"/>
      <c r="N3825" s="5"/>
      <c r="O3825" s="5"/>
    </row>
    <row r="3826">
      <c r="A3826" s="6"/>
      <c r="C3826" s="6"/>
      <c r="L3826" s="7"/>
      <c r="M3826" s="5"/>
      <c r="N3826" s="5"/>
      <c r="O3826" s="5"/>
    </row>
    <row r="3827">
      <c r="A3827" s="6"/>
      <c r="C3827" s="6"/>
      <c r="L3827" s="7"/>
      <c r="M3827" s="5"/>
      <c r="N3827" s="5"/>
      <c r="O3827" s="5"/>
    </row>
    <row r="3828">
      <c r="A3828" s="6"/>
      <c r="C3828" s="6"/>
      <c r="L3828" s="7"/>
      <c r="M3828" s="5"/>
      <c r="N3828" s="5"/>
      <c r="O3828" s="5"/>
    </row>
    <row r="3829">
      <c r="A3829" s="6"/>
      <c r="C3829" s="6"/>
      <c r="L3829" s="7"/>
      <c r="M3829" s="5"/>
      <c r="N3829" s="5"/>
      <c r="O3829" s="5"/>
    </row>
    <row r="3830">
      <c r="A3830" s="6"/>
      <c r="C3830" s="6"/>
      <c r="L3830" s="7"/>
      <c r="M3830" s="5"/>
      <c r="N3830" s="5"/>
      <c r="O3830" s="5"/>
    </row>
    <row r="3831">
      <c r="A3831" s="6"/>
      <c r="C3831" s="6"/>
      <c r="L3831" s="7"/>
      <c r="M3831" s="5"/>
      <c r="N3831" s="5"/>
      <c r="O3831" s="5"/>
    </row>
    <row r="3832">
      <c r="A3832" s="6"/>
      <c r="C3832" s="6"/>
      <c r="L3832" s="7"/>
      <c r="M3832" s="5"/>
      <c r="N3832" s="5"/>
      <c r="O3832" s="5"/>
    </row>
    <row r="3833">
      <c r="A3833" s="6"/>
      <c r="C3833" s="6"/>
      <c r="L3833" s="7"/>
      <c r="M3833" s="5"/>
      <c r="N3833" s="5"/>
      <c r="O3833" s="5"/>
    </row>
    <row r="3834">
      <c r="A3834" s="6"/>
      <c r="C3834" s="6"/>
      <c r="L3834" s="7"/>
      <c r="M3834" s="5"/>
      <c r="N3834" s="5"/>
      <c r="O3834" s="5"/>
    </row>
    <row r="3835">
      <c r="A3835" s="6"/>
      <c r="C3835" s="6"/>
      <c r="L3835" s="7"/>
      <c r="M3835" s="5"/>
      <c r="N3835" s="5"/>
      <c r="O3835" s="5"/>
    </row>
    <row r="3836">
      <c r="A3836" s="6"/>
      <c r="C3836" s="6"/>
      <c r="L3836" s="7"/>
      <c r="M3836" s="5"/>
      <c r="N3836" s="5"/>
      <c r="O3836" s="5"/>
    </row>
    <row r="3837">
      <c r="A3837" s="6"/>
      <c r="C3837" s="6"/>
      <c r="L3837" s="7"/>
      <c r="M3837" s="5"/>
      <c r="N3837" s="5"/>
      <c r="O3837" s="5"/>
    </row>
    <row r="3838">
      <c r="A3838" s="6"/>
      <c r="C3838" s="6"/>
      <c r="L3838" s="7"/>
      <c r="M3838" s="5"/>
      <c r="N3838" s="5"/>
      <c r="O3838" s="5"/>
    </row>
    <row r="3839">
      <c r="A3839" s="6"/>
      <c r="C3839" s="6"/>
      <c r="L3839" s="7"/>
      <c r="M3839" s="5"/>
      <c r="N3839" s="5"/>
      <c r="O3839" s="5"/>
    </row>
    <row r="3840">
      <c r="A3840" s="6"/>
      <c r="C3840" s="6"/>
      <c r="L3840" s="7"/>
      <c r="M3840" s="5"/>
      <c r="N3840" s="5"/>
      <c r="O3840" s="5"/>
    </row>
    <row r="3841">
      <c r="A3841" s="6"/>
      <c r="C3841" s="6"/>
      <c r="L3841" s="7"/>
      <c r="M3841" s="5"/>
      <c r="N3841" s="5"/>
      <c r="O3841" s="5"/>
    </row>
    <row r="3842">
      <c r="A3842" s="6"/>
      <c r="C3842" s="6"/>
      <c r="L3842" s="7"/>
      <c r="M3842" s="5"/>
      <c r="N3842" s="5"/>
      <c r="O3842" s="5"/>
    </row>
    <row r="3843">
      <c r="A3843" s="6"/>
      <c r="C3843" s="6"/>
      <c r="L3843" s="7"/>
      <c r="M3843" s="5"/>
      <c r="N3843" s="5"/>
      <c r="O3843" s="5"/>
    </row>
    <row r="3844">
      <c r="A3844" s="6"/>
      <c r="C3844" s="6"/>
      <c r="L3844" s="7"/>
      <c r="M3844" s="5"/>
      <c r="N3844" s="5"/>
      <c r="O3844" s="5"/>
    </row>
    <row r="3845">
      <c r="A3845" s="6"/>
      <c r="C3845" s="6"/>
      <c r="L3845" s="7"/>
      <c r="M3845" s="5"/>
      <c r="N3845" s="5"/>
      <c r="O3845" s="5"/>
    </row>
    <row r="3846">
      <c r="A3846" s="6"/>
      <c r="C3846" s="6"/>
      <c r="L3846" s="7"/>
      <c r="M3846" s="5"/>
      <c r="N3846" s="5"/>
      <c r="O3846" s="5"/>
    </row>
    <row r="3847">
      <c r="A3847" s="6"/>
      <c r="C3847" s="6"/>
      <c r="L3847" s="7"/>
      <c r="M3847" s="5"/>
      <c r="N3847" s="5"/>
      <c r="O3847" s="5"/>
    </row>
    <row r="3848">
      <c r="A3848" s="6"/>
      <c r="C3848" s="6"/>
      <c r="L3848" s="7"/>
      <c r="M3848" s="5"/>
      <c r="N3848" s="5"/>
      <c r="O3848" s="5"/>
    </row>
    <row r="3849">
      <c r="A3849" s="6"/>
      <c r="C3849" s="6"/>
      <c r="L3849" s="7"/>
      <c r="M3849" s="5"/>
      <c r="N3849" s="5"/>
      <c r="O3849" s="5"/>
    </row>
    <row r="3850">
      <c r="A3850" s="6"/>
      <c r="C3850" s="6"/>
      <c r="L3850" s="7"/>
      <c r="M3850" s="5"/>
      <c r="N3850" s="5"/>
      <c r="O3850" s="5"/>
    </row>
    <row r="3851">
      <c r="A3851" s="6"/>
      <c r="C3851" s="6"/>
      <c r="L3851" s="7"/>
      <c r="M3851" s="5"/>
      <c r="N3851" s="5"/>
      <c r="O3851" s="5"/>
    </row>
    <row r="3852">
      <c r="A3852" s="6"/>
      <c r="C3852" s="6"/>
      <c r="L3852" s="7"/>
      <c r="M3852" s="5"/>
      <c r="N3852" s="5"/>
      <c r="O3852" s="5"/>
    </row>
    <row r="3853">
      <c r="A3853" s="6"/>
      <c r="C3853" s="6"/>
      <c r="L3853" s="7"/>
      <c r="M3853" s="5"/>
      <c r="N3853" s="5"/>
      <c r="O3853" s="5"/>
    </row>
    <row r="3854">
      <c r="A3854" s="6"/>
      <c r="C3854" s="6"/>
      <c r="L3854" s="7"/>
      <c r="M3854" s="5"/>
      <c r="N3854" s="5"/>
      <c r="O3854" s="5"/>
    </row>
    <row r="3855">
      <c r="A3855" s="6"/>
      <c r="C3855" s="6"/>
      <c r="L3855" s="7"/>
      <c r="M3855" s="5"/>
      <c r="N3855" s="5"/>
      <c r="O3855" s="5"/>
    </row>
    <row r="3856">
      <c r="A3856" s="6"/>
      <c r="C3856" s="6"/>
      <c r="L3856" s="7"/>
      <c r="M3856" s="5"/>
      <c r="N3856" s="5"/>
      <c r="O3856" s="5"/>
    </row>
    <row r="3857">
      <c r="A3857" s="6"/>
      <c r="C3857" s="6"/>
      <c r="L3857" s="7"/>
      <c r="M3857" s="5"/>
      <c r="N3857" s="5"/>
      <c r="O3857" s="5"/>
    </row>
    <row r="3858">
      <c r="A3858" s="6"/>
      <c r="C3858" s="6"/>
      <c r="L3858" s="7"/>
      <c r="M3858" s="5"/>
      <c r="N3858" s="5"/>
      <c r="O3858" s="5"/>
    </row>
    <row r="3859">
      <c r="A3859" s="6"/>
      <c r="C3859" s="6"/>
      <c r="L3859" s="7"/>
      <c r="M3859" s="5"/>
      <c r="N3859" s="5"/>
      <c r="O3859" s="5"/>
    </row>
    <row r="3860">
      <c r="A3860" s="6"/>
      <c r="C3860" s="6"/>
      <c r="L3860" s="7"/>
      <c r="M3860" s="5"/>
      <c r="N3860" s="5"/>
      <c r="O3860" s="5"/>
    </row>
    <row r="3861">
      <c r="A3861" s="6"/>
      <c r="C3861" s="6"/>
      <c r="L3861" s="7"/>
      <c r="M3861" s="5"/>
      <c r="N3861" s="5"/>
      <c r="O3861" s="5"/>
    </row>
    <row r="3862">
      <c r="A3862" s="6"/>
      <c r="C3862" s="6"/>
      <c r="L3862" s="7"/>
      <c r="M3862" s="5"/>
      <c r="N3862" s="5"/>
      <c r="O3862" s="5"/>
    </row>
    <row r="3863">
      <c r="A3863" s="6"/>
      <c r="C3863" s="6"/>
      <c r="L3863" s="7"/>
      <c r="M3863" s="5"/>
      <c r="N3863" s="5"/>
      <c r="O3863" s="5"/>
    </row>
    <row r="3864">
      <c r="A3864" s="6"/>
      <c r="C3864" s="6"/>
      <c r="L3864" s="7"/>
      <c r="M3864" s="5"/>
      <c r="N3864" s="5"/>
      <c r="O3864" s="5"/>
    </row>
    <row r="3865">
      <c r="A3865" s="6"/>
      <c r="C3865" s="6"/>
      <c r="L3865" s="7"/>
      <c r="M3865" s="5"/>
      <c r="N3865" s="5"/>
      <c r="O3865" s="5"/>
    </row>
    <row r="3866">
      <c r="A3866" s="6"/>
      <c r="C3866" s="6"/>
      <c r="L3866" s="7"/>
      <c r="M3866" s="5"/>
      <c r="N3866" s="5"/>
      <c r="O3866" s="5"/>
    </row>
    <row r="3867">
      <c r="A3867" s="6"/>
      <c r="C3867" s="6"/>
      <c r="L3867" s="7"/>
      <c r="M3867" s="5"/>
      <c r="N3867" s="5"/>
      <c r="O3867" s="5"/>
    </row>
    <row r="3868">
      <c r="A3868" s="6"/>
      <c r="C3868" s="6"/>
      <c r="L3868" s="7"/>
      <c r="M3868" s="5"/>
      <c r="N3868" s="5"/>
      <c r="O3868" s="5"/>
    </row>
    <row r="3869">
      <c r="A3869" s="6"/>
      <c r="C3869" s="6"/>
      <c r="L3869" s="7"/>
      <c r="M3869" s="5"/>
      <c r="N3869" s="5"/>
      <c r="O3869" s="5"/>
    </row>
    <row r="3870">
      <c r="A3870" s="6"/>
      <c r="C3870" s="6"/>
      <c r="L3870" s="7"/>
      <c r="M3870" s="5"/>
      <c r="N3870" s="5"/>
      <c r="O3870" s="5"/>
    </row>
    <row r="3871">
      <c r="A3871" s="6"/>
      <c r="C3871" s="6"/>
      <c r="L3871" s="7"/>
      <c r="M3871" s="5"/>
      <c r="N3871" s="5"/>
      <c r="O3871" s="5"/>
    </row>
    <row r="3872">
      <c r="A3872" s="6"/>
      <c r="C3872" s="6"/>
      <c r="L3872" s="7"/>
      <c r="M3872" s="5"/>
      <c r="N3872" s="5"/>
      <c r="O3872" s="5"/>
    </row>
    <row r="3873">
      <c r="A3873" s="6"/>
      <c r="C3873" s="6"/>
      <c r="L3873" s="7"/>
      <c r="M3873" s="5"/>
      <c r="N3873" s="5"/>
      <c r="O3873" s="5"/>
    </row>
    <row r="3874">
      <c r="A3874" s="6"/>
      <c r="C3874" s="6"/>
      <c r="L3874" s="7"/>
      <c r="M3874" s="5"/>
      <c r="N3874" s="5"/>
      <c r="O3874" s="5"/>
    </row>
    <row r="3875">
      <c r="A3875" s="6"/>
      <c r="C3875" s="6"/>
      <c r="L3875" s="7"/>
      <c r="M3875" s="5"/>
      <c r="N3875" s="5"/>
      <c r="O3875" s="5"/>
    </row>
    <row r="3876">
      <c r="A3876" s="6"/>
      <c r="C3876" s="6"/>
      <c r="L3876" s="7"/>
      <c r="M3876" s="5"/>
      <c r="N3876" s="5"/>
      <c r="O3876" s="5"/>
    </row>
    <row r="3877">
      <c r="A3877" s="6"/>
      <c r="C3877" s="6"/>
      <c r="L3877" s="7"/>
      <c r="M3877" s="5"/>
      <c r="N3877" s="5"/>
      <c r="O3877" s="5"/>
    </row>
    <row r="3878">
      <c r="A3878" s="6"/>
      <c r="C3878" s="6"/>
      <c r="L3878" s="7"/>
      <c r="M3878" s="5"/>
      <c r="N3878" s="5"/>
      <c r="O3878" s="5"/>
    </row>
    <row r="3879">
      <c r="A3879" s="6"/>
      <c r="C3879" s="6"/>
      <c r="L3879" s="7"/>
      <c r="M3879" s="5"/>
      <c r="N3879" s="5"/>
      <c r="O3879" s="5"/>
    </row>
    <row r="3880">
      <c r="A3880" s="6"/>
      <c r="C3880" s="6"/>
      <c r="L3880" s="7"/>
      <c r="M3880" s="5"/>
      <c r="N3880" s="5"/>
      <c r="O3880" s="5"/>
    </row>
    <row r="3881">
      <c r="A3881" s="6"/>
      <c r="C3881" s="6"/>
      <c r="L3881" s="7"/>
      <c r="M3881" s="5"/>
      <c r="N3881" s="5"/>
      <c r="O3881" s="5"/>
    </row>
    <row r="3882">
      <c r="A3882" s="6"/>
      <c r="C3882" s="6"/>
      <c r="L3882" s="7"/>
      <c r="M3882" s="5"/>
      <c r="N3882" s="5"/>
      <c r="O3882" s="5"/>
    </row>
    <row r="3883">
      <c r="A3883" s="6"/>
      <c r="C3883" s="6"/>
      <c r="L3883" s="7"/>
      <c r="M3883" s="5"/>
      <c r="N3883" s="5"/>
      <c r="O3883" s="5"/>
    </row>
    <row r="3884">
      <c r="A3884" s="6"/>
      <c r="C3884" s="6"/>
      <c r="L3884" s="7"/>
      <c r="M3884" s="5"/>
      <c r="N3884" s="5"/>
      <c r="O3884" s="5"/>
    </row>
    <row r="3885">
      <c r="A3885" s="6"/>
      <c r="C3885" s="6"/>
      <c r="L3885" s="7"/>
      <c r="M3885" s="5"/>
      <c r="N3885" s="5"/>
      <c r="O3885" s="5"/>
    </row>
    <row r="3886">
      <c r="A3886" s="6"/>
      <c r="C3886" s="6"/>
      <c r="L3886" s="7"/>
      <c r="M3886" s="5"/>
      <c r="N3886" s="5"/>
      <c r="O3886" s="5"/>
    </row>
    <row r="3887">
      <c r="A3887" s="6"/>
      <c r="C3887" s="6"/>
      <c r="L3887" s="7"/>
      <c r="M3887" s="5"/>
      <c r="N3887" s="5"/>
      <c r="O3887" s="5"/>
    </row>
    <row r="3888">
      <c r="A3888" s="6"/>
      <c r="C3888" s="6"/>
      <c r="L3888" s="7"/>
      <c r="M3888" s="5"/>
      <c r="N3888" s="5"/>
      <c r="O3888" s="5"/>
    </row>
    <row r="3889">
      <c r="A3889" s="6"/>
      <c r="C3889" s="6"/>
      <c r="L3889" s="7"/>
      <c r="M3889" s="5"/>
      <c r="N3889" s="5"/>
      <c r="O3889" s="5"/>
    </row>
    <row r="3890">
      <c r="A3890" s="6"/>
      <c r="C3890" s="6"/>
      <c r="L3890" s="7"/>
      <c r="M3890" s="5"/>
      <c r="N3890" s="5"/>
      <c r="O3890" s="5"/>
    </row>
    <row r="3891">
      <c r="A3891" s="6"/>
      <c r="C3891" s="6"/>
      <c r="L3891" s="7"/>
      <c r="M3891" s="5"/>
      <c r="N3891" s="5"/>
      <c r="O3891" s="5"/>
    </row>
    <row r="3892">
      <c r="A3892" s="6"/>
      <c r="C3892" s="6"/>
      <c r="L3892" s="7"/>
      <c r="M3892" s="5"/>
      <c r="N3892" s="5"/>
      <c r="O3892" s="5"/>
    </row>
    <row r="3893">
      <c r="A3893" s="6"/>
      <c r="C3893" s="6"/>
      <c r="L3893" s="7"/>
      <c r="M3893" s="5"/>
      <c r="N3893" s="5"/>
      <c r="O3893" s="5"/>
    </row>
    <row r="3894">
      <c r="A3894" s="6"/>
      <c r="C3894" s="6"/>
      <c r="L3894" s="7"/>
      <c r="M3894" s="5"/>
      <c r="N3894" s="5"/>
      <c r="O3894" s="5"/>
    </row>
    <row r="3895">
      <c r="A3895" s="6"/>
      <c r="C3895" s="6"/>
      <c r="L3895" s="7"/>
      <c r="M3895" s="5"/>
      <c r="N3895" s="5"/>
      <c r="O3895" s="5"/>
    </row>
    <row r="3896">
      <c r="A3896" s="6"/>
      <c r="C3896" s="6"/>
      <c r="L3896" s="7"/>
      <c r="M3896" s="5"/>
      <c r="N3896" s="5"/>
      <c r="O3896" s="5"/>
    </row>
    <row r="3897">
      <c r="A3897" s="6"/>
      <c r="C3897" s="6"/>
      <c r="L3897" s="7"/>
      <c r="M3897" s="5"/>
      <c r="N3897" s="5"/>
      <c r="O3897" s="5"/>
    </row>
    <row r="3898">
      <c r="A3898" s="6"/>
      <c r="C3898" s="6"/>
      <c r="L3898" s="7"/>
      <c r="M3898" s="5"/>
      <c r="N3898" s="5"/>
      <c r="O3898" s="5"/>
    </row>
    <row r="3899">
      <c r="A3899" s="6"/>
      <c r="C3899" s="6"/>
      <c r="L3899" s="7"/>
      <c r="M3899" s="5"/>
      <c r="N3899" s="5"/>
      <c r="O3899" s="5"/>
    </row>
    <row r="3900">
      <c r="A3900" s="6"/>
      <c r="C3900" s="6"/>
      <c r="L3900" s="7"/>
      <c r="M3900" s="5"/>
      <c r="N3900" s="5"/>
      <c r="O3900" s="5"/>
    </row>
    <row r="3901">
      <c r="A3901" s="6"/>
      <c r="C3901" s="6"/>
      <c r="L3901" s="7"/>
      <c r="M3901" s="5"/>
      <c r="N3901" s="5"/>
      <c r="O3901" s="5"/>
    </row>
    <row r="3902">
      <c r="A3902" s="6"/>
      <c r="C3902" s="6"/>
      <c r="L3902" s="7"/>
      <c r="M3902" s="5"/>
      <c r="N3902" s="5"/>
      <c r="O3902" s="5"/>
    </row>
    <row r="3903">
      <c r="A3903" s="6"/>
      <c r="C3903" s="6"/>
      <c r="L3903" s="7"/>
      <c r="M3903" s="5"/>
      <c r="N3903" s="5"/>
      <c r="O3903" s="5"/>
    </row>
    <row r="3904">
      <c r="A3904" s="6"/>
      <c r="C3904" s="6"/>
      <c r="L3904" s="7"/>
      <c r="M3904" s="5"/>
      <c r="N3904" s="5"/>
      <c r="O3904" s="5"/>
    </row>
    <row r="3905">
      <c r="A3905" s="6"/>
      <c r="C3905" s="6"/>
      <c r="L3905" s="7"/>
      <c r="M3905" s="5"/>
      <c r="N3905" s="5"/>
      <c r="O3905" s="5"/>
    </row>
    <row r="3906">
      <c r="A3906" s="6"/>
      <c r="C3906" s="6"/>
      <c r="L3906" s="7"/>
      <c r="M3906" s="5"/>
      <c r="N3906" s="5"/>
      <c r="O3906" s="5"/>
    </row>
    <row r="3907">
      <c r="A3907" s="6"/>
      <c r="C3907" s="6"/>
      <c r="L3907" s="7"/>
      <c r="M3907" s="5"/>
      <c r="N3907" s="5"/>
      <c r="O3907" s="5"/>
    </row>
    <row r="3908">
      <c r="A3908" s="6"/>
      <c r="C3908" s="6"/>
      <c r="L3908" s="7"/>
      <c r="M3908" s="5"/>
      <c r="N3908" s="5"/>
      <c r="O3908" s="5"/>
    </row>
    <row r="3909">
      <c r="A3909" s="6"/>
      <c r="C3909" s="6"/>
      <c r="L3909" s="7"/>
      <c r="M3909" s="5"/>
      <c r="N3909" s="5"/>
      <c r="O3909" s="5"/>
    </row>
    <row r="3910">
      <c r="A3910" s="6"/>
      <c r="C3910" s="6"/>
      <c r="L3910" s="7"/>
      <c r="M3910" s="5"/>
      <c r="N3910" s="5"/>
      <c r="O3910" s="5"/>
    </row>
    <row r="3911">
      <c r="A3911" s="6"/>
      <c r="C3911" s="6"/>
      <c r="L3911" s="7"/>
      <c r="M3911" s="5"/>
      <c r="N3911" s="5"/>
      <c r="O3911" s="5"/>
    </row>
    <row r="3912">
      <c r="A3912" s="6"/>
      <c r="C3912" s="6"/>
      <c r="L3912" s="7"/>
      <c r="M3912" s="5"/>
      <c r="N3912" s="5"/>
      <c r="O3912" s="5"/>
    </row>
    <row r="3913">
      <c r="A3913" s="6"/>
      <c r="C3913" s="6"/>
      <c r="L3913" s="7"/>
      <c r="M3913" s="5"/>
      <c r="N3913" s="5"/>
      <c r="O3913" s="5"/>
    </row>
    <row r="3914">
      <c r="A3914" s="6"/>
      <c r="C3914" s="6"/>
      <c r="L3914" s="7"/>
      <c r="M3914" s="5"/>
      <c r="N3914" s="5"/>
      <c r="O3914" s="5"/>
    </row>
    <row r="3915">
      <c r="A3915" s="6"/>
      <c r="C3915" s="6"/>
      <c r="L3915" s="7"/>
      <c r="M3915" s="5"/>
      <c r="N3915" s="5"/>
      <c r="O3915" s="5"/>
    </row>
    <row r="3916">
      <c r="A3916" s="6"/>
      <c r="C3916" s="6"/>
      <c r="L3916" s="7"/>
      <c r="M3916" s="5"/>
      <c r="N3916" s="5"/>
      <c r="O3916" s="5"/>
    </row>
    <row r="3917">
      <c r="A3917" s="6"/>
      <c r="C3917" s="6"/>
      <c r="L3917" s="7"/>
      <c r="M3917" s="5"/>
      <c r="N3917" s="5"/>
      <c r="O3917" s="5"/>
    </row>
    <row r="3918">
      <c r="A3918" s="6"/>
      <c r="C3918" s="6"/>
      <c r="L3918" s="7"/>
      <c r="M3918" s="5"/>
      <c r="N3918" s="5"/>
      <c r="O3918" s="5"/>
    </row>
    <row r="3919">
      <c r="A3919" s="6"/>
      <c r="C3919" s="6"/>
      <c r="L3919" s="7"/>
      <c r="M3919" s="5"/>
      <c r="N3919" s="5"/>
      <c r="O3919" s="5"/>
    </row>
    <row r="3920">
      <c r="A3920" s="6"/>
      <c r="C3920" s="6"/>
      <c r="L3920" s="7"/>
      <c r="M3920" s="5"/>
      <c r="N3920" s="5"/>
      <c r="O3920" s="5"/>
    </row>
    <row r="3921">
      <c r="A3921" s="6"/>
      <c r="C3921" s="6"/>
      <c r="L3921" s="7"/>
      <c r="M3921" s="5"/>
      <c r="N3921" s="5"/>
      <c r="O3921" s="5"/>
    </row>
    <row r="3922">
      <c r="A3922" s="6"/>
      <c r="C3922" s="6"/>
      <c r="L3922" s="7"/>
      <c r="M3922" s="5"/>
      <c r="N3922" s="5"/>
      <c r="O3922" s="5"/>
    </row>
    <row r="3923">
      <c r="A3923" s="6"/>
      <c r="C3923" s="6"/>
      <c r="L3923" s="7"/>
      <c r="M3923" s="5"/>
      <c r="N3923" s="5"/>
      <c r="O3923" s="5"/>
    </row>
    <row r="3924">
      <c r="A3924" s="6"/>
      <c r="C3924" s="6"/>
      <c r="L3924" s="7"/>
      <c r="M3924" s="5"/>
      <c r="N3924" s="5"/>
      <c r="O3924" s="5"/>
    </row>
    <row r="3925">
      <c r="A3925" s="6"/>
      <c r="C3925" s="6"/>
      <c r="L3925" s="7"/>
      <c r="M3925" s="5"/>
      <c r="N3925" s="5"/>
      <c r="O3925" s="5"/>
    </row>
    <row r="3926">
      <c r="A3926" s="6"/>
      <c r="C3926" s="6"/>
      <c r="L3926" s="7"/>
      <c r="M3926" s="5"/>
      <c r="N3926" s="5"/>
      <c r="O3926" s="5"/>
    </row>
    <row r="3927">
      <c r="A3927" s="6"/>
      <c r="C3927" s="6"/>
      <c r="L3927" s="7"/>
      <c r="M3927" s="5"/>
      <c r="N3927" s="5"/>
      <c r="O3927" s="5"/>
    </row>
    <row r="3928">
      <c r="A3928" s="6"/>
      <c r="C3928" s="6"/>
      <c r="L3928" s="7"/>
      <c r="M3928" s="5"/>
      <c r="N3928" s="5"/>
      <c r="O3928" s="5"/>
    </row>
    <row r="3929">
      <c r="A3929" s="6"/>
      <c r="C3929" s="6"/>
      <c r="L3929" s="7"/>
      <c r="M3929" s="5"/>
      <c r="N3929" s="5"/>
      <c r="O3929" s="5"/>
    </row>
    <row r="3930">
      <c r="A3930" s="6"/>
      <c r="C3930" s="6"/>
      <c r="L3930" s="7"/>
      <c r="M3930" s="5"/>
      <c r="N3930" s="5"/>
      <c r="O3930" s="5"/>
    </row>
    <row r="3931">
      <c r="A3931" s="6"/>
      <c r="C3931" s="6"/>
      <c r="L3931" s="7"/>
      <c r="M3931" s="5"/>
      <c r="N3931" s="5"/>
      <c r="O3931" s="5"/>
    </row>
    <row r="3932">
      <c r="A3932" s="6"/>
      <c r="C3932" s="6"/>
      <c r="L3932" s="7"/>
      <c r="M3932" s="5"/>
      <c r="N3932" s="5"/>
      <c r="O3932" s="5"/>
    </row>
    <row r="3933">
      <c r="A3933" s="6"/>
      <c r="C3933" s="6"/>
      <c r="L3933" s="7"/>
      <c r="M3933" s="5"/>
      <c r="N3933" s="5"/>
      <c r="O3933" s="5"/>
    </row>
    <row r="3934">
      <c r="A3934" s="6"/>
      <c r="C3934" s="6"/>
      <c r="L3934" s="7"/>
      <c r="M3934" s="5"/>
      <c r="N3934" s="5"/>
      <c r="O3934" s="5"/>
    </row>
    <row r="3935">
      <c r="A3935" s="6"/>
      <c r="C3935" s="6"/>
      <c r="L3935" s="7"/>
      <c r="M3935" s="5"/>
      <c r="N3935" s="5"/>
      <c r="O3935" s="5"/>
    </row>
    <row r="3936">
      <c r="A3936" s="6"/>
      <c r="C3936" s="6"/>
      <c r="L3936" s="7"/>
      <c r="M3936" s="5"/>
      <c r="N3936" s="5"/>
      <c r="O3936" s="5"/>
    </row>
    <row r="3937">
      <c r="A3937" s="6"/>
      <c r="C3937" s="6"/>
      <c r="L3937" s="7"/>
      <c r="M3937" s="5"/>
      <c r="N3937" s="5"/>
      <c r="O3937" s="5"/>
    </row>
    <row r="3938">
      <c r="A3938" s="6"/>
      <c r="C3938" s="6"/>
      <c r="L3938" s="7"/>
      <c r="M3938" s="5"/>
      <c r="N3938" s="5"/>
      <c r="O3938" s="5"/>
    </row>
    <row r="3939">
      <c r="A3939" s="6"/>
      <c r="C3939" s="6"/>
      <c r="L3939" s="7"/>
      <c r="M3939" s="5"/>
      <c r="N3939" s="5"/>
      <c r="O3939" s="5"/>
    </row>
    <row r="3940">
      <c r="A3940" s="6"/>
      <c r="C3940" s="6"/>
      <c r="L3940" s="7"/>
      <c r="M3940" s="5"/>
      <c r="N3940" s="5"/>
      <c r="O3940" s="5"/>
    </row>
    <row r="3941">
      <c r="A3941" s="6"/>
      <c r="C3941" s="6"/>
      <c r="L3941" s="7"/>
      <c r="M3941" s="5"/>
      <c r="N3941" s="5"/>
      <c r="O3941" s="5"/>
    </row>
    <row r="3942">
      <c r="A3942" s="6"/>
      <c r="C3942" s="6"/>
      <c r="L3942" s="7"/>
      <c r="M3942" s="5"/>
      <c r="N3942" s="5"/>
      <c r="O3942" s="5"/>
    </row>
    <row r="3943">
      <c r="A3943" s="6"/>
      <c r="C3943" s="6"/>
      <c r="L3943" s="7"/>
      <c r="M3943" s="5"/>
      <c r="N3943" s="5"/>
      <c r="O3943" s="5"/>
    </row>
    <row r="3944">
      <c r="A3944" s="6"/>
      <c r="C3944" s="6"/>
      <c r="L3944" s="7"/>
      <c r="M3944" s="5"/>
      <c r="N3944" s="5"/>
      <c r="O3944" s="5"/>
    </row>
    <row r="3945">
      <c r="A3945" s="6"/>
      <c r="C3945" s="6"/>
      <c r="L3945" s="7"/>
      <c r="M3945" s="5"/>
      <c r="N3945" s="5"/>
      <c r="O3945" s="5"/>
    </row>
    <row r="3946">
      <c r="A3946" s="6"/>
      <c r="C3946" s="6"/>
      <c r="L3946" s="7"/>
      <c r="M3946" s="5"/>
      <c r="N3946" s="5"/>
      <c r="O3946" s="5"/>
    </row>
    <row r="3947">
      <c r="A3947" s="6"/>
      <c r="C3947" s="6"/>
      <c r="L3947" s="7"/>
      <c r="M3947" s="5"/>
      <c r="N3947" s="5"/>
      <c r="O3947" s="5"/>
    </row>
    <row r="3948">
      <c r="A3948" s="6"/>
      <c r="C3948" s="6"/>
      <c r="L3948" s="7"/>
      <c r="M3948" s="5"/>
      <c r="N3948" s="5"/>
      <c r="O3948" s="5"/>
    </row>
    <row r="3949">
      <c r="A3949" s="6"/>
      <c r="C3949" s="6"/>
      <c r="L3949" s="7"/>
      <c r="M3949" s="5"/>
      <c r="N3949" s="5"/>
      <c r="O3949" s="5"/>
    </row>
    <row r="3950">
      <c r="A3950" s="6"/>
      <c r="C3950" s="6"/>
      <c r="L3950" s="7"/>
      <c r="M3950" s="5"/>
      <c r="N3950" s="5"/>
      <c r="O3950" s="5"/>
    </row>
    <row r="3951">
      <c r="A3951" s="6"/>
      <c r="C3951" s="6"/>
      <c r="L3951" s="7"/>
      <c r="M3951" s="5"/>
      <c r="N3951" s="5"/>
      <c r="O3951" s="5"/>
    </row>
    <row r="3952">
      <c r="A3952" s="6"/>
      <c r="C3952" s="6"/>
      <c r="L3952" s="7"/>
      <c r="M3952" s="5"/>
      <c r="N3952" s="5"/>
      <c r="O3952" s="5"/>
    </row>
    <row r="3953">
      <c r="A3953" s="6"/>
      <c r="C3953" s="6"/>
      <c r="L3953" s="7"/>
      <c r="M3953" s="5"/>
      <c r="N3953" s="5"/>
      <c r="O3953" s="5"/>
    </row>
    <row r="3954">
      <c r="A3954" s="6"/>
      <c r="C3954" s="6"/>
      <c r="L3954" s="7"/>
      <c r="M3954" s="5"/>
      <c r="N3954" s="5"/>
      <c r="O3954" s="5"/>
    </row>
    <row r="3955">
      <c r="A3955" s="6"/>
      <c r="C3955" s="6"/>
      <c r="L3955" s="7"/>
      <c r="M3955" s="5"/>
      <c r="N3955" s="5"/>
      <c r="O3955" s="5"/>
    </row>
    <row r="3956">
      <c r="A3956" s="6"/>
      <c r="C3956" s="6"/>
      <c r="L3956" s="7"/>
      <c r="M3956" s="5"/>
      <c r="N3956" s="5"/>
      <c r="O3956" s="5"/>
    </row>
    <row r="3957">
      <c r="A3957" s="6"/>
      <c r="C3957" s="6"/>
      <c r="L3957" s="7"/>
      <c r="M3957" s="5"/>
      <c r="N3957" s="5"/>
      <c r="O3957" s="5"/>
    </row>
    <row r="3958">
      <c r="A3958" s="6"/>
      <c r="C3958" s="6"/>
      <c r="L3958" s="7"/>
      <c r="M3958" s="5"/>
      <c r="N3958" s="5"/>
      <c r="O3958" s="5"/>
    </row>
    <row r="3959">
      <c r="A3959" s="6"/>
      <c r="C3959" s="6"/>
      <c r="L3959" s="7"/>
      <c r="M3959" s="5"/>
      <c r="N3959" s="5"/>
      <c r="O3959" s="5"/>
    </row>
    <row r="3960">
      <c r="A3960" s="6"/>
      <c r="C3960" s="6"/>
      <c r="L3960" s="7"/>
      <c r="M3960" s="5"/>
      <c r="N3960" s="5"/>
      <c r="O3960" s="5"/>
    </row>
    <row r="3961">
      <c r="A3961" s="6"/>
      <c r="C3961" s="6"/>
      <c r="L3961" s="7"/>
      <c r="M3961" s="5"/>
      <c r="N3961" s="5"/>
      <c r="O3961" s="5"/>
    </row>
    <row r="3962">
      <c r="A3962" s="6"/>
      <c r="C3962" s="6"/>
      <c r="L3962" s="7"/>
      <c r="M3962" s="5"/>
      <c r="N3962" s="5"/>
      <c r="O3962" s="5"/>
    </row>
    <row r="3963">
      <c r="A3963" s="6"/>
      <c r="C3963" s="6"/>
      <c r="L3963" s="7"/>
      <c r="M3963" s="5"/>
      <c r="N3963" s="5"/>
      <c r="O3963" s="5"/>
    </row>
    <row r="3964">
      <c r="A3964" s="6"/>
      <c r="C3964" s="6"/>
      <c r="L3964" s="7"/>
      <c r="M3964" s="5"/>
      <c r="N3964" s="5"/>
      <c r="O3964" s="5"/>
    </row>
    <row r="3965">
      <c r="A3965" s="6"/>
      <c r="C3965" s="6"/>
      <c r="L3965" s="7"/>
      <c r="M3965" s="5"/>
      <c r="N3965" s="5"/>
      <c r="O3965" s="5"/>
    </row>
    <row r="3966">
      <c r="A3966" s="6"/>
      <c r="C3966" s="6"/>
      <c r="L3966" s="7"/>
      <c r="M3966" s="5"/>
      <c r="N3966" s="5"/>
      <c r="O3966" s="5"/>
    </row>
    <row r="3967">
      <c r="A3967" s="6"/>
      <c r="C3967" s="6"/>
      <c r="L3967" s="7"/>
      <c r="M3967" s="5"/>
      <c r="N3967" s="5"/>
      <c r="O3967" s="5"/>
    </row>
    <row r="3968">
      <c r="A3968" s="6"/>
      <c r="C3968" s="6"/>
      <c r="L3968" s="7"/>
      <c r="M3968" s="5"/>
      <c r="N3968" s="5"/>
      <c r="O3968" s="5"/>
    </row>
    <row r="3969">
      <c r="A3969" s="6"/>
      <c r="C3969" s="6"/>
      <c r="L3969" s="7"/>
      <c r="M3969" s="5"/>
      <c r="N3969" s="5"/>
      <c r="O3969" s="5"/>
    </row>
    <row r="3970">
      <c r="A3970" s="6"/>
      <c r="C3970" s="6"/>
      <c r="L3970" s="7"/>
      <c r="M3970" s="5"/>
      <c r="N3970" s="5"/>
      <c r="O3970" s="5"/>
    </row>
    <row r="3971">
      <c r="A3971" s="6"/>
      <c r="C3971" s="6"/>
      <c r="L3971" s="7"/>
      <c r="M3971" s="5"/>
      <c r="N3971" s="5"/>
      <c r="O3971" s="5"/>
    </row>
    <row r="3972">
      <c r="A3972" s="6"/>
      <c r="C3972" s="6"/>
      <c r="L3972" s="7"/>
      <c r="M3972" s="5"/>
      <c r="N3972" s="5"/>
      <c r="O3972" s="5"/>
    </row>
    <row r="3973">
      <c r="A3973" s="6"/>
      <c r="C3973" s="6"/>
      <c r="L3973" s="7"/>
      <c r="M3973" s="5"/>
      <c r="N3973" s="5"/>
      <c r="O3973" s="5"/>
    </row>
    <row r="3974">
      <c r="A3974" s="6"/>
      <c r="C3974" s="6"/>
      <c r="L3974" s="7"/>
      <c r="M3974" s="5"/>
      <c r="N3974" s="5"/>
      <c r="O3974" s="5"/>
    </row>
    <row r="3975">
      <c r="A3975" s="6"/>
      <c r="C3975" s="6"/>
      <c r="L3975" s="7"/>
      <c r="M3975" s="5"/>
      <c r="N3975" s="5"/>
      <c r="O3975" s="5"/>
    </row>
    <row r="3976">
      <c r="A3976" s="6"/>
      <c r="C3976" s="6"/>
      <c r="L3976" s="7"/>
      <c r="M3976" s="5"/>
      <c r="N3976" s="5"/>
      <c r="O3976" s="5"/>
    </row>
    <row r="3977">
      <c r="A3977" s="6"/>
      <c r="C3977" s="6"/>
      <c r="L3977" s="7"/>
      <c r="M3977" s="5"/>
      <c r="N3977" s="5"/>
      <c r="O3977" s="5"/>
    </row>
    <row r="3978">
      <c r="A3978" s="6"/>
      <c r="C3978" s="6"/>
      <c r="L3978" s="7"/>
      <c r="M3978" s="5"/>
      <c r="N3978" s="5"/>
      <c r="O3978" s="5"/>
    </row>
    <row r="3979">
      <c r="A3979" s="6"/>
      <c r="C3979" s="6"/>
      <c r="L3979" s="7"/>
      <c r="M3979" s="5"/>
      <c r="N3979" s="5"/>
      <c r="O3979" s="5"/>
    </row>
    <row r="3980">
      <c r="A3980" s="6"/>
      <c r="C3980" s="6"/>
      <c r="L3980" s="7"/>
      <c r="M3980" s="5"/>
      <c r="N3980" s="5"/>
      <c r="O3980" s="5"/>
    </row>
    <row r="3981">
      <c r="A3981" s="6"/>
      <c r="C3981" s="6"/>
      <c r="L3981" s="7"/>
      <c r="M3981" s="5"/>
      <c r="N3981" s="5"/>
      <c r="O3981" s="5"/>
    </row>
    <row r="3982">
      <c r="A3982" s="6"/>
      <c r="C3982" s="6"/>
      <c r="L3982" s="7"/>
      <c r="M3982" s="5"/>
      <c r="N3982" s="5"/>
      <c r="O3982" s="5"/>
    </row>
    <row r="3983">
      <c r="A3983" s="6"/>
      <c r="C3983" s="6"/>
      <c r="L3983" s="7"/>
      <c r="M3983" s="5"/>
      <c r="N3983" s="5"/>
      <c r="O3983" s="5"/>
    </row>
    <row r="3984">
      <c r="A3984" s="6"/>
      <c r="C3984" s="6"/>
      <c r="L3984" s="7"/>
      <c r="M3984" s="5"/>
      <c r="N3984" s="5"/>
      <c r="O3984" s="5"/>
    </row>
    <row r="3985">
      <c r="A3985" s="6"/>
      <c r="C3985" s="6"/>
      <c r="L3985" s="7"/>
      <c r="M3985" s="5"/>
      <c r="N3985" s="5"/>
      <c r="O3985" s="5"/>
    </row>
    <row r="3986">
      <c r="A3986" s="6"/>
      <c r="C3986" s="6"/>
      <c r="L3986" s="7"/>
      <c r="M3986" s="5"/>
      <c r="N3986" s="5"/>
      <c r="O3986" s="5"/>
    </row>
    <row r="3987">
      <c r="A3987" s="6"/>
      <c r="C3987" s="6"/>
      <c r="L3987" s="7"/>
      <c r="M3987" s="5"/>
      <c r="N3987" s="5"/>
      <c r="O3987" s="5"/>
    </row>
    <row r="3988">
      <c r="A3988" s="6"/>
      <c r="C3988" s="6"/>
      <c r="L3988" s="7"/>
      <c r="M3988" s="5"/>
      <c r="N3988" s="5"/>
      <c r="O3988" s="5"/>
    </row>
    <row r="3989">
      <c r="A3989" s="6"/>
      <c r="C3989" s="6"/>
      <c r="L3989" s="7"/>
      <c r="M3989" s="5"/>
      <c r="N3989" s="5"/>
      <c r="O3989" s="5"/>
    </row>
    <row r="3990">
      <c r="A3990" s="6"/>
      <c r="C3990" s="6"/>
      <c r="L3990" s="7"/>
      <c r="M3990" s="5"/>
      <c r="N3990" s="5"/>
      <c r="O3990" s="5"/>
    </row>
    <row r="3991">
      <c r="A3991" s="6"/>
      <c r="C3991" s="6"/>
      <c r="L3991" s="7"/>
      <c r="M3991" s="5"/>
      <c r="N3991" s="5"/>
      <c r="O3991" s="5"/>
    </row>
    <row r="3992">
      <c r="A3992" s="6"/>
      <c r="C3992" s="6"/>
      <c r="L3992" s="7"/>
      <c r="M3992" s="5"/>
      <c r="N3992" s="5"/>
      <c r="O3992" s="5"/>
    </row>
    <row r="3993">
      <c r="A3993" s="6"/>
      <c r="C3993" s="6"/>
      <c r="L3993" s="7"/>
      <c r="M3993" s="5"/>
      <c r="N3993" s="5"/>
      <c r="O3993" s="5"/>
    </row>
    <row r="3994">
      <c r="A3994" s="6"/>
      <c r="C3994" s="6"/>
      <c r="L3994" s="7"/>
      <c r="M3994" s="5"/>
      <c r="N3994" s="5"/>
      <c r="O3994" s="5"/>
    </row>
    <row r="3995">
      <c r="A3995" s="6"/>
      <c r="C3995" s="6"/>
      <c r="L3995" s="7"/>
      <c r="M3995" s="5"/>
      <c r="N3995" s="5"/>
      <c r="O3995" s="5"/>
    </row>
    <row r="3996">
      <c r="A3996" s="6"/>
      <c r="C3996" s="6"/>
      <c r="L3996" s="7"/>
      <c r="M3996" s="5"/>
      <c r="N3996" s="5"/>
      <c r="O3996" s="5"/>
    </row>
    <row r="3997">
      <c r="A3997" s="6"/>
      <c r="C3997" s="6"/>
      <c r="L3997" s="7"/>
      <c r="M3997" s="5"/>
      <c r="N3997" s="5"/>
      <c r="O3997" s="5"/>
    </row>
    <row r="3998">
      <c r="A3998" s="6"/>
      <c r="C3998" s="6"/>
      <c r="L3998" s="7"/>
      <c r="M3998" s="5"/>
      <c r="N3998" s="5"/>
      <c r="O3998" s="5"/>
    </row>
    <row r="3999">
      <c r="A3999" s="6"/>
      <c r="C3999" s="6"/>
      <c r="L3999" s="7"/>
      <c r="M3999" s="5"/>
      <c r="N3999" s="5"/>
      <c r="O3999" s="5"/>
    </row>
    <row r="4000">
      <c r="A4000" s="6"/>
      <c r="C4000" s="6"/>
      <c r="L4000" s="7"/>
      <c r="M4000" s="5"/>
      <c r="N4000" s="5"/>
      <c r="O4000" s="5"/>
    </row>
    <row r="4001">
      <c r="A4001" s="6"/>
      <c r="C4001" s="6"/>
      <c r="L4001" s="7"/>
      <c r="M4001" s="5"/>
      <c r="N4001" s="5"/>
      <c r="O4001" s="5"/>
    </row>
    <row r="4002">
      <c r="A4002" s="6"/>
      <c r="C4002" s="6"/>
      <c r="L4002" s="7"/>
      <c r="M4002" s="5"/>
      <c r="N4002" s="5"/>
      <c r="O4002" s="5"/>
    </row>
    <row r="4003">
      <c r="A4003" s="6"/>
      <c r="C4003" s="6"/>
      <c r="L4003" s="7"/>
      <c r="M4003" s="5"/>
      <c r="N4003" s="5"/>
      <c r="O4003" s="5"/>
    </row>
    <row r="4004">
      <c r="A4004" s="6"/>
      <c r="C4004" s="6"/>
      <c r="L4004" s="7"/>
      <c r="M4004" s="5"/>
      <c r="N4004" s="5"/>
      <c r="O4004" s="5"/>
    </row>
    <row r="4005">
      <c r="A4005" s="6"/>
      <c r="C4005" s="6"/>
      <c r="L4005" s="7"/>
      <c r="M4005" s="5"/>
      <c r="N4005" s="5"/>
      <c r="O4005" s="5"/>
    </row>
    <row r="4006">
      <c r="A4006" s="6"/>
      <c r="C4006" s="6"/>
      <c r="L4006" s="7"/>
      <c r="M4006" s="5"/>
      <c r="N4006" s="5"/>
      <c r="O4006" s="5"/>
    </row>
    <row r="4007">
      <c r="A4007" s="6"/>
      <c r="C4007" s="6"/>
      <c r="L4007" s="7"/>
      <c r="M4007" s="5"/>
      <c r="N4007" s="5"/>
      <c r="O4007" s="5"/>
    </row>
    <row r="4008">
      <c r="A4008" s="6"/>
      <c r="C4008" s="6"/>
      <c r="L4008" s="7"/>
      <c r="M4008" s="5"/>
      <c r="N4008" s="5"/>
      <c r="O4008" s="5"/>
    </row>
    <row r="4009">
      <c r="A4009" s="6"/>
      <c r="C4009" s="6"/>
      <c r="L4009" s="7"/>
      <c r="M4009" s="5"/>
      <c r="N4009" s="5"/>
      <c r="O4009" s="5"/>
    </row>
    <row r="4010">
      <c r="A4010" s="6"/>
      <c r="C4010" s="6"/>
      <c r="L4010" s="7"/>
      <c r="M4010" s="5"/>
      <c r="N4010" s="5"/>
      <c r="O4010" s="5"/>
    </row>
    <row r="4011">
      <c r="A4011" s="6"/>
      <c r="C4011" s="6"/>
      <c r="L4011" s="7"/>
      <c r="M4011" s="5"/>
      <c r="N4011" s="5"/>
      <c r="O4011" s="5"/>
    </row>
    <row r="4012">
      <c r="A4012" s="6"/>
      <c r="C4012" s="6"/>
      <c r="L4012" s="7"/>
      <c r="M4012" s="5"/>
      <c r="N4012" s="5"/>
      <c r="O4012" s="5"/>
    </row>
    <row r="4013">
      <c r="A4013" s="6"/>
      <c r="C4013" s="6"/>
      <c r="L4013" s="7"/>
      <c r="M4013" s="5"/>
      <c r="N4013" s="5"/>
      <c r="O4013" s="5"/>
    </row>
    <row r="4014">
      <c r="A4014" s="6"/>
      <c r="C4014" s="6"/>
      <c r="L4014" s="7"/>
      <c r="M4014" s="5"/>
      <c r="N4014" s="5"/>
      <c r="O4014" s="5"/>
    </row>
    <row r="4015">
      <c r="A4015" s="6"/>
      <c r="C4015" s="6"/>
      <c r="L4015" s="7"/>
      <c r="M4015" s="5"/>
      <c r="N4015" s="5"/>
      <c r="O4015" s="5"/>
    </row>
    <row r="4016">
      <c r="A4016" s="6"/>
      <c r="C4016" s="6"/>
      <c r="L4016" s="7"/>
      <c r="M4016" s="5"/>
      <c r="N4016" s="5"/>
      <c r="O4016" s="5"/>
    </row>
    <row r="4017">
      <c r="A4017" s="6"/>
      <c r="C4017" s="6"/>
      <c r="L4017" s="7"/>
      <c r="M4017" s="5"/>
      <c r="N4017" s="5"/>
      <c r="O4017" s="5"/>
    </row>
    <row r="4018">
      <c r="A4018" s="6"/>
      <c r="C4018" s="6"/>
      <c r="L4018" s="7"/>
      <c r="M4018" s="5"/>
      <c r="N4018" s="5"/>
      <c r="O4018" s="5"/>
    </row>
    <row r="4019">
      <c r="A4019" s="6"/>
      <c r="C4019" s="6"/>
      <c r="L4019" s="7"/>
      <c r="M4019" s="5"/>
      <c r="N4019" s="5"/>
      <c r="O4019" s="5"/>
    </row>
    <row r="4020">
      <c r="A4020" s="6"/>
      <c r="C4020" s="6"/>
      <c r="L4020" s="7"/>
      <c r="M4020" s="5"/>
      <c r="N4020" s="5"/>
      <c r="O4020" s="5"/>
    </row>
    <row r="4021">
      <c r="A4021" s="6"/>
      <c r="C4021" s="6"/>
      <c r="L4021" s="7"/>
      <c r="M4021" s="5"/>
      <c r="N4021" s="5"/>
      <c r="O4021" s="5"/>
    </row>
    <row r="4022">
      <c r="A4022" s="6"/>
      <c r="C4022" s="6"/>
      <c r="L4022" s="7"/>
      <c r="M4022" s="5"/>
      <c r="N4022" s="5"/>
      <c r="O4022" s="5"/>
    </row>
    <row r="4023">
      <c r="A4023" s="6"/>
      <c r="C4023" s="6"/>
      <c r="L4023" s="7"/>
      <c r="M4023" s="5"/>
      <c r="N4023" s="5"/>
      <c r="O4023" s="5"/>
    </row>
    <row r="4024">
      <c r="A4024" s="6"/>
      <c r="C4024" s="6"/>
      <c r="L4024" s="7"/>
      <c r="M4024" s="5"/>
      <c r="N4024" s="5"/>
      <c r="O4024" s="5"/>
    </row>
    <row r="4025">
      <c r="A4025" s="6"/>
      <c r="C4025" s="6"/>
      <c r="L4025" s="7"/>
      <c r="M4025" s="5"/>
      <c r="N4025" s="5"/>
      <c r="O4025" s="5"/>
    </row>
    <row r="4026">
      <c r="A4026" s="6"/>
      <c r="C4026" s="6"/>
      <c r="L4026" s="7"/>
      <c r="M4026" s="5"/>
      <c r="N4026" s="5"/>
      <c r="O4026" s="5"/>
    </row>
    <row r="4027">
      <c r="A4027" s="6"/>
      <c r="C4027" s="6"/>
      <c r="L4027" s="7"/>
      <c r="M4027" s="5"/>
      <c r="N4027" s="5"/>
      <c r="O4027" s="5"/>
    </row>
    <row r="4028">
      <c r="A4028" s="6"/>
      <c r="C4028" s="6"/>
      <c r="L4028" s="7"/>
      <c r="M4028" s="5"/>
      <c r="N4028" s="5"/>
      <c r="O4028" s="5"/>
    </row>
    <row r="4029">
      <c r="A4029" s="6"/>
      <c r="C4029" s="6"/>
      <c r="L4029" s="7"/>
      <c r="M4029" s="5"/>
      <c r="N4029" s="5"/>
      <c r="O4029" s="5"/>
    </row>
    <row r="4030">
      <c r="A4030" s="6"/>
      <c r="C4030" s="6"/>
      <c r="L4030" s="7"/>
      <c r="M4030" s="5"/>
      <c r="N4030" s="5"/>
      <c r="O4030" s="5"/>
    </row>
    <row r="4031">
      <c r="A4031" s="6"/>
      <c r="C4031" s="6"/>
      <c r="L4031" s="7"/>
      <c r="M4031" s="5"/>
      <c r="N4031" s="5"/>
      <c r="O4031" s="5"/>
    </row>
    <row r="4032">
      <c r="A4032" s="6"/>
      <c r="C4032" s="6"/>
      <c r="L4032" s="7"/>
      <c r="M4032" s="5"/>
      <c r="N4032" s="5"/>
      <c r="O4032" s="5"/>
    </row>
    <row r="4033">
      <c r="A4033" s="6"/>
      <c r="C4033" s="6"/>
      <c r="L4033" s="7"/>
      <c r="M4033" s="5"/>
      <c r="N4033" s="5"/>
      <c r="O4033" s="5"/>
    </row>
    <row r="4034">
      <c r="A4034" s="6"/>
      <c r="C4034" s="6"/>
      <c r="L4034" s="7"/>
      <c r="M4034" s="5"/>
      <c r="N4034" s="5"/>
      <c r="O4034" s="5"/>
    </row>
    <row r="4035">
      <c r="A4035" s="6"/>
      <c r="C4035" s="6"/>
      <c r="L4035" s="7"/>
      <c r="M4035" s="5"/>
      <c r="N4035" s="5"/>
      <c r="O4035" s="5"/>
    </row>
    <row r="4036">
      <c r="A4036" s="6"/>
      <c r="C4036" s="6"/>
      <c r="L4036" s="7"/>
      <c r="M4036" s="5"/>
      <c r="N4036" s="5"/>
      <c r="O4036" s="5"/>
    </row>
    <row r="4037">
      <c r="A4037" s="6"/>
      <c r="C4037" s="6"/>
      <c r="L4037" s="7"/>
      <c r="M4037" s="5"/>
      <c r="N4037" s="5"/>
      <c r="O4037" s="5"/>
    </row>
    <row r="4038">
      <c r="A4038" s="6"/>
      <c r="C4038" s="6"/>
      <c r="L4038" s="7"/>
      <c r="M4038" s="5"/>
      <c r="N4038" s="5"/>
      <c r="O4038" s="5"/>
    </row>
    <row r="4039">
      <c r="A4039" s="6"/>
      <c r="C4039" s="6"/>
      <c r="L4039" s="7"/>
      <c r="M4039" s="5"/>
      <c r="N4039" s="5"/>
      <c r="O4039" s="5"/>
    </row>
    <row r="4040">
      <c r="A4040" s="6"/>
      <c r="C4040" s="6"/>
      <c r="L4040" s="7"/>
      <c r="M4040" s="5"/>
      <c r="N4040" s="5"/>
      <c r="O4040" s="5"/>
    </row>
    <row r="4041">
      <c r="A4041" s="6"/>
      <c r="C4041" s="6"/>
      <c r="L4041" s="7"/>
      <c r="M4041" s="5"/>
      <c r="N4041" s="5"/>
      <c r="O4041" s="5"/>
    </row>
    <row r="4042">
      <c r="A4042" s="6"/>
      <c r="C4042" s="6"/>
      <c r="L4042" s="7"/>
      <c r="M4042" s="5"/>
      <c r="N4042" s="5"/>
      <c r="O4042" s="5"/>
    </row>
    <row r="4043">
      <c r="A4043" s="6"/>
      <c r="C4043" s="6"/>
      <c r="L4043" s="7"/>
      <c r="M4043" s="5"/>
      <c r="N4043" s="5"/>
      <c r="O4043" s="5"/>
    </row>
    <row r="4044">
      <c r="A4044" s="6"/>
      <c r="C4044" s="6"/>
      <c r="L4044" s="7"/>
      <c r="M4044" s="5"/>
      <c r="N4044" s="5"/>
      <c r="O4044" s="5"/>
    </row>
    <row r="4045">
      <c r="A4045" s="6"/>
      <c r="C4045" s="6"/>
      <c r="L4045" s="7"/>
      <c r="M4045" s="5"/>
      <c r="N4045" s="5"/>
      <c r="O4045" s="5"/>
    </row>
    <row r="4046">
      <c r="A4046" s="6"/>
      <c r="C4046" s="6"/>
      <c r="L4046" s="7"/>
      <c r="M4046" s="5"/>
      <c r="N4046" s="5"/>
      <c r="O4046" s="5"/>
    </row>
    <row r="4047">
      <c r="A4047" s="6"/>
      <c r="C4047" s="6"/>
      <c r="L4047" s="7"/>
      <c r="M4047" s="5"/>
      <c r="N4047" s="5"/>
      <c r="O4047" s="5"/>
    </row>
    <row r="4048">
      <c r="A4048" s="6"/>
      <c r="C4048" s="6"/>
      <c r="L4048" s="7"/>
      <c r="M4048" s="5"/>
      <c r="N4048" s="5"/>
      <c r="O4048" s="5"/>
    </row>
    <row r="4049">
      <c r="A4049" s="6"/>
      <c r="C4049" s="6"/>
      <c r="L4049" s="7"/>
      <c r="M4049" s="5"/>
      <c r="N4049" s="5"/>
      <c r="O4049" s="5"/>
    </row>
    <row r="4050">
      <c r="A4050" s="6"/>
      <c r="C4050" s="6"/>
      <c r="L4050" s="7"/>
      <c r="M4050" s="5"/>
      <c r="N4050" s="5"/>
      <c r="O4050" s="5"/>
    </row>
    <row r="4051">
      <c r="A4051" s="6"/>
      <c r="C4051" s="6"/>
      <c r="L4051" s="7"/>
      <c r="M4051" s="5"/>
      <c r="N4051" s="5"/>
      <c r="O4051" s="5"/>
    </row>
    <row r="4052">
      <c r="A4052" s="6"/>
      <c r="C4052" s="6"/>
      <c r="L4052" s="7"/>
      <c r="M4052" s="5"/>
      <c r="N4052" s="5"/>
      <c r="O4052" s="5"/>
    </row>
    <row r="4053">
      <c r="A4053" s="6"/>
      <c r="C4053" s="6"/>
      <c r="L4053" s="7"/>
      <c r="M4053" s="5"/>
      <c r="N4053" s="5"/>
      <c r="O4053" s="5"/>
    </row>
    <row r="4054">
      <c r="A4054" s="6"/>
      <c r="C4054" s="6"/>
      <c r="L4054" s="7"/>
      <c r="M4054" s="5"/>
      <c r="N4054" s="5"/>
      <c r="O4054" s="5"/>
    </row>
    <row r="4055">
      <c r="A4055" s="6"/>
      <c r="C4055" s="6"/>
      <c r="L4055" s="7"/>
      <c r="M4055" s="5"/>
      <c r="N4055" s="5"/>
      <c r="O4055" s="5"/>
    </row>
    <row r="4056">
      <c r="A4056" s="6"/>
      <c r="C4056" s="6"/>
      <c r="L4056" s="7"/>
      <c r="M4056" s="5"/>
      <c r="N4056" s="5"/>
      <c r="O4056" s="5"/>
    </row>
    <row r="4057">
      <c r="A4057" s="6"/>
      <c r="C4057" s="6"/>
      <c r="L4057" s="7"/>
      <c r="M4057" s="5"/>
      <c r="N4057" s="5"/>
      <c r="O4057" s="5"/>
    </row>
    <row r="4058">
      <c r="A4058" s="6"/>
      <c r="C4058" s="6"/>
      <c r="L4058" s="7"/>
      <c r="M4058" s="5"/>
      <c r="N4058" s="5"/>
      <c r="O4058" s="5"/>
    </row>
    <row r="4059">
      <c r="A4059" s="6"/>
      <c r="C4059" s="6"/>
      <c r="L4059" s="7"/>
      <c r="M4059" s="5"/>
      <c r="N4059" s="5"/>
      <c r="O4059" s="5"/>
    </row>
    <row r="4060">
      <c r="A4060" s="6"/>
      <c r="C4060" s="6"/>
      <c r="L4060" s="7"/>
      <c r="M4060" s="5"/>
      <c r="N4060" s="5"/>
      <c r="O4060" s="5"/>
    </row>
    <row r="4061">
      <c r="A4061" s="6"/>
      <c r="C4061" s="6"/>
      <c r="L4061" s="7"/>
      <c r="M4061" s="5"/>
      <c r="N4061" s="5"/>
      <c r="O4061" s="5"/>
    </row>
    <row r="4062">
      <c r="A4062" s="6"/>
      <c r="C4062" s="6"/>
      <c r="L4062" s="7"/>
      <c r="M4062" s="5"/>
      <c r="N4062" s="5"/>
      <c r="O4062" s="5"/>
    </row>
    <row r="4063">
      <c r="A4063" s="6"/>
      <c r="C4063" s="6"/>
      <c r="L4063" s="7"/>
      <c r="M4063" s="5"/>
      <c r="N4063" s="5"/>
      <c r="O4063" s="5"/>
    </row>
    <row r="4064">
      <c r="A4064" s="6"/>
      <c r="C4064" s="6"/>
      <c r="L4064" s="7"/>
      <c r="M4064" s="5"/>
      <c r="N4064" s="5"/>
      <c r="O4064" s="5"/>
    </row>
    <row r="4065">
      <c r="A4065" s="6"/>
      <c r="C4065" s="6"/>
      <c r="L4065" s="7"/>
      <c r="M4065" s="5"/>
      <c r="N4065" s="5"/>
      <c r="O4065" s="5"/>
    </row>
    <row r="4066">
      <c r="A4066" s="6"/>
      <c r="C4066" s="6"/>
      <c r="L4066" s="7"/>
      <c r="M4066" s="5"/>
      <c r="N4066" s="5"/>
      <c r="O4066" s="5"/>
    </row>
    <row r="4067">
      <c r="A4067" s="6"/>
      <c r="C4067" s="6"/>
      <c r="L4067" s="7"/>
      <c r="M4067" s="5"/>
      <c r="N4067" s="5"/>
      <c r="O4067" s="5"/>
    </row>
    <row r="4068">
      <c r="A4068" s="6"/>
      <c r="C4068" s="6"/>
      <c r="L4068" s="7"/>
      <c r="M4068" s="5"/>
      <c r="N4068" s="5"/>
      <c r="O4068" s="5"/>
    </row>
    <row r="4069">
      <c r="A4069" s="6"/>
      <c r="C4069" s="6"/>
      <c r="L4069" s="7"/>
      <c r="M4069" s="5"/>
      <c r="N4069" s="5"/>
      <c r="O4069" s="5"/>
    </row>
    <row r="4070">
      <c r="A4070" s="6"/>
      <c r="C4070" s="6"/>
      <c r="L4070" s="7"/>
      <c r="M4070" s="5"/>
      <c r="N4070" s="5"/>
      <c r="O4070" s="5"/>
    </row>
    <row r="4071">
      <c r="A4071" s="6"/>
      <c r="C4071" s="6"/>
      <c r="L4071" s="7"/>
      <c r="M4071" s="5"/>
      <c r="N4071" s="5"/>
      <c r="O4071" s="5"/>
    </row>
    <row r="4072">
      <c r="A4072" s="6"/>
      <c r="C4072" s="6"/>
      <c r="L4072" s="7"/>
      <c r="M4072" s="5"/>
      <c r="N4072" s="5"/>
      <c r="O4072" s="5"/>
    </row>
    <row r="4073">
      <c r="A4073" s="6"/>
      <c r="C4073" s="6"/>
      <c r="L4073" s="7"/>
      <c r="M4073" s="5"/>
      <c r="N4073" s="5"/>
      <c r="O4073" s="5"/>
    </row>
    <row r="4074">
      <c r="A4074" s="6"/>
      <c r="C4074" s="6"/>
      <c r="L4074" s="7"/>
      <c r="M4074" s="5"/>
      <c r="N4074" s="5"/>
      <c r="O4074" s="5"/>
    </row>
    <row r="4075">
      <c r="A4075" s="6"/>
      <c r="C4075" s="6"/>
      <c r="L4075" s="7"/>
      <c r="M4075" s="5"/>
      <c r="N4075" s="5"/>
      <c r="O4075" s="5"/>
    </row>
    <row r="4076">
      <c r="A4076" s="6"/>
      <c r="C4076" s="6"/>
      <c r="L4076" s="7"/>
      <c r="M4076" s="5"/>
      <c r="N4076" s="5"/>
      <c r="O4076" s="5"/>
    </row>
    <row r="4077">
      <c r="A4077" s="6"/>
      <c r="C4077" s="6"/>
      <c r="L4077" s="7"/>
      <c r="M4077" s="5"/>
      <c r="N4077" s="5"/>
      <c r="O4077" s="5"/>
    </row>
    <row r="4078">
      <c r="A4078" s="6"/>
      <c r="C4078" s="6"/>
      <c r="L4078" s="7"/>
      <c r="M4078" s="5"/>
      <c r="N4078" s="5"/>
      <c r="O4078" s="5"/>
    </row>
    <row r="4079">
      <c r="A4079" s="6"/>
      <c r="C4079" s="6"/>
      <c r="L4079" s="7"/>
      <c r="M4079" s="5"/>
      <c r="N4079" s="5"/>
      <c r="O4079" s="5"/>
    </row>
    <row r="4080">
      <c r="A4080" s="6"/>
      <c r="C4080" s="6"/>
      <c r="L4080" s="7"/>
      <c r="M4080" s="5"/>
      <c r="N4080" s="5"/>
      <c r="O4080" s="5"/>
    </row>
    <row r="4081">
      <c r="A4081" s="6"/>
      <c r="C4081" s="6"/>
      <c r="L4081" s="7"/>
      <c r="M4081" s="5"/>
      <c r="N4081" s="5"/>
      <c r="O4081" s="5"/>
    </row>
    <row r="4082">
      <c r="A4082" s="6"/>
      <c r="C4082" s="6"/>
      <c r="L4082" s="7"/>
      <c r="M4082" s="5"/>
      <c r="N4082" s="5"/>
      <c r="O4082" s="5"/>
    </row>
    <row r="4083">
      <c r="A4083" s="6"/>
      <c r="C4083" s="6"/>
      <c r="L4083" s="7"/>
      <c r="M4083" s="5"/>
      <c r="N4083" s="5"/>
      <c r="O4083" s="5"/>
    </row>
    <row r="4084">
      <c r="A4084" s="6"/>
      <c r="C4084" s="6"/>
      <c r="L4084" s="7"/>
      <c r="M4084" s="5"/>
      <c r="N4084" s="5"/>
      <c r="O4084" s="5"/>
    </row>
    <row r="4085">
      <c r="A4085" s="6"/>
      <c r="C4085" s="6"/>
      <c r="L4085" s="7"/>
      <c r="M4085" s="5"/>
      <c r="N4085" s="5"/>
      <c r="O4085" s="5"/>
    </row>
    <row r="4086">
      <c r="A4086" s="6"/>
      <c r="C4086" s="6"/>
      <c r="L4086" s="7"/>
      <c r="M4086" s="5"/>
      <c r="N4086" s="5"/>
      <c r="O4086" s="5"/>
    </row>
    <row r="4087">
      <c r="A4087" s="6"/>
      <c r="C4087" s="6"/>
      <c r="L4087" s="7"/>
      <c r="M4087" s="5"/>
      <c r="N4087" s="5"/>
      <c r="O4087" s="5"/>
    </row>
    <row r="4088">
      <c r="A4088" s="6"/>
      <c r="C4088" s="6"/>
      <c r="L4088" s="7"/>
      <c r="M4088" s="5"/>
      <c r="N4088" s="5"/>
      <c r="O4088" s="5"/>
    </row>
    <row r="4089">
      <c r="A4089" s="6"/>
      <c r="C4089" s="6"/>
      <c r="L4089" s="7"/>
      <c r="M4089" s="5"/>
      <c r="N4089" s="5"/>
      <c r="O4089" s="5"/>
    </row>
    <row r="4090">
      <c r="A4090" s="6"/>
      <c r="C4090" s="6"/>
      <c r="L4090" s="7"/>
      <c r="M4090" s="5"/>
      <c r="N4090" s="5"/>
      <c r="O4090" s="5"/>
    </row>
    <row r="4091">
      <c r="A4091" s="6"/>
      <c r="C4091" s="6"/>
      <c r="L4091" s="7"/>
      <c r="M4091" s="5"/>
      <c r="N4091" s="5"/>
      <c r="O4091" s="5"/>
    </row>
    <row r="4092">
      <c r="A4092" s="6"/>
      <c r="C4092" s="6"/>
      <c r="L4092" s="7"/>
      <c r="M4092" s="5"/>
      <c r="N4092" s="5"/>
      <c r="O4092" s="5"/>
    </row>
    <row r="4093">
      <c r="A4093" s="6"/>
      <c r="C4093" s="6"/>
      <c r="L4093" s="7"/>
      <c r="M4093" s="5"/>
      <c r="N4093" s="5"/>
      <c r="O4093" s="5"/>
    </row>
    <row r="4094">
      <c r="A4094" s="6"/>
      <c r="C4094" s="6"/>
      <c r="L4094" s="7"/>
      <c r="M4094" s="5"/>
      <c r="N4094" s="5"/>
      <c r="O4094" s="5"/>
    </row>
    <row r="4095">
      <c r="A4095" s="6"/>
      <c r="C4095" s="6"/>
      <c r="L4095" s="7"/>
      <c r="M4095" s="5"/>
      <c r="N4095" s="5"/>
      <c r="O4095" s="5"/>
    </row>
    <row r="4096">
      <c r="A4096" s="6"/>
      <c r="C4096" s="6"/>
      <c r="L4096" s="7"/>
      <c r="M4096" s="5"/>
      <c r="N4096" s="5"/>
      <c r="O4096" s="5"/>
    </row>
    <row r="4097">
      <c r="A4097" s="6"/>
      <c r="C4097" s="6"/>
      <c r="L4097" s="7"/>
      <c r="M4097" s="5"/>
      <c r="N4097" s="5"/>
      <c r="O4097" s="5"/>
    </row>
    <row r="4098">
      <c r="A4098" s="6"/>
      <c r="C4098" s="6"/>
      <c r="L4098" s="7"/>
      <c r="M4098" s="5"/>
      <c r="N4098" s="5"/>
      <c r="O4098" s="5"/>
    </row>
    <row r="4099">
      <c r="A4099" s="6"/>
      <c r="C4099" s="6"/>
      <c r="L4099" s="7"/>
      <c r="M4099" s="5"/>
      <c r="N4099" s="5"/>
      <c r="O4099" s="5"/>
    </row>
    <row r="4100">
      <c r="A4100" s="6"/>
      <c r="C4100" s="6"/>
      <c r="L4100" s="7"/>
      <c r="M4100" s="5"/>
      <c r="N4100" s="5"/>
      <c r="O4100" s="5"/>
    </row>
    <row r="4101">
      <c r="A4101" s="6"/>
      <c r="C4101" s="6"/>
      <c r="L4101" s="7"/>
      <c r="M4101" s="5"/>
      <c r="N4101" s="5"/>
      <c r="O4101" s="5"/>
    </row>
    <row r="4102">
      <c r="A4102" s="6"/>
      <c r="C4102" s="6"/>
      <c r="L4102" s="7"/>
      <c r="M4102" s="5"/>
      <c r="N4102" s="5"/>
      <c r="O4102" s="5"/>
    </row>
    <row r="4103">
      <c r="A4103" s="6"/>
      <c r="C4103" s="6"/>
      <c r="L4103" s="7"/>
      <c r="M4103" s="5"/>
      <c r="N4103" s="5"/>
      <c r="O4103" s="5"/>
    </row>
    <row r="4104">
      <c r="A4104" s="6"/>
      <c r="C4104" s="6"/>
      <c r="L4104" s="7"/>
      <c r="M4104" s="5"/>
      <c r="N4104" s="5"/>
      <c r="O4104" s="5"/>
    </row>
    <row r="4105">
      <c r="A4105" s="6"/>
      <c r="C4105" s="6"/>
      <c r="L4105" s="7"/>
      <c r="M4105" s="5"/>
      <c r="N4105" s="5"/>
      <c r="O4105" s="5"/>
    </row>
    <row r="4106">
      <c r="A4106" s="6"/>
      <c r="C4106" s="6"/>
      <c r="L4106" s="7"/>
      <c r="M4106" s="5"/>
      <c r="N4106" s="5"/>
      <c r="O4106" s="5"/>
    </row>
    <row r="4107">
      <c r="A4107" s="6"/>
      <c r="C4107" s="6"/>
      <c r="L4107" s="7"/>
      <c r="M4107" s="5"/>
      <c r="N4107" s="5"/>
      <c r="O4107" s="5"/>
    </row>
    <row r="4108">
      <c r="A4108" s="6"/>
      <c r="C4108" s="6"/>
      <c r="L4108" s="7"/>
      <c r="M4108" s="5"/>
      <c r="N4108" s="5"/>
      <c r="O4108" s="5"/>
    </row>
    <row r="4109">
      <c r="A4109" s="6"/>
      <c r="C4109" s="6"/>
      <c r="L4109" s="7"/>
      <c r="M4109" s="5"/>
      <c r="N4109" s="5"/>
      <c r="O4109" s="5"/>
    </row>
    <row r="4110">
      <c r="A4110" s="6"/>
      <c r="C4110" s="6"/>
      <c r="L4110" s="7"/>
      <c r="M4110" s="5"/>
      <c r="N4110" s="5"/>
      <c r="O4110" s="5"/>
    </row>
    <row r="4111">
      <c r="A4111" s="6"/>
      <c r="C4111" s="6"/>
      <c r="L4111" s="7"/>
      <c r="M4111" s="5"/>
      <c r="N4111" s="5"/>
      <c r="O4111" s="5"/>
    </row>
    <row r="4112">
      <c r="A4112" s="6"/>
      <c r="C4112" s="6"/>
      <c r="L4112" s="7"/>
      <c r="M4112" s="5"/>
      <c r="N4112" s="5"/>
      <c r="O4112" s="5"/>
    </row>
    <row r="4113">
      <c r="A4113" s="6"/>
      <c r="C4113" s="6"/>
      <c r="L4113" s="7"/>
      <c r="M4113" s="5"/>
      <c r="N4113" s="5"/>
      <c r="O4113" s="5"/>
    </row>
    <row r="4114">
      <c r="A4114" s="6"/>
      <c r="C4114" s="6"/>
      <c r="L4114" s="7"/>
      <c r="M4114" s="5"/>
      <c r="N4114" s="5"/>
      <c r="O4114" s="5"/>
    </row>
    <row r="4115">
      <c r="A4115" s="6"/>
      <c r="C4115" s="6"/>
      <c r="L4115" s="7"/>
      <c r="M4115" s="5"/>
      <c r="N4115" s="5"/>
      <c r="O4115" s="5"/>
    </row>
    <row r="4116">
      <c r="A4116" s="6"/>
      <c r="C4116" s="6"/>
      <c r="L4116" s="7"/>
      <c r="M4116" s="5"/>
      <c r="N4116" s="5"/>
      <c r="O4116" s="5"/>
    </row>
    <row r="4117">
      <c r="A4117" s="6"/>
      <c r="C4117" s="6"/>
      <c r="L4117" s="7"/>
      <c r="M4117" s="5"/>
      <c r="N4117" s="5"/>
      <c r="O4117" s="5"/>
    </row>
    <row r="4118">
      <c r="A4118" s="6"/>
      <c r="C4118" s="6"/>
      <c r="L4118" s="7"/>
      <c r="M4118" s="5"/>
      <c r="N4118" s="5"/>
      <c r="O4118" s="5"/>
    </row>
    <row r="4119">
      <c r="A4119" s="6"/>
      <c r="C4119" s="6"/>
      <c r="L4119" s="7"/>
      <c r="M4119" s="5"/>
      <c r="N4119" s="5"/>
      <c r="O4119" s="5"/>
    </row>
    <row r="4120">
      <c r="A4120" s="6"/>
      <c r="C4120" s="6"/>
      <c r="L4120" s="7"/>
      <c r="M4120" s="5"/>
      <c r="N4120" s="5"/>
      <c r="O4120" s="5"/>
    </row>
    <row r="4121">
      <c r="A4121" s="6"/>
      <c r="C4121" s="6"/>
      <c r="L4121" s="7"/>
      <c r="M4121" s="5"/>
      <c r="N4121" s="5"/>
      <c r="O4121" s="5"/>
    </row>
    <row r="4122">
      <c r="A4122" s="6"/>
      <c r="C4122" s="6"/>
      <c r="L4122" s="7"/>
      <c r="M4122" s="5"/>
      <c r="N4122" s="5"/>
      <c r="O4122" s="5"/>
    </row>
    <row r="4123">
      <c r="A4123" s="6"/>
      <c r="C4123" s="6"/>
      <c r="L4123" s="7"/>
      <c r="M4123" s="5"/>
      <c r="N4123" s="5"/>
      <c r="O4123" s="5"/>
    </row>
    <row r="4124">
      <c r="A4124" s="6"/>
      <c r="C4124" s="6"/>
      <c r="L4124" s="7"/>
      <c r="M4124" s="5"/>
      <c r="N4124" s="5"/>
      <c r="O4124" s="5"/>
    </row>
    <row r="4125">
      <c r="A4125" s="6"/>
      <c r="C4125" s="6"/>
      <c r="L4125" s="7"/>
      <c r="M4125" s="5"/>
      <c r="N4125" s="5"/>
      <c r="O4125" s="5"/>
    </row>
    <row r="4126">
      <c r="A4126" s="6"/>
      <c r="C4126" s="6"/>
      <c r="L4126" s="7"/>
      <c r="M4126" s="5"/>
      <c r="N4126" s="5"/>
      <c r="O4126" s="5"/>
    </row>
    <row r="4127">
      <c r="A4127" s="6"/>
      <c r="C4127" s="6"/>
      <c r="L4127" s="7"/>
      <c r="M4127" s="5"/>
      <c r="N4127" s="5"/>
      <c r="O4127" s="5"/>
    </row>
    <row r="4128">
      <c r="A4128" s="6"/>
      <c r="C4128" s="6"/>
      <c r="L4128" s="7"/>
      <c r="M4128" s="5"/>
      <c r="N4128" s="5"/>
      <c r="O4128" s="5"/>
    </row>
    <row r="4129">
      <c r="A4129" s="6"/>
      <c r="C4129" s="6"/>
      <c r="L4129" s="7"/>
      <c r="M4129" s="5"/>
      <c r="N4129" s="5"/>
      <c r="O4129" s="5"/>
    </row>
    <row r="4130">
      <c r="A4130" s="6"/>
      <c r="C4130" s="6"/>
      <c r="L4130" s="7"/>
      <c r="M4130" s="5"/>
      <c r="N4130" s="5"/>
      <c r="O4130" s="5"/>
    </row>
    <row r="4131">
      <c r="A4131" s="6"/>
      <c r="C4131" s="6"/>
      <c r="L4131" s="7"/>
      <c r="M4131" s="5"/>
      <c r="N4131" s="5"/>
      <c r="O4131" s="5"/>
    </row>
    <row r="4132">
      <c r="A4132" s="6"/>
      <c r="C4132" s="6"/>
      <c r="L4132" s="7"/>
      <c r="M4132" s="5"/>
      <c r="N4132" s="5"/>
      <c r="O4132" s="5"/>
    </row>
    <row r="4133">
      <c r="A4133" s="6"/>
      <c r="C4133" s="6"/>
      <c r="L4133" s="7"/>
      <c r="M4133" s="5"/>
      <c r="N4133" s="5"/>
      <c r="O4133" s="5"/>
    </row>
    <row r="4134">
      <c r="A4134" s="6"/>
      <c r="C4134" s="6"/>
      <c r="L4134" s="7"/>
      <c r="M4134" s="5"/>
      <c r="N4134" s="5"/>
      <c r="O4134" s="5"/>
    </row>
    <row r="4135">
      <c r="A4135" s="6"/>
      <c r="C4135" s="6"/>
      <c r="L4135" s="7"/>
      <c r="M4135" s="5"/>
      <c r="N4135" s="5"/>
      <c r="O4135" s="5"/>
    </row>
    <row r="4136">
      <c r="A4136" s="6"/>
      <c r="C4136" s="6"/>
      <c r="L4136" s="7"/>
      <c r="M4136" s="5"/>
      <c r="N4136" s="5"/>
      <c r="O4136" s="5"/>
    </row>
    <row r="4137">
      <c r="A4137" s="6"/>
      <c r="C4137" s="6"/>
      <c r="L4137" s="7"/>
      <c r="M4137" s="5"/>
      <c r="N4137" s="5"/>
      <c r="O4137" s="5"/>
    </row>
    <row r="4138">
      <c r="A4138" s="6"/>
      <c r="C4138" s="6"/>
      <c r="L4138" s="7"/>
      <c r="M4138" s="5"/>
      <c r="N4138" s="5"/>
      <c r="O4138" s="5"/>
    </row>
    <row r="4139">
      <c r="A4139" s="6"/>
      <c r="C4139" s="6"/>
      <c r="L4139" s="7"/>
      <c r="M4139" s="5"/>
      <c r="N4139" s="5"/>
      <c r="O4139" s="5"/>
    </row>
    <row r="4140">
      <c r="A4140" s="6"/>
      <c r="C4140" s="6"/>
      <c r="L4140" s="7"/>
      <c r="M4140" s="5"/>
      <c r="N4140" s="5"/>
      <c r="O4140" s="5"/>
    </row>
    <row r="4141">
      <c r="A4141" s="6"/>
      <c r="C4141" s="6"/>
      <c r="L4141" s="7"/>
      <c r="M4141" s="5"/>
      <c r="N4141" s="5"/>
      <c r="O4141" s="5"/>
    </row>
    <row r="4142">
      <c r="A4142" s="6"/>
      <c r="C4142" s="6"/>
      <c r="L4142" s="7"/>
      <c r="M4142" s="5"/>
      <c r="N4142" s="5"/>
      <c r="O4142" s="5"/>
    </row>
    <row r="4143">
      <c r="A4143" s="6"/>
      <c r="C4143" s="6"/>
      <c r="L4143" s="7"/>
      <c r="M4143" s="5"/>
      <c r="N4143" s="5"/>
      <c r="O4143" s="5"/>
    </row>
    <row r="4144">
      <c r="A4144" s="6"/>
      <c r="C4144" s="6"/>
      <c r="L4144" s="7"/>
      <c r="M4144" s="5"/>
      <c r="N4144" s="5"/>
      <c r="O4144" s="5"/>
    </row>
    <row r="4145">
      <c r="A4145" s="6"/>
      <c r="C4145" s="6"/>
      <c r="L4145" s="7"/>
      <c r="M4145" s="5"/>
      <c r="N4145" s="5"/>
      <c r="O4145" s="5"/>
    </row>
    <row r="4146">
      <c r="A4146" s="6"/>
      <c r="C4146" s="6"/>
      <c r="L4146" s="7"/>
      <c r="M4146" s="5"/>
      <c r="N4146" s="5"/>
      <c r="O4146" s="5"/>
    </row>
    <row r="4147">
      <c r="A4147" s="6"/>
      <c r="C4147" s="6"/>
      <c r="L4147" s="7"/>
      <c r="M4147" s="5"/>
      <c r="N4147" s="5"/>
      <c r="O4147" s="5"/>
    </row>
    <row r="4148">
      <c r="A4148" s="6"/>
      <c r="C4148" s="6"/>
      <c r="L4148" s="7"/>
      <c r="M4148" s="5"/>
      <c r="N4148" s="5"/>
      <c r="O4148" s="5"/>
    </row>
    <row r="4149">
      <c r="A4149" s="6"/>
      <c r="C4149" s="6"/>
      <c r="L4149" s="7"/>
      <c r="M4149" s="5"/>
      <c r="N4149" s="5"/>
      <c r="O4149" s="5"/>
    </row>
    <row r="4150">
      <c r="A4150" s="6"/>
      <c r="C4150" s="6"/>
      <c r="L4150" s="7"/>
      <c r="M4150" s="5"/>
      <c r="N4150" s="5"/>
      <c r="O4150" s="5"/>
    </row>
    <row r="4151">
      <c r="A4151" s="6"/>
      <c r="C4151" s="6"/>
      <c r="L4151" s="7"/>
      <c r="M4151" s="5"/>
      <c r="N4151" s="5"/>
      <c r="O4151" s="5"/>
    </row>
    <row r="4152">
      <c r="A4152" s="6"/>
      <c r="C4152" s="6"/>
      <c r="L4152" s="7"/>
      <c r="M4152" s="5"/>
      <c r="N4152" s="5"/>
      <c r="O4152" s="5"/>
    </row>
    <row r="4153">
      <c r="A4153" s="6"/>
      <c r="C4153" s="6"/>
      <c r="L4153" s="7"/>
      <c r="M4153" s="5"/>
      <c r="N4153" s="5"/>
      <c r="O4153" s="5"/>
    </row>
    <row r="4154">
      <c r="A4154" s="6"/>
      <c r="C4154" s="6"/>
      <c r="L4154" s="7"/>
      <c r="M4154" s="5"/>
      <c r="N4154" s="5"/>
      <c r="O4154" s="5"/>
    </row>
    <row r="4155">
      <c r="A4155" s="6"/>
      <c r="C4155" s="6"/>
      <c r="L4155" s="7"/>
      <c r="M4155" s="5"/>
      <c r="N4155" s="5"/>
      <c r="O4155" s="5"/>
    </row>
    <row r="4156">
      <c r="A4156" s="6"/>
      <c r="C4156" s="6"/>
      <c r="L4156" s="7"/>
      <c r="M4156" s="5"/>
      <c r="N4156" s="5"/>
      <c r="O4156" s="5"/>
    </row>
    <row r="4157">
      <c r="A4157" s="6"/>
      <c r="C4157" s="6"/>
      <c r="L4157" s="7"/>
      <c r="M4157" s="5"/>
      <c r="N4157" s="5"/>
      <c r="O4157" s="5"/>
    </row>
    <row r="4158">
      <c r="A4158" s="6"/>
      <c r="C4158" s="6"/>
      <c r="L4158" s="7"/>
      <c r="M4158" s="5"/>
      <c r="N4158" s="5"/>
      <c r="O4158" s="5"/>
    </row>
    <row r="4159">
      <c r="A4159" s="6"/>
      <c r="C4159" s="6"/>
      <c r="L4159" s="7"/>
      <c r="M4159" s="5"/>
      <c r="N4159" s="5"/>
      <c r="O4159" s="5"/>
    </row>
    <row r="4160">
      <c r="A4160" s="6"/>
      <c r="C4160" s="6"/>
      <c r="L4160" s="7"/>
      <c r="M4160" s="5"/>
      <c r="N4160" s="5"/>
      <c r="O4160" s="5"/>
    </row>
    <row r="4161">
      <c r="A4161" s="6"/>
      <c r="C4161" s="6"/>
      <c r="L4161" s="7"/>
      <c r="M4161" s="5"/>
      <c r="N4161" s="5"/>
      <c r="O4161" s="5"/>
    </row>
    <row r="4162">
      <c r="A4162" s="6"/>
      <c r="C4162" s="6"/>
      <c r="L4162" s="7"/>
      <c r="M4162" s="5"/>
      <c r="N4162" s="5"/>
      <c r="O4162" s="5"/>
    </row>
    <row r="4163">
      <c r="A4163" s="6"/>
      <c r="C4163" s="6"/>
      <c r="L4163" s="7"/>
      <c r="M4163" s="5"/>
      <c r="N4163" s="5"/>
      <c r="O4163" s="5"/>
    </row>
    <row r="4164">
      <c r="A4164" s="6"/>
      <c r="C4164" s="6"/>
      <c r="L4164" s="7"/>
      <c r="M4164" s="5"/>
      <c r="N4164" s="5"/>
      <c r="O4164" s="5"/>
    </row>
    <row r="4165">
      <c r="A4165" s="6"/>
      <c r="C4165" s="6"/>
      <c r="L4165" s="7"/>
      <c r="M4165" s="5"/>
      <c r="N4165" s="5"/>
      <c r="O4165" s="5"/>
    </row>
    <row r="4166">
      <c r="A4166" s="6"/>
      <c r="C4166" s="6"/>
      <c r="L4166" s="7"/>
      <c r="M4166" s="5"/>
      <c r="N4166" s="5"/>
      <c r="O4166" s="5"/>
    </row>
    <row r="4167">
      <c r="A4167" s="6"/>
      <c r="C4167" s="6"/>
      <c r="L4167" s="7"/>
      <c r="M4167" s="5"/>
      <c r="N4167" s="5"/>
      <c r="O4167" s="5"/>
    </row>
    <row r="4168">
      <c r="A4168" s="6"/>
      <c r="C4168" s="6"/>
      <c r="L4168" s="7"/>
      <c r="M4168" s="5"/>
      <c r="N4168" s="5"/>
      <c r="O4168" s="5"/>
    </row>
    <row r="4169">
      <c r="A4169" s="6"/>
      <c r="C4169" s="6"/>
      <c r="L4169" s="7"/>
      <c r="M4169" s="5"/>
      <c r="N4169" s="5"/>
      <c r="O4169" s="5"/>
    </row>
    <row r="4170">
      <c r="A4170" s="6"/>
      <c r="C4170" s="6"/>
      <c r="L4170" s="7"/>
      <c r="M4170" s="5"/>
      <c r="N4170" s="5"/>
      <c r="O4170" s="5"/>
    </row>
    <row r="4171">
      <c r="A4171" s="6"/>
      <c r="C4171" s="6"/>
      <c r="L4171" s="7"/>
      <c r="M4171" s="5"/>
      <c r="N4171" s="5"/>
      <c r="O4171" s="5"/>
    </row>
    <row r="4172">
      <c r="A4172" s="6"/>
      <c r="C4172" s="6"/>
      <c r="L4172" s="7"/>
      <c r="M4172" s="5"/>
      <c r="N4172" s="5"/>
      <c r="O4172" s="5"/>
    </row>
    <row r="4173">
      <c r="A4173" s="6"/>
      <c r="C4173" s="6"/>
      <c r="L4173" s="7"/>
      <c r="M4173" s="5"/>
      <c r="N4173" s="5"/>
      <c r="O4173" s="5"/>
    </row>
    <row r="4174">
      <c r="A4174" s="6"/>
      <c r="C4174" s="6"/>
      <c r="L4174" s="7"/>
      <c r="M4174" s="5"/>
      <c r="N4174" s="5"/>
      <c r="O4174" s="5"/>
    </row>
    <row r="4175">
      <c r="A4175" s="6"/>
      <c r="C4175" s="6"/>
      <c r="L4175" s="7"/>
      <c r="M4175" s="5"/>
      <c r="N4175" s="5"/>
      <c r="O4175" s="5"/>
    </row>
    <row r="4176">
      <c r="A4176" s="6"/>
      <c r="C4176" s="6"/>
      <c r="L4176" s="7"/>
      <c r="M4176" s="5"/>
      <c r="N4176" s="5"/>
      <c r="O4176" s="5"/>
    </row>
    <row r="4177">
      <c r="A4177" s="6"/>
      <c r="C4177" s="6"/>
      <c r="L4177" s="7"/>
      <c r="M4177" s="5"/>
      <c r="N4177" s="5"/>
      <c r="O4177" s="5"/>
    </row>
    <row r="4178">
      <c r="A4178" s="6"/>
      <c r="C4178" s="6"/>
      <c r="L4178" s="7"/>
      <c r="M4178" s="5"/>
      <c r="N4178" s="5"/>
      <c r="O4178" s="5"/>
    </row>
    <row r="4179">
      <c r="A4179" s="6"/>
      <c r="C4179" s="6"/>
      <c r="L4179" s="7"/>
      <c r="M4179" s="5"/>
      <c r="N4179" s="5"/>
      <c r="O4179" s="5"/>
    </row>
    <row r="4180">
      <c r="A4180" s="6"/>
      <c r="C4180" s="6"/>
      <c r="L4180" s="7"/>
      <c r="M4180" s="5"/>
      <c r="N4180" s="5"/>
      <c r="O4180" s="5"/>
    </row>
    <row r="4181">
      <c r="A4181" s="6"/>
      <c r="C4181" s="6"/>
      <c r="L4181" s="7"/>
      <c r="M4181" s="5"/>
      <c r="N4181" s="5"/>
      <c r="O4181" s="5"/>
    </row>
    <row r="4182">
      <c r="A4182" s="6"/>
      <c r="C4182" s="6"/>
      <c r="L4182" s="7"/>
      <c r="M4182" s="5"/>
      <c r="N4182" s="5"/>
      <c r="O4182" s="5"/>
    </row>
    <row r="4183">
      <c r="A4183" s="6"/>
      <c r="C4183" s="6"/>
      <c r="L4183" s="7"/>
      <c r="M4183" s="5"/>
      <c r="N4183" s="5"/>
      <c r="O4183" s="5"/>
    </row>
    <row r="4184">
      <c r="A4184" s="6"/>
      <c r="C4184" s="6"/>
      <c r="L4184" s="7"/>
      <c r="M4184" s="5"/>
      <c r="N4184" s="5"/>
      <c r="O4184" s="5"/>
    </row>
    <row r="4185">
      <c r="A4185" s="6"/>
      <c r="C4185" s="6"/>
      <c r="L4185" s="7"/>
      <c r="M4185" s="5"/>
      <c r="N4185" s="5"/>
      <c r="O4185" s="5"/>
    </row>
    <row r="4186">
      <c r="A4186" s="6"/>
      <c r="C4186" s="6"/>
      <c r="L4186" s="7"/>
      <c r="M4186" s="5"/>
      <c r="N4186" s="5"/>
      <c r="O4186" s="5"/>
    </row>
    <row r="4187">
      <c r="A4187" s="6"/>
      <c r="C4187" s="6"/>
      <c r="L4187" s="7"/>
      <c r="M4187" s="5"/>
      <c r="N4187" s="5"/>
      <c r="O4187" s="5"/>
    </row>
    <row r="4188">
      <c r="A4188" s="6"/>
      <c r="C4188" s="6"/>
      <c r="L4188" s="7"/>
      <c r="M4188" s="5"/>
      <c r="N4188" s="5"/>
      <c r="O4188" s="5"/>
    </row>
    <row r="4189">
      <c r="A4189" s="6"/>
      <c r="C4189" s="6"/>
      <c r="L4189" s="7"/>
      <c r="M4189" s="5"/>
      <c r="N4189" s="5"/>
      <c r="O4189" s="5"/>
    </row>
    <row r="4190">
      <c r="A4190" s="6"/>
      <c r="C4190" s="6"/>
      <c r="L4190" s="7"/>
      <c r="M4190" s="5"/>
      <c r="N4190" s="5"/>
      <c r="O4190" s="5"/>
    </row>
    <row r="4191">
      <c r="A4191" s="6"/>
      <c r="C4191" s="6"/>
      <c r="L4191" s="7"/>
      <c r="M4191" s="5"/>
      <c r="N4191" s="5"/>
      <c r="O4191" s="5"/>
    </row>
    <row r="4192">
      <c r="A4192" s="6"/>
      <c r="C4192" s="6"/>
      <c r="L4192" s="7"/>
      <c r="M4192" s="5"/>
      <c r="N4192" s="5"/>
      <c r="O4192" s="5"/>
    </row>
    <row r="4193">
      <c r="A4193" s="6"/>
      <c r="C4193" s="6"/>
      <c r="L4193" s="7"/>
      <c r="M4193" s="5"/>
      <c r="N4193" s="5"/>
      <c r="O4193" s="5"/>
    </row>
    <row r="4194">
      <c r="A4194" s="6"/>
      <c r="C4194" s="6"/>
      <c r="L4194" s="7"/>
      <c r="M4194" s="5"/>
      <c r="N4194" s="5"/>
      <c r="O4194" s="5"/>
    </row>
    <row r="4195">
      <c r="A4195" s="6"/>
      <c r="C4195" s="6"/>
      <c r="L4195" s="7"/>
      <c r="M4195" s="5"/>
      <c r="N4195" s="5"/>
      <c r="O4195" s="5"/>
    </row>
    <row r="4196">
      <c r="A4196" s="6"/>
      <c r="C4196" s="6"/>
      <c r="L4196" s="7"/>
      <c r="M4196" s="5"/>
      <c r="N4196" s="5"/>
      <c r="O4196" s="5"/>
    </row>
    <row r="4197">
      <c r="A4197" s="6"/>
      <c r="C4197" s="6"/>
      <c r="L4197" s="7"/>
      <c r="M4197" s="5"/>
      <c r="N4197" s="5"/>
      <c r="O4197" s="5"/>
    </row>
    <row r="4198">
      <c r="A4198" s="6"/>
      <c r="C4198" s="6"/>
      <c r="L4198" s="7"/>
      <c r="M4198" s="5"/>
      <c r="N4198" s="5"/>
      <c r="O4198" s="5"/>
    </row>
    <row r="4199">
      <c r="A4199" s="6"/>
      <c r="C4199" s="6"/>
      <c r="L4199" s="7"/>
      <c r="M4199" s="5"/>
      <c r="N4199" s="5"/>
      <c r="O4199" s="5"/>
    </row>
    <row r="4200">
      <c r="A4200" s="6"/>
      <c r="C4200" s="6"/>
      <c r="L4200" s="7"/>
      <c r="M4200" s="5"/>
      <c r="N4200" s="5"/>
      <c r="O4200" s="5"/>
    </row>
    <row r="4201">
      <c r="A4201" s="6"/>
      <c r="C4201" s="6"/>
      <c r="L4201" s="7"/>
      <c r="M4201" s="5"/>
      <c r="N4201" s="5"/>
      <c r="O4201" s="5"/>
    </row>
    <row r="4202">
      <c r="A4202" s="6"/>
      <c r="C4202" s="6"/>
      <c r="L4202" s="7"/>
      <c r="M4202" s="5"/>
      <c r="N4202" s="5"/>
      <c r="O4202" s="5"/>
    </row>
    <row r="4203">
      <c r="A4203" s="6"/>
      <c r="C4203" s="6"/>
      <c r="L4203" s="7"/>
      <c r="M4203" s="5"/>
      <c r="N4203" s="5"/>
      <c r="O4203" s="5"/>
    </row>
    <row r="4204">
      <c r="A4204" s="6"/>
      <c r="C4204" s="6"/>
      <c r="L4204" s="7"/>
      <c r="M4204" s="5"/>
      <c r="N4204" s="5"/>
      <c r="O4204" s="5"/>
    </row>
    <row r="4205">
      <c r="A4205" s="6"/>
      <c r="C4205" s="6"/>
      <c r="L4205" s="7"/>
      <c r="M4205" s="5"/>
      <c r="N4205" s="5"/>
      <c r="O4205" s="5"/>
    </row>
    <row r="4206">
      <c r="A4206" s="6"/>
      <c r="C4206" s="6"/>
      <c r="L4206" s="7"/>
      <c r="M4206" s="5"/>
      <c r="N4206" s="5"/>
      <c r="O4206" s="5"/>
    </row>
    <row r="4207">
      <c r="A4207" s="6"/>
      <c r="C4207" s="6"/>
      <c r="L4207" s="7"/>
      <c r="M4207" s="5"/>
      <c r="N4207" s="5"/>
      <c r="O4207" s="5"/>
    </row>
    <row r="4208">
      <c r="A4208" s="6"/>
      <c r="C4208" s="6"/>
      <c r="L4208" s="7"/>
      <c r="M4208" s="5"/>
      <c r="N4208" s="5"/>
      <c r="O4208" s="5"/>
    </row>
    <row r="4209">
      <c r="A4209" s="6"/>
      <c r="C4209" s="6"/>
      <c r="L4209" s="7"/>
      <c r="M4209" s="5"/>
      <c r="N4209" s="5"/>
      <c r="O4209" s="5"/>
    </row>
    <row r="4210">
      <c r="A4210" s="6"/>
      <c r="C4210" s="6"/>
      <c r="L4210" s="7"/>
      <c r="M4210" s="5"/>
      <c r="N4210" s="5"/>
      <c r="O4210" s="5"/>
    </row>
    <row r="4211">
      <c r="A4211" s="6"/>
      <c r="C4211" s="6"/>
      <c r="L4211" s="7"/>
      <c r="M4211" s="5"/>
      <c r="N4211" s="5"/>
      <c r="O4211" s="5"/>
    </row>
    <row r="4212">
      <c r="A4212" s="6"/>
      <c r="C4212" s="6"/>
      <c r="L4212" s="7"/>
      <c r="M4212" s="5"/>
      <c r="N4212" s="5"/>
      <c r="O4212" s="5"/>
    </row>
    <row r="4213">
      <c r="A4213" s="6"/>
      <c r="C4213" s="6"/>
      <c r="L4213" s="7"/>
      <c r="M4213" s="5"/>
      <c r="N4213" s="5"/>
      <c r="O4213" s="5"/>
    </row>
    <row r="4214">
      <c r="A4214" s="6"/>
      <c r="C4214" s="6"/>
      <c r="L4214" s="7"/>
      <c r="M4214" s="5"/>
      <c r="N4214" s="5"/>
      <c r="O4214" s="5"/>
    </row>
    <row r="4215">
      <c r="A4215" s="6"/>
      <c r="C4215" s="6"/>
      <c r="L4215" s="7"/>
      <c r="M4215" s="5"/>
      <c r="N4215" s="5"/>
      <c r="O4215" s="5"/>
    </row>
    <row r="4216">
      <c r="A4216" s="6"/>
      <c r="C4216" s="6"/>
      <c r="L4216" s="7"/>
      <c r="M4216" s="5"/>
      <c r="N4216" s="5"/>
      <c r="O4216" s="5"/>
    </row>
    <row r="4217">
      <c r="A4217" s="6"/>
      <c r="C4217" s="6"/>
      <c r="L4217" s="7"/>
      <c r="M4217" s="5"/>
      <c r="N4217" s="5"/>
      <c r="O4217" s="5"/>
    </row>
    <row r="4218">
      <c r="A4218" s="6"/>
      <c r="C4218" s="6"/>
      <c r="L4218" s="7"/>
      <c r="M4218" s="5"/>
      <c r="N4218" s="5"/>
      <c r="O4218" s="5"/>
    </row>
    <row r="4219">
      <c r="A4219" s="6"/>
      <c r="C4219" s="6"/>
      <c r="L4219" s="7"/>
      <c r="M4219" s="5"/>
      <c r="N4219" s="5"/>
      <c r="O4219" s="5"/>
    </row>
    <row r="4220">
      <c r="A4220" s="6"/>
      <c r="C4220" s="6"/>
      <c r="L4220" s="7"/>
      <c r="M4220" s="5"/>
      <c r="N4220" s="5"/>
      <c r="O4220" s="5"/>
    </row>
    <row r="4221">
      <c r="A4221" s="6"/>
      <c r="C4221" s="6"/>
      <c r="L4221" s="7"/>
      <c r="M4221" s="5"/>
      <c r="N4221" s="5"/>
      <c r="O4221" s="5"/>
    </row>
    <row r="4222">
      <c r="A4222" s="6"/>
      <c r="C4222" s="6"/>
      <c r="L4222" s="7"/>
      <c r="M4222" s="5"/>
      <c r="N4222" s="5"/>
      <c r="O4222" s="5"/>
    </row>
    <row r="4223">
      <c r="A4223" s="6"/>
      <c r="C4223" s="6"/>
      <c r="L4223" s="7"/>
      <c r="M4223" s="5"/>
      <c r="N4223" s="5"/>
      <c r="O4223" s="5"/>
    </row>
    <row r="4224">
      <c r="A4224" s="6"/>
      <c r="C4224" s="6"/>
      <c r="L4224" s="7"/>
      <c r="M4224" s="5"/>
      <c r="N4224" s="5"/>
      <c r="O4224" s="5"/>
    </row>
    <row r="4225">
      <c r="A4225" s="6"/>
      <c r="C4225" s="6"/>
      <c r="L4225" s="7"/>
      <c r="M4225" s="5"/>
      <c r="N4225" s="5"/>
      <c r="O4225" s="5"/>
    </row>
    <row r="4226">
      <c r="A4226" s="6"/>
      <c r="C4226" s="6"/>
      <c r="L4226" s="7"/>
      <c r="M4226" s="5"/>
      <c r="N4226" s="5"/>
      <c r="O4226" s="5"/>
    </row>
    <row r="4227">
      <c r="A4227" s="6"/>
      <c r="C4227" s="6"/>
      <c r="L4227" s="7"/>
      <c r="M4227" s="5"/>
      <c r="N4227" s="5"/>
      <c r="O4227" s="5"/>
    </row>
    <row r="4228">
      <c r="A4228" s="6"/>
      <c r="C4228" s="6"/>
      <c r="L4228" s="7"/>
      <c r="M4228" s="5"/>
      <c r="N4228" s="5"/>
      <c r="O4228" s="5"/>
    </row>
    <row r="4229">
      <c r="A4229" s="6"/>
      <c r="C4229" s="6"/>
      <c r="L4229" s="7"/>
      <c r="M4229" s="5"/>
      <c r="N4229" s="5"/>
      <c r="O4229" s="5"/>
    </row>
    <row r="4230">
      <c r="A4230" s="6"/>
      <c r="C4230" s="6"/>
      <c r="L4230" s="7"/>
      <c r="M4230" s="5"/>
      <c r="N4230" s="5"/>
      <c r="O4230" s="5"/>
    </row>
    <row r="4231">
      <c r="A4231" s="6"/>
      <c r="C4231" s="6"/>
      <c r="L4231" s="7"/>
      <c r="M4231" s="5"/>
      <c r="N4231" s="5"/>
      <c r="O4231" s="5"/>
    </row>
    <row r="4232">
      <c r="A4232" s="6"/>
      <c r="C4232" s="6"/>
      <c r="L4232" s="7"/>
      <c r="M4232" s="5"/>
      <c r="N4232" s="5"/>
      <c r="O4232" s="5"/>
    </row>
    <row r="4233">
      <c r="A4233" s="6"/>
      <c r="C4233" s="6"/>
      <c r="L4233" s="7"/>
      <c r="M4233" s="5"/>
      <c r="N4233" s="5"/>
      <c r="O4233" s="5"/>
    </row>
    <row r="4234">
      <c r="A4234" s="6"/>
      <c r="C4234" s="6"/>
      <c r="L4234" s="7"/>
      <c r="M4234" s="5"/>
      <c r="N4234" s="5"/>
      <c r="O4234" s="5"/>
    </row>
    <row r="4235">
      <c r="A4235" s="6"/>
      <c r="C4235" s="6"/>
      <c r="L4235" s="7"/>
      <c r="M4235" s="5"/>
      <c r="N4235" s="5"/>
      <c r="O4235" s="5"/>
    </row>
    <row r="4236">
      <c r="A4236" s="6"/>
      <c r="C4236" s="6"/>
      <c r="L4236" s="7"/>
      <c r="M4236" s="5"/>
      <c r="N4236" s="5"/>
      <c r="O4236" s="5"/>
    </row>
    <row r="4237">
      <c r="A4237" s="6"/>
      <c r="C4237" s="6"/>
      <c r="L4237" s="7"/>
      <c r="M4237" s="5"/>
      <c r="N4237" s="5"/>
      <c r="O4237" s="5"/>
    </row>
    <row r="4238">
      <c r="A4238" s="6"/>
      <c r="C4238" s="6"/>
      <c r="L4238" s="7"/>
      <c r="M4238" s="5"/>
      <c r="N4238" s="5"/>
      <c r="O4238" s="5"/>
    </row>
    <row r="4239">
      <c r="A4239" s="6"/>
      <c r="C4239" s="6"/>
      <c r="L4239" s="7"/>
      <c r="M4239" s="5"/>
      <c r="N4239" s="5"/>
      <c r="O4239" s="5"/>
    </row>
    <row r="4240">
      <c r="A4240" s="6"/>
      <c r="C4240" s="6"/>
      <c r="L4240" s="7"/>
      <c r="M4240" s="5"/>
      <c r="N4240" s="5"/>
      <c r="O4240" s="5"/>
    </row>
    <row r="4241">
      <c r="A4241" s="6"/>
      <c r="C4241" s="6"/>
      <c r="L4241" s="7"/>
      <c r="M4241" s="5"/>
      <c r="N4241" s="5"/>
      <c r="O4241" s="5"/>
    </row>
    <row r="4242">
      <c r="A4242" s="6"/>
      <c r="C4242" s="6"/>
      <c r="L4242" s="7"/>
      <c r="M4242" s="5"/>
      <c r="N4242" s="5"/>
      <c r="O4242" s="5"/>
    </row>
    <row r="4243">
      <c r="A4243" s="6"/>
      <c r="C4243" s="6"/>
      <c r="L4243" s="7"/>
      <c r="M4243" s="5"/>
      <c r="N4243" s="5"/>
      <c r="O4243" s="5"/>
    </row>
    <row r="4244">
      <c r="A4244" s="6"/>
      <c r="C4244" s="6"/>
      <c r="L4244" s="7"/>
      <c r="M4244" s="5"/>
      <c r="N4244" s="5"/>
      <c r="O4244" s="5"/>
    </row>
    <row r="4245">
      <c r="A4245" s="6"/>
      <c r="C4245" s="6"/>
      <c r="L4245" s="7"/>
      <c r="M4245" s="5"/>
      <c r="N4245" s="5"/>
      <c r="O4245" s="5"/>
    </row>
    <row r="4246">
      <c r="A4246" s="6"/>
      <c r="C4246" s="6"/>
      <c r="L4246" s="7"/>
      <c r="M4246" s="5"/>
      <c r="N4246" s="5"/>
      <c r="O4246" s="5"/>
    </row>
    <row r="4247">
      <c r="A4247" s="6"/>
      <c r="C4247" s="6"/>
      <c r="L4247" s="7"/>
      <c r="M4247" s="5"/>
      <c r="N4247" s="5"/>
      <c r="O4247" s="5"/>
    </row>
    <row r="4248">
      <c r="A4248" s="6"/>
      <c r="C4248" s="6"/>
      <c r="L4248" s="7"/>
      <c r="M4248" s="5"/>
      <c r="N4248" s="5"/>
      <c r="O4248" s="5"/>
    </row>
    <row r="4249">
      <c r="A4249" s="6"/>
      <c r="C4249" s="6"/>
      <c r="L4249" s="7"/>
      <c r="M4249" s="5"/>
      <c r="N4249" s="5"/>
      <c r="O4249" s="5"/>
    </row>
    <row r="4250">
      <c r="A4250" s="6"/>
      <c r="C4250" s="6"/>
      <c r="L4250" s="7"/>
      <c r="M4250" s="5"/>
      <c r="N4250" s="5"/>
      <c r="O4250" s="5"/>
    </row>
    <row r="4251">
      <c r="A4251" s="6"/>
      <c r="C4251" s="6"/>
      <c r="L4251" s="7"/>
      <c r="M4251" s="5"/>
      <c r="N4251" s="5"/>
      <c r="O4251" s="5"/>
    </row>
    <row r="4252">
      <c r="A4252" s="6"/>
      <c r="C4252" s="6"/>
      <c r="L4252" s="7"/>
      <c r="M4252" s="5"/>
      <c r="N4252" s="5"/>
      <c r="O4252" s="5"/>
    </row>
    <row r="4253">
      <c r="A4253" s="6"/>
      <c r="C4253" s="6"/>
      <c r="L4253" s="7"/>
      <c r="M4253" s="5"/>
      <c r="N4253" s="5"/>
      <c r="O4253" s="5"/>
    </row>
    <row r="4254">
      <c r="A4254" s="6"/>
      <c r="C4254" s="6"/>
      <c r="L4254" s="7"/>
      <c r="M4254" s="5"/>
      <c r="N4254" s="5"/>
      <c r="O4254" s="5"/>
    </row>
    <row r="4255">
      <c r="A4255" s="6"/>
      <c r="C4255" s="6"/>
      <c r="L4255" s="7"/>
      <c r="M4255" s="5"/>
      <c r="N4255" s="5"/>
      <c r="O4255" s="5"/>
    </row>
    <row r="4256">
      <c r="A4256" s="6"/>
      <c r="C4256" s="6"/>
      <c r="L4256" s="7"/>
      <c r="M4256" s="5"/>
      <c r="N4256" s="5"/>
      <c r="O4256" s="5"/>
    </row>
    <row r="4257">
      <c r="A4257" s="6"/>
      <c r="C4257" s="6"/>
      <c r="L4257" s="7"/>
      <c r="M4257" s="5"/>
      <c r="N4257" s="5"/>
      <c r="O4257" s="5"/>
    </row>
    <row r="4258">
      <c r="A4258" s="6"/>
      <c r="C4258" s="6"/>
      <c r="L4258" s="7"/>
      <c r="M4258" s="5"/>
      <c r="N4258" s="5"/>
      <c r="O4258" s="5"/>
    </row>
    <row r="4259">
      <c r="A4259" s="6"/>
      <c r="C4259" s="6"/>
      <c r="L4259" s="7"/>
      <c r="M4259" s="5"/>
      <c r="N4259" s="5"/>
      <c r="O4259" s="5"/>
    </row>
    <row r="4260">
      <c r="A4260" s="6"/>
      <c r="C4260" s="6"/>
      <c r="L4260" s="7"/>
      <c r="M4260" s="5"/>
      <c r="N4260" s="5"/>
      <c r="O4260" s="5"/>
    </row>
    <row r="4261">
      <c r="A4261" s="6"/>
      <c r="C4261" s="6"/>
      <c r="L4261" s="7"/>
      <c r="M4261" s="5"/>
      <c r="N4261" s="5"/>
      <c r="O4261" s="5"/>
    </row>
    <row r="4262">
      <c r="A4262" s="6"/>
      <c r="C4262" s="6"/>
      <c r="L4262" s="7"/>
      <c r="M4262" s="5"/>
      <c r="N4262" s="5"/>
      <c r="O4262" s="5"/>
    </row>
    <row r="4263">
      <c r="A4263" s="6"/>
      <c r="C4263" s="6"/>
      <c r="L4263" s="7"/>
      <c r="M4263" s="5"/>
      <c r="N4263" s="5"/>
      <c r="O4263" s="5"/>
    </row>
    <row r="4264">
      <c r="A4264" s="6"/>
      <c r="C4264" s="6"/>
      <c r="L4264" s="7"/>
      <c r="M4264" s="5"/>
      <c r="N4264" s="5"/>
      <c r="O4264" s="5"/>
    </row>
    <row r="4265">
      <c r="A4265" s="6"/>
      <c r="C4265" s="6"/>
      <c r="L4265" s="7"/>
      <c r="M4265" s="5"/>
      <c r="N4265" s="5"/>
      <c r="O4265" s="5"/>
    </row>
    <row r="4266">
      <c r="A4266" s="6"/>
      <c r="C4266" s="6"/>
      <c r="L4266" s="7"/>
      <c r="M4266" s="5"/>
      <c r="N4266" s="5"/>
      <c r="O4266" s="5"/>
    </row>
    <row r="4267">
      <c r="A4267" s="6"/>
      <c r="C4267" s="6"/>
      <c r="L4267" s="7"/>
      <c r="M4267" s="5"/>
      <c r="N4267" s="5"/>
      <c r="O4267" s="5"/>
    </row>
    <row r="4268">
      <c r="A4268" s="6"/>
      <c r="C4268" s="6"/>
      <c r="L4268" s="7"/>
      <c r="M4268" s="5"/>
      <c r="N4268" s="5"/>
      <c r="O4268" s="5"/>
    </row>
    <row r="4269">
      <c r="A4269" s="6"/>
      <c r="C4269" s="6"/>
      <c r="L4269" s="7"/>
      <c r="M4269" s="5"/>
      <c r="N4269" s="5"/>
      <c r="O4269" s="5"/>
    </row>
    <row r="4270">
      <c r="A4270" s="6"/>
      <c r="C4270" s="6"/>
      <c r="L4270" s="7"/>
      <c r="M4270" s="5"/>
      <c r="N4270" s="5"/>
      <c r="O4270" s="5"/>
    </row>
    <row r="4271">
      <c r="A4271" s="6"/>
      <c r="C4271" s="6"/>
      <c r="L4271" s="7"/>
      <c r="M4271" s="5"/>
      <c r="N4271" s="5"/>
      <c r="O4271" s="5"/>
    </row>
    <row r="4272">
      <c r="A4272" s="6"/>
      <c r="C4272" s="6"/>
      <c r="L4272" s="7"/>
      <c r="M4272" s="5"/>
      <c r="N4272" s="5"/>
      <c r="O4272" s="5"/>
    </row>
    <row r="4273">
      <c r="A4273" s="6"/>
      <c r="C4273" s="6"/>
      <c r="L4273" s="7"/>
      <c r="M4273" s="5"/>
      <c r="N4273" s="5"/>
      <c r="O4273" s="5"/>
    </row>
    <row r="4274">
      <c r="A4274" s="6"/>
      <c r="C4274" s="6"/>
      <c r="L4274" s="7"/>
      <c r="M4274" s="5"/>
      <c r="N4274" s="5"/>
      <c r="O4274" s="5"/>
    </row>
    <row r="4275">
      <c r="A4275" s="6"/>
      <c r="C4275" s="6"/>
      <c r="L4275" s="7"/>
      <c r="M4275" s="5"/>
      <c r="N4275" s="5"/>
      <c r="O4275" s="5"/>
    </row>
    <row r="4276">
      <c r="A4276" s="6"/>
      <c r="C4276" s="6"/>
      <c r="L4276" s="7"/>
      <c r="M4276" s="5"/>
      <c r="N4276" s="5"/>
      <c r="O4276" s="5"/>
    </row>
    <row r="4277">
      <c r="A4277" s="6"/>
      <c r="C4277" s="6"/>
      <c r="L4277" s="7"/>
      <c r="M4277" s="5"/>
      <c r="N4277" s="5"/>
      <c r="O4277" s="5"/>
    </row>
    <row r="4278">
      <c r="A4278" s="6"/>
      <c r="C4278" s="6"/>
      <c r="L4278" s="7"/>
      <c r="M4278" s="5"/>
      <c r="N4278" s="5"/>
      <c r="O4278" s="5"/>
    </row>
    <row r="4279">
      <c r="A4279" s="6"/>
      <c r="C4279" s="6"/>
      <c r="L4279" s="7"/>
      <c r="M4279" s="5"/>
      <c r="N4279" s="5"/>
      <c r="O4279" s="5"/>
    </row>
    <row r="4280">
      <c r="A4280" s="6"/>
      <c r="C4280" s="6"/>
      <c r="L4280" s="7"/>
      <c r="M4280" s="5"/>
      <c r="N4280" s="5"/>
      <c r="O4280" s="5"/>
    </row>
    <row r="4281">
      <c r="A4281" s="6"/>
      <c r="C4281" s="6"/>
      <c r="L4281" s="7"/>
      <c r="M4281" s="5"/>
      <c r="N4281" s="5"/>
      <c r="O4281" s="5"/>
    </row>
    <row r="4282">
      <c r="A4282" s="6"/>
      <c r="C4282" s="6"/>
      <c r="L4282" s="7"/>
      <c r="M4282" s="5"/>
      <c r="N4282" s="5"/>
      <c r="O4282" s="5"/>
    </row>
    <row r="4283">
      <c r="A4283" s="6"/>
      <c r="C4283" s="6"/>
      <c r="L4283" s="7"/>
      <c r="M4283" s="5"/>
      <c r="N4283" s="5"/>
      <c r="O4283" s="5"/>
    </row>
    <row r="4284">
      <c r="A4284" s="6"/>
      <c r="C4284" s="6"/>
      <c r="L4284" s="7"/>
      <c r="M4284" s="5"/>
      <c r="N4284" s="5"/>
      <c r="O4284" s="5"/>
    </row>
    <row r="4285">
      <c r="A4285" s="6"/>
      <c r="C4285" s="6"/>
      <c r="L4285" s="7"/>
      <c r="M4285" s="5"/>
      <c r="N4285" s="5"/>
      <c r="O4285" s="5"/>
    </row>
    <row r="4286">
      <c r="A4286" s="6"/>
      <c r="C4286" s="6"/>
      <c r="L4286" s="7"/>
      <c r="M4286" s="5"/>
      <c r="N4286" s="5"/>
      <c r="O4286" s="5"/>
    </row>
    <row r="4287">
      <c r="A4287" s="6"/>
      <c r="C4287" s="6"/>
      <c r="L4287" s="7"/>
      <c r="M4287" s="5"/>
      <c r="N4287" s="5"/>
      <c r="O4287" s="5"/>
    </row>
    <row r="4288">
      <c r="A4288" s="6"/>
      <c r="C4288" s="6"/>
      <c r="L4288" s="7"/>
      <c r="M4288" s="5"/>
      <c r="N4288" s="5"/>
      <c r="O4288" s="5"/>
    </row>
    <row r="4289">
      <c r="A4289" s="6"/>
      <c r="C4289" s="6"/>
      <c r="L4289" s="7"/>
      <c r="M4289" s="5"/>
      <c r="N4289" s="5"/>
      <c r="O4289" s="5"/>
    </row>
    <row r="4290">
      <c r="A4290" s="6"/>
      <c r="C4290" s="6"/>
      <c r="L4290" s="7"/>
      <c r="M4290" s="5"/>
      <c r="N4290" s="5"/>
      <c r="O4290" s="5"/>
    </row>
    <row r="4291">
      <c r="A4291" s="6"/>
      <c r="C4291" s="6"/>
      <c r="L4291" s="7"/>
      <c r="M4291" s="5"/>
      <c r="N4291" s="5"/>
      <c r="O4291" s="5"/>
    </row>
    <row r="4292">
      <c r="A4292" s="6"/>
      <c r="C4292" s="6"/>
      <c r="L4292" s="7"/>
      <c r="M4292" s="5"/>
      <c r="N4292" s="5"/>
      <c r="O4292" s="5"/>
    </row>
    <row r="4293">
      <c r="A4293" s="6"/>
      <c r="C4293" s="6"/>
      <c r="L4293" s="7"/>
      <c r="M4293" s="5"/>
      <c r="N4293" s="5"/>
      <c r="O4293" s="5"/>
    </row>
    <row r="4294">
      <c r="A4294" s="6"/>
      <c r="C4294" s="6"/>
      <c r="L4294" s="7"/>
      <c r="M4294" s="5"/>
      <c r="N4294" s="5"/>
      <c r="O4294" s="5"/>
    </row>
    <row r="4295">
      <c r="A4295" s="6"/>
      <c r="C4295" s="6"/>
      <c r="L4295" s="7"/>
      <c r="M4295" s="5"/>
      <c r="N4295" s="5"/>
      <c r="O4295" s="5"/>
    </row>
    <row r="4296">
      <c r="A4296" s="6"/>
      <c r="C4296" s="6"/>
      <c r="L4296" s="7"/>
      <c r="M4296" s="5"/>
      <c r="N4296" s="5"/>
      <c r="O4296" s="5"/>
    </row>
    <row r="4297">
      <c r="A4297" s="6"/>
      <c r="C4297" s="6"/>
      <c r="L4297" s="7"/>
      <c r="M4297" s="5"/>
      <c r="N4297" s="5"/>
      <c r="O4297" s="5"/>
    </row>
    <row r="4298">
      <c r="A4298" s="6"/>
      <c r="C4298" s="6"/>
      <c r="L4298" s="7"/>
      <c r="M4298" s="5"/>
      <c r="N4298" s="5"/>
      <c r="O4298" s="5"/>
    </row>
    <row r="4299">
      <c r="A4299" s="6"/>
      <c r="C4299" s="6"/>
      <c r="L4299" s="7"/>
      <c r="M4299" s="5"/>
      <c r="N4299" s="5"/>
      <c r="O4299" s="5"/>
    </row>
    <row r="4300">
      <c r="A4300" s="6"/>
      <c r="C4300" s="6"/>
      <c r="L4300" s="7"/>
      <c r="M4300" s="5"/>
      <c r="N4300" s="5"/>
      <c r="O4300" s="5"/>
    </row>
    <row r="4301">
      <c r="A4301" s="6"/>
      <c r="C4301" s="6"/>
      <c r="L4301" s="7"/>
      <c r="M4301" s="5"/>
      <c r="N4301" s="5"/>
      <c r="O4301" s="5"/>
    </row>
    <row r="4302">
      <c r="A4302" s="6"/>
      <c r="C4302" s="6"/>
      <c r="L4302" s="7"/>
      <c r="M4302" s="5"/>
      <c r="N4302" s="5"/>
      <c r="O4302" s="5"/>
    </row>
    <row r="4303">
      <c r="A4303" s="6"/>
      <c r="C4303" s="6"/>
      <c r="L4303" s="7"/>
      <c r="M4303" s="5"/>
      <c r="N4303" s="5"/>
      <c r="O4303" s="5"/>
    </row>
    <row r="4304">
      <c r="A4304" s="6"/>
      <c r="C4304" s="6"/>
      <c r="L4304" s="7"/>
      <c r="M4304" s="5"/>
      <c r="N4304" s="5"/>
      <c r="O4304" s="5"/>
    </row>
    <row r="4305">
      <c r="A4305" s="6"/>
      <c r="C4305" s="6"/>
      <c r="L4305" s="7"/>
      <c r="M4305" s="5"/>
      <c r="N4305" s="5"/>
      <c r="O4305" s="5"/>
    </row>
    <row r="4306">
      <c r="A4306" s="6"/>
      <c r="C4306" s="6"/>
      <c r="L4306" s="7"/>
      <c r="M4306" s="5"/>
      <c r="N4306" s="5"/>
      <c r="O4306" s="5"/>
    </row>
    <row r="4307">
      <c r="A4307" s="6"/>
      <c r="C4307" s="6"/>
      <c r="L4307" s="7"/>
      <c r="M4307" s="5"/>
      <c r="N4307" s="5"/>
      <c r="O4307" s="5"/>
    </row>
    <row r="4308">
      <c r="A4308" s="6"/>
      <c r="C4308" s="6"/>
      <c r="L4308" s="7"/>
      <c r="M4308" s="5"/>
      <c r="N4308" s="5"/>
      <c r="O4308" s="5"/>
    </row>
    <row r="4309">
      <c r="A4309" s="6"/>
      <c r="C4309" s="6"/>
      <c r="L4309" s="7"/>
      <c r="M4309" s="5"/>
      <c r="N4309" s="5"/>
      <c r="O4309" s="5"/>
    </row>
    <row r="4310">
      <c r="A4310" s="6"/>
      <c r="C4310" s="6"/>
      <c r="L4310" s="7"/>
      <c r="M4310" s="5"/>
      <c r="N4310" s="5"/>
      <c r="O4310" s="5"/>
    </row>
    <row r="4311">
      <c r="A4311" s="6"/>
      <c r="C4311" s="6"/>
      <c r="L4311" s="7"/>
      <c r="M4311" s="5"/>
      <c r="N4311" s="5"/>
      <c r="O4311" s="5"/>
    </row>
    <row r="4312">
      <c r="A4312" s="6"/>
      <c r="C4312" s="6"/>
      <c r="L4312" s="7"/>
      <c r="M4312" s="5"/>
      <c r="N4312" s="5"/>
      <c r="O4312" s="5"/>
    </row>
    <row r="4313">
      <c r="A4313" s="6"/>
      <c r="C4313" s="6"/>
      <c r="L4313" s="7"/>
      <c r="M4313" s="5"/>
      <c r="N4313" s="5"/>
      <c r="O4313" s="5"/>
    </row>
    <row r="4314">
      <c r="A4314" s="6"/>
      <c r="C4314" s="6"/>
      <c r="L4314" s="7"/>
      <c r="M4314" s="5"/>
      <c r="N4314" s="5"/>
      <c r="O4314" s="5"/>
    </row>
    <row r="4315">
      <c r="A4315" s="6"/>
      <c r="C4315" s="6"/>
      <c r="L4315" s="7"/>
      <c r="M4315" s="5"/>
      <c r="N4315" s="5"/>
      <c r="O4315" s="5"/>
    </row>
    <row r="4316">
      <c r="A4316" s="6"/>
      <c r="C4316" s="6"/>
      <c r="L4316" s="7"/>
      <c r="M4316" s="5"/>
      <c r="N4316" s="5"/>
      <c r="O4316" s="5"/>
    </row>
    <row r="4317">
      <c r="A4317" s="6"/>
      <c r="C4317" s="6"/>
      <c r="L4317" s="7"/>
      <c r="M4317" s="5"/>
      <c r="N4317" s="5"/>
      <c r="O4317" s="5"/>
    </row>
    <row r="4318">
      <c r="A4318" s="6"/>
      <c r="C4318" s="6"/>
      <c r="L4318" s="7"/>
      <c r="M4318" s="5"/>
      <c r="N4318" s="5"/>
      <c r="O4318" s="5"/>
    </row>
    <row r="4319">
      <c r="A4319" s="6"/>
      <c r="C4319" s="6"/>
      <c r="L4319" s="7"/>
      <c r="M4319" s="5"/>
      <c r="N4319" s="5"/>
      <c r="O4319" s="5"/>
    </row>
    <row r="4320">
      <c r="A4320" s="6"/>
      <c r="C4320" s="6"/>
      <c r="L4320" s="7"/>
      <c r="M4320" s="5"/>
      <c r="N4320" s="5"/>
      <c r="O4320" s="5"/>
    </row>
    <row r="4321">
      <c r="A4321" s="6"/>
      <c r="C4321" s="6"/>
      <c r="L4321" s="7"/>
      <c r="M4321" s="5"/>
      <c r="N4321" s="5"/>
      <c r="O4321" s="5"/>
    </row>
    <row r="4322">
      <c r="A4322" s="6"/>
      <c r="C4322" s="6"/>
      <c r="L4322" s="7"/>
      <c r="M4322" s="5"/>
      <c r="N4322" s="5"/>
      <c r="O4322" s="5"/>
    </row>
    <row r="4323">
      <c r="A4323" s="6"/>
      <c r="C4323" s="6"/>
      <c r="L4323" s="7"/>
      <c r="M4323" s="5"/>
      <c r="N4323" s="5"/>
      <c r="O4323" s="5"/>
    </row>
    <row r="4324">
      <c r="A4324" s="6"/>
      <c r="C4324" s="6"/>
      <c r="L4324" s="7"/>
      <c r="M4324" s="5"/>
      <c r="N4324" s="5"/>
      <c r="O4324" s="5"/>
    </row>
    <row r="4325">
      <c r="A4325" s="6"/>
      <c r="C4325" s="6"/>
      <c r="L4325" s="7"/>
      <c r="M4325" s="5"/>
      <c r="N4325" s="5"/>
      <c r="O4325" s="5"/>
    </row>
    <row r="4326">
      <c r="A4326" s="6"/>
      <c r="C4326" s="6"/>
      <c r="L4326" s="7"/>
      <c r="M4326" s="5"/>
      <c r="N4326" s="5"/>
      <c r="O4326" s="5"/>
    </row>
    <row r="4327">
      <c r="A4327" s="6"/>
      <c r="C4327" s="6"/>
      <c r="L4327" s="7"/>
      <c r="M4327" s="5"/>
      <c r="N4327" s="5"/>
      <c r="O4327" s="5"/>
    </row>
    <row r="4328">
      <c r="A4328" s="6"/>
      <c r="C4328" s="6"/>
      <c r="L4328" s="7"/>
      <c r="M4328" s="5"/>
      <c r="N4328" s="5"/>
      <c r="O4328" s="5"/>
    </row>
    <row r="4329">
      <c r="A4329" s="6"/>
      <c r="C4329" s="6"/>
      <c r="L4329" s="7"/>
      <c r="M4329" s="5"/>
      <c r="N4329" s="5"/>
      <c r="O4329" s="5"/>
    </row>
    <row r="4330">
      <c r="A4330" s="6"/>
      <c r="C4330" s="6"/>
      <c r="L4330" s="7"/>
      <c r="M4330" s="5"/>
      <c r="N4330" s="5"/>
      <c r="O4330" s="5"/>
    </row>
    <row r="4331">
      <c r="A4331" s="6"/>
      <c r="C4331" s="6"/>
      <c r="L4331" s="7"/>
      <c r="M4331" s="5"/>
      <c r="N4331" s="5"/>
      <c r="O4331" s="5"/>
    </row>
    <row r="4332">
      <c r="A4332" s="6"/>
      <c r="C4332" s="6"/>
      <c r="L4332" s="7"/>
      <c r="M4332" s="5"/>
      <c r="N4332" s="5"/>
      <c r="O4332" s="5"/>
    </row>
    <row r="4333">
      <c r="A4333" s="6"/>
      <c r="C4333" s="6"/>
      <c r="L4333" s="7"/>
      <c r="M4333" s="5"/>
      <c r="N4333" s="5"/>
      <c r="O4333" s="5"/>
    </row>
    <row r="4334">
      <c r="A4334" s="6"/>
      <c r="C4334" s="6"/>
      <c r="L4334" s="7"/>
      <c r="M4334" s="5"/>
      <c r="N4334" s="5"/>
      <c r="O4334" s="5"/>
    </row>
    <row r="4335">
      <c r="A4335" s="6"/>
      <c r="C4335" s="6"/>
      <c r="L4335" s="7"/>
      <c r="M4335" s="5"/>
      <c r="N4335" s="5"/>
      <c r="O4335" s="5"/>
    </row>
    <row r="4336">
      <c r="A4336" s="6"/>
      <c r="C4336" s="6"/>
      <c r="L4336" s="7"/>
      <c r="M4336" s="5"/>
      <c r="N4336" s="5"/>
      <c r="O4336" s="5"/>
    </row>
    <row r="4337">
      <c r="A4337" s="6"/>
      <c r="C4337" s="6"/>
      <c r="L4337" s="7"/>
      <c r="M4337" s="5"/>
      <c r="N4337" s="5"/>
      <c r="O4337" s="5"/>
    </row>
    <row r="4338">
      <c r="A4338" s="6"/>
      <c r="C4338" s="6"/>
      <c r="L4338" s="7"/>
      <c r="M4338" s="5"/>
      <c r="N4338" s="5"/>
      <c r="O4338" s="5"/>
    </row>
    <row r="4339">
      <c r="A4339" s="6"/>
      <c r="C4339" s="6"/>
      <c r="L4339" s="7"/>
      <c r="M4339" s="5"/>
      <c r="N4339" s="5"/>
      <c r="O4339" s="5"/>
    </row>
    <row r="4340">
      <c r="A4340" s="6"/>
      <c r="C4340" s="6"/>
      <c r="L4340" s="7"/>
      <c r="M4340" s="5"/>
      <c r="N4340" s="5"/>
      <c r="O4340" s="5"/>
    </row>
    <row r="4341">
      <c r="A4341" s="6"/>
      <c r="C4341" s="6"/>
      <c r="L4341" s="7"/>
      <c r="M4341" s="5"/>
      <c r="N4341" s="5"/>
      <c r="O4341" s="5"/>
    </row>
    <row r="4342">
      <c r="A4342" s="6"/>
      <c r="C4342" s="6"/>
      <c r="L4342" s="7"/>
      <c r="M4342" s="5"/>
      <c r="N4342" s="5"/>
      <c r="O4342" s="5"/>
    </row>
    <row r="4343">
      <c r="A4343" s="6"/>
      <c r="C4343" s="6"/>
      <c r="L4343" s="7"/>
      <c r="M4343" s="5"/>
      <c r="N4343" s="5"/>
      <c r="O4343" s="5"/>
    </row>
    <row r="4344">
      <c r="A4344" s="6"/>
      <c r="C4344" s="6"/>
      <c r="L4344" s="7"/>
      <c r="M4344" s="5"/>
      <c r="N4344" s="5"/>
      <c r="O4344" s="5"/>
    </row>
    <row r="4345">
      <c r="A4345" s="6"/>
      <c r="C4345" s="6"/>
      <c r="L4345" s="7"/>
      <c r="M4345" s="5"/>
      <c r="N4345" s="5"/>
      <c r="O4345" s="5"/>
    </row>
    <row r="4346">
      <c r="A4346" s="6"/>
      <c r="C4346" s="6"/>
      <c r="L4346" s="7"/>
      <c r="M4346" s="5"/>
      <c r="N4346" s="5"/>
      <c r="O4346" s="5"/>
    </row>
    <row r="4347">
      <c r="A4347" s="6"/>
      <c r="C4347" s="6"/>
      <c r="L4347" s="7"/>
      <c r="M4347" s="5"/>
      <c r="N4347" s="5"/>
      <c r="O4347" s="5"/>
    </row>
    <row r="4348">
      <c r="A4348" s="6"/>
      <c r="C4348" s="6"/>
      <c r="L4348" s="7"/>
      <c r="M4348" s="5"/>
      <c r="N4348" s="5"/>
      <c r="O4348" s="5"/>
    </row>
    <row r="4349">
      <c r="A4349" s="6"/>
      <c r="C4349" s="6"/>
      <c r="L4349" s="7"/>
      <c r="M4349" s="5"/>
      <c r="N4349" s="5"/>
      <c r="O4349" s="5"/>
    </row>
    <row r="4350">
      <c r="A4350" s="6"/>
      <c r="C4350" s="6"/>
      <c r="L4350" s="7"/>
      <c r="M4350" s="5"/>
      <c r="N4350" s="5"/>
      <c r="O4350" s="5"/>
    </row>
    <row r="4351">
      <c r="A4351" s="6"/>
      <c r="C4351" s="6"/>
      <c r="L4351" s="7"/>
      <c r="M4351" s="5"/>
      <c r="N4351" s="5"/>
      <c r="O4351" s="5"/>
    </row>
    <row r="4352">
      <c r="A4352" s="6"/>
      <c r="C4352" s="6"/>
      <c r="L4352" s="7"/>
      <c r="M4352" s="5"/>
      <c r="N4352" s="5"/>
      <c r="O4352" s="5"/>
    </row>
    <row r="4353">
      <c r="A4353" s="6"/>
      <c r="C4353" s="6"/>
      <c r="L4353" s="7"/>
      <c r="M4353" s="5"/>
      <c r="N4353" s="5"/>
      <c r="O4353" s="5"/>
    </row>
    <row r="4354">
      <c r="A4354" s="6"/>
      <c r="C4354" s="6"/>
      <c r="L4354" s="7"/>
      <c r="M4354" s="5"/>
      <c r="N4354" s="5"/>
      <c r="O4354" s="5"/>
    </row>
    <row r="4355">
      <c r="A4355" s="6"/>
      <c r="C4355" s="6"/>
      <c r="L4355" s="7"/>
      <c r="M4355" s="5"/>
      <c r="N4355" s="5"/>
      <c r="O4355" s="5"/>
    </row>
    <row r="4356">
      <c r="A4356" s="6"/>
      <c r="C4356" s="6"/>
      <c r="L4356" s="7"/>
      <c r="M4356" s="5"/>
      <c r="N4356" s="5"/>
      <c r="O4356" s="5"/>
    </row>
    <row r="4357">
      <c r="A4357" s="6"/>
      <c r="C4357" s="6"/>
      <c r="L4357" s="7"/>
      <c r="M4357" s="5"/>
      <c r="N4357" s="5"/>
      <c r="O4357" s="5"/>
    </row>
    <row r="4358">
      <c r="A4358" s="6"/>
      <c r="C4358" s="6"/>
      <c r="L4358" s="7"/>
      <c r="M4358" s="5"/>
      <c r="N4358" s="5"/>
      <c r="O4358" s="5"/>
    </row>
    <row r="4359">
      <c r="A4359" s="6"/>
      <c r="C4359" s="6"/>
      <c r="L4359" s="7"/>
      <c r="M4359" s="5"/>
      <c r="N4359" s="5"/>
      <c r="O4359" s="5"/>
    </row>
    <row r="4360">
      <c r="A4360" s="6"/>
      <c r="C4360" s="6"/>
      <c r="L4360" s="7"/>
      <c r="M4360" s="5"/>
      <c r="N4360" s="5"/>
      <c r="O4360" s="5"/>
    </row>
    <row r="4361">
      <c r="A4361" s="6"/>
      <c r="C4361" s="6"/>
      <c r="L4361" s="7"/>
      <c r="M4361" s="5"/>
      <c r="N4361" s="5"/>
      <c r="O4361" s="5"/>
    </row>
    <row r="4362">
      <c r="A4362" s="6"/>
      <c r="C4362" s="6"/>
      <c r="L4362" s="7"/>
      <c r="M4362" s="5"/>
      <c r="N4362" s="5"/>
      <c r="O4362" s="5"/>
    </row>
    <row r="4363">
      <c r="A4363" s="6"/>
      <c r="C4363" s="6"/>
      <c r="L4363" s="7"/>
      <c r="M4363" s="5"/>
      <c r="N4363" s="5"/>
      <c r="O4363" s="5"/>
    </row>
    <row r="4364">
      <c r="A4364" s="6"/>
      <c r="C4364" s="6"/>
      <c r="L4364" s="7"/>
      <c r="M4364" s="5"/>
      <c r="N4364" s="5"/>
      <c r="O4364" s="5"/>
    </row>
    <row r="4365">
      <c r="A4365" s="6"/>
      <c r="C4365" s="6"/>
      <c r="L4365" s="7"/>
      <c r="M4365" s="5"/>
      <c r="N4365" s="5"/>
      <c r="O4365" s="5"/>
    </row>
    <row r="4366">
      <c r="A4366" s="6"/>
      <c r="C4366" s="6"/>
      <c r="L4366" s="7"/>
      <c r="M4366" s="5"/>
      <c r="N4366" s="5"/>
      <c r="O4366" s="5"/>
    </row>
    <row r="4367">
      <c r="A4367" s="6"/>
      <c r="C4367" s="6"/>
      <c r="L4367" s="7"/>
      <c r="M4367" s="5"/>
      <c r="N4367" s="5"/>
      <c r="O4367" s="5"/>
    </row>
    <row r="4368">
      <c r="A4368" s="6"/>
      <c r="C4368" s="6"/>
      <c r="L4368" s="7"/>
      <c r="M4368" s="5"/>
      <c r="N4368" s="5"/>
      <c r="O4368" s="5"/>
    </row>
    <row r="4369">
      <c r="A4369" s="6"/>
      <c r="C4369" s="6"/>
      <c r="L4369" s="7"/>
      <c r="M4369" s="5"/>
      <c r="N4369" s="5"/>
      <c r="O4369" s="5"/>
    </row>
    <row r="4370">
      <c r="A4370" s="6"/>
      <c r="C4370" s="6"/>
      <c r="L4370" s="7"/>
      <c r="M4370" s="5"/>
      <c r="N4370" s="5"/>
      <c r="O4370" s="5"/>
    </row>
    <row r="4371">
      <c r="A4371" s="6"/>
      <c r="C4371" s="6"/>
      <c r="L4371" s="7"/>
      <c r="M4371" s="5"/>
      <c r="N4371" s="5"/>
      <c r="O4371" s="5"/>
    </row>
    <row r="4372">
      <c r="A4372" s="6"/>
      <c r="C4372" s="6"/>
      <c r="L4372" s="7"/>
      <c r="M4372" s="5"/>
      <c r="N4372" s="5"/>
      <c r="O4372" s="5"/>
    </row>
    <row r="4373">
      <c r="A4373" s="6"/>
      <c r="C4373" s="6"/>
      <c r="L4373" s="7"/>
      <c r="M4373" s="5"/>
      <c r="N4373" s="5"/>
      <c r="O4373" s="5"/>
    </row>
    <row r="4374">
      <c r="A4374" s="6"/>
      <c r="C4374" s="6"/>
      <c r="L4374" s="7"/>
      <c r="M4374" s="5"/>
      <c r="N4374" s="5"/>
      <c r="O4374" s="5"/>
    </row>
    <row r="4375">
      <c r="A4375" s="6"/>
      <c r="C4375" s="6"/>
      <c r="L4375" s="7"/>
      <c r="M4375" s="5"/>
      <c r="N4375" s="5"/>
      <c r="O4375" s="5"/>
    </row>
    <row r="4376">
      <c r="A4376" s="6"/>
      <c r="C4376" s="6"/>
      <c r="L4376" s="7"/>
      <c r="M4376" s="5"/>
      <c r="N4376" s="5"/>
      <c r="O4376" s="5"/>
    </row>
    <row r="4377">
      <c r="A4377" s="6"/>
      <c r="C4377" s="6"/>
      <c r="L4377" s="7"/>
      <c r="M4377" s="5"/>
      <c r="N4377" s="5"/>
      <c r="O4377" s="5"/>
    </row>
    <row r="4378">
      <c r="A4378" s="6"/>
      <c r="C4378" s="6"/>
      <c r="L4378" s="7"/>
      <c r="M4378" s="5"/>
      <c r="N4378" s="5"/>
      <c r="O4378" s="5"/>
    </row>
    <row r="4379">
      <c r="A4379" s="6"/>
      <c r="C4379" s="6"/>
      <c r="L4379" s="7"/>
      <c r="M4379" s="5"/>
      <c r="N4379" s="5"/>
      <c r="O4379" s="5"/>
    </row>
    <row r="4380">
      <c r="A4380" s="6"/>
      <c r="C4380" s="6"/>
      <c r="L4380" s="7"/>
      <c r="M4380" s="5"/>
      <c r="N4380" s="5"/>
      <c r="O4380" s="5"/>
    </row>
    <row r="4381">
      <c r="A4381" s="6"/>
      <c r="C4381" s="6"/>
      <c r="L4381" s="7"/>
      <c r="M4381" s="5"/>
      <c r="N4381" s="5"/>
      <c r="O4381" s="5"/>
    </row>
    <row r="4382">
      <c r="A4382" s="6"/>
      <c r="C4382" s="6"/>
      <c r="L4382" s="7"/>
      <c r="M4382" s="5"/>
      <c r="N4382" s="5"/>
      <c r="O4382" s="5"/>
    </row>
    <row r="4383">
      <c r="A4383" s="6"/>
      <c r="C4383" s="6"/>
      <c r="L4383" s="7"/>
      <c r="M4383" s="5"/>
      <c r="N4383" s="5"/>
      <c r="O4383" s="5"/>
    </row>
    <row r="4384">
      <c r="A4384" s="6"/>
      <c r="C4384" s="6"/>
      <c r="L4384" s="7"/>
      <c r="M4384" s="5"/>
      <c r="N4384" s="5"/>
      <c r="O4384" s="5"/>
    </row>
    <row r="4385">
      <c r="A4385" s="6"/>
      <c r="C4385" s="6"/>
      <c r="L4385" s="7"/>
      <c r="M4385" s="5"/>
      <c r="N4385" s="5"/>
      <c r="O4385" s="5"/>
    </row>
    <row r="4386">
      <c r="A4386" s="6"/>
      <c r="C4386" s="6"/>
      <c r="L4386" s="7"/>
      <c r="M4386" s="5"/>
      <c r="N4386" s="5"/>
      <c r="O4386" s="5"/>
    </row>
    <row r="4387">
      <c r="A4387" s="6"/>
      <c r="C4387" s="6"/>
      <c r="L4387" s="7"/>
      <c r="M4387" s="5"/>
      <c r="N4387" s="5"/>
      <c r="O4387" s="5"/>
    </row>
    <row r="4388">
      <c r="A4388" s="6"/>
      <c r="C4388" s="6"/>
      <c r="L4388" s="7"/>
      <c r="M4388" s="5"/>
      <c r="N4388" s="5"/>
      <c r="O4388" s="5"/>
    </row>
    <row r="4389">
      <c r="A4389" s="6"/>
      <c r="C4389" s="6"/>
      <c r="L4389" s="7"/>
      <c r="M4389" s="5"/>
      <c r="N4389" s="5"/>
      <c r="O4389" s="5"/>
    </row>
    <row r="4390">
      <c r="A4390" s="6"/>
      <c r="C4390" s="6"/>
      <c r="L4390" s="7"/>
      <c r="M4390" s="5"/>
      <c r="N4390" s="5"/>
      <c r="O4390" s="5"/>
    </row>
    <row r="4391">
      <c r="A4391" s="6"/>
      <c r="C4391" s="6"/>
      <c r="L4391" s="7"/>
      <c r="M4391" s="5"/>
      <c r="N4391" s="5"/>
      <c r="O4391" s="5"/>
    </row>
    <row r="4392">
      <c r="A4392" s="6"/>
      <c r="C4392" s="6"/>
      <c r="L4392" s="7"/>
      <c r="M4392" s="5"/>
      <c r="N4392" s="5"/>
      <c r="O4392" s="5"/>
    </row>
    <row r="4393">
      <c r="A4393" s="6"/>
      <c r="C4393" s="6"/>
      <c r="L4393" s="7"/>
      <c r="M4393" s="5"/>
      <c r="N4393" s="5"/>
      <c r="O4393" s="5"/>
    </row>
    <row r="4394">
      <c r="A4394" s="6"/>
      <c r="C4394" s="6"/>
      <c r="L4394" s="7"/>
      <c r="M4394" s="5"/>
      <c r="N4394" s="5"/>
      <c r="O4394" s="5"/>
    </row>
    <row r="4395">
      <c r="A4395" s="6"/>
      <c r="C4395" s="6"/>
      <c r="L4395" s="7"/>
      <c r="M4395" s="5"/>
      <c r="N4395" s="5"/>
      <c r="O4395" s="5"/>
    </row>
    <row r="4396">
      <c r="A4396" s="6"/>
      <c r="C4396" s="6"/>
      <c r="L4396" s="7"/>
      <c r="M4396" s="5"/>
      <c r="N4396" s="5"/>
      <c r="O4396" s="5"/>
    </row>
    <row r="4397">
      <c r="A4397" s="6"/>
      <c r="C4397" s="6"/>
      <c r="L4397" s="7"/>
      <c r="M4397" s="5"/>
      <c r="N4397" s="5"/>
      <c r="O4397" s="5"/>
    </row>
    <row r="4398">
      <c r="A4398" s="6"/>
      <c r="C4398" s="6"/>
      <c r="L4398" s="7"/>
      <c r="M4398" s="5"/>
      <c r="N4398" s="5"/>
      <c r="O4398" s="5"/>
    </row>
    <row r="4399">
      <c r="A4399" s="6"/>
      <c r="C4399" s="6"/>
      <c r="L4399" s="7"/>
      <c r="M4399" s="5"/>
      <c r="N4399" s="5"/>
      <c r="O4399" s="5"/>
    </row>
    <row r="4400">
      <c r="A4400" s="6"/>
      <c r="C4400" s="6"/>
      <c r="L4400" s="7"/>
      <c r="M4400" s="5"/>
      <c r="N4400" s="5"/>
      <c r="O4400" s="5"/>
    </row>
    <row r="4401">
      <c r="A4401" s="6"/>
      <c r="C4401" s="6"/>
      <c r="L4401" s="7"/>
      <c r="M4401" s="5"/>
      <c r="N4401" s="5"/>
      <c r="O4401" s="5"/>
    </row>
    <row r="4402">
      <c r="A4402" s="6"/>
      <c r="C4402" s="6"/>
      <c r="L4402" s="7"/>
      <c r="M4402" s="5"/>
      <c r="N4402" s="5"/>
      <c r="O4402" s="5"/>
    </row>
    <row r="4403">
      <c r="A4403" s="6"/>
      <c r="C4403" s="6"/>
      <c r="L4403" s="7"/>
      <c r="M4403" s="5"/>
      <c r="N4403" s="5"/>
      <c r="O4403" s="5"/>
    </row>
    <row r="4404">
      <c r="A4404" s="6"/>
      <c r="C4404" s="6"/>
      <c r="L4404" s="7"/>
      <c r="M4404" s="5"/>
      <c r="N4404" s="5"/>
      <c r="O4404" s="5"/>
    </row>
    <row r="4405">
      <c r="A4405" s="6"/>
      <c r="C4405" s="6"/>
      <c r="L4405" s="7"/>
      <c r="M4405" s="5"/>
      <c r="N4405" s="5"/>
      <c r="O4405" s="5"/>
    </row>
    <row r="4406">
      <c r="A4406" s="6"/>
      <c r="C4406" s="6"/>
      <c r="L4406" s="7"/>
      <c r="M4406" s="5"/>
      <c r="N4406" s="5"/>
      <c r="O4406" s="5"/>
    </row>
    <row r="4407">
      <c r="A4407" s="6"/>
      <c r="C4407" s="6"/>
      <c r="L4407" s="7"/>
      <c r="M4407" s="5"/>
      <c r="N4407" s="5"/>
      <c r="O4407" s="5"/>
    </row>
    <row r="4408">
      <c r="A4408" s="6"/>
      <c r="C4408" s="6"/>
      <c r="L4408" s="7"/>
      <c r="M4408" s="5"/>
      <c r="N4408" s="5"/>
      <c r="O4408" s="5"/>
    </row>
    <row r="4409">
      <c r="A4409" s="6"/>
      <c r="C4409" s="6"/>
      <c r="L4409" s="7"/>
      <c r="M4409" s="5"/>
      <c r="N4409" s="5"/>
      <c r="O4409" s="5"/>
    </row>
    <row r="4410">
      <c r="A4410" s="6"/>
      <c r="C4410" s="6"/>
      <c r="L4410" s="7"/>
      <c r="M4410" s="5"/>
      <c r="N4410" s="5"/>
      <c r="O4410" s="5"/>
    </row>
    <row r="4411">
      <c r="A4411" s="6"/>
      <c r="C4411" s="6"/>
      <c r="L4411" s="7"/>
      <c r="M4411" s="5"/>
      <c r="N4411" s="5"/>
      <c r="O4411" s="5"/>
    </row>
    <row r="4412">
      <c r="A4412" s="6"/>
      <c r="C4412" s="6"/>
      <c r="L4412" s="7"/>
      <c r="M4412" s="5"/>
      <c r="N4412" s="5"/>
      <c r="O4412" s="5"/>
    </row>
    <row r="4413">
      <c r="A4413" s="6"/>
      <c r="C4413" s="6"/>
      <c r="L4413" s="7"/>
      <c r="M4413" s="5"/>
      <c r="N4413" s="5"/>
      <c r="O4413" s="5"/>
    </row>
    <row r="4414">
      <c r="A4414" s="6"/>
      <c r="C4414" s="6"/>
      <c r="L4414" s="7"/>
      <c r="M4414" s="5"/>
      <c r="N4414" s="5"/>
      <c r="O4414" s="5"/>
    </row>
    <row r="4415">
      <c r="A4415" s="6"/>
      <c r="C4415" s="6"/>
      <c r="L4415" s="7"/>
      <c r="M4415" s="5"/>
      <c r="N4415" s="5"/>
      <c r="O4415" s="5"/>
    </row>
    <row r="4416">
      <c r="A4416" s="6"/>
      <c r="C4416" s="6"/>
      <c r="L4416" s="7"/>
      <c r="M4416" s="5"/>
      <c r="N4416" s="5"/>
      <c r="O4416" s="5"/>
    </row>
    <row r="4417">
      <c r="A4417" s="6"/>
      <c r="C4417" s="6"/>
      <c r="L4417" s="7"/>
      <c r="M4417" s="5"/>
      <c r="N4417" s="5"/>
      <c r="O4417" s="5"/>
    </row>
    <row r="4418">
      <c r="A4418" s="6"/>
      <c r="C4418" s="6"/>
      <c r="L4418" s="7"/>
      <c r="M4418" s="5"/>
      <c r="N4418" s="5"/>
      <c r="O4418" s="5"/>
    </row>
    <row r="4419">
      <c r="A4419" s="6"/>
      <c r="C4419" s="6"/>
      <c r="L4419" s="7"/>
      <c r="M4419" s="5"/>
      <c r="N4419" s="5"/>
      <c r="O4419" s="5"/>
    </row>
    <row r="4420">
      <c r="A4420" s="6"/>
      <c r="C4420" s="6"/>
      <c r="L4420" s="7"/>
      <c r="M4420" s="5"/>
      <c r="N4420" s="5"/>
      <c r="O4420" s="5"/>
    </row>
    <row r="4421">
      <c r="A4421" s="6"/>
      <c r="C4421" s="6"/>
      <c r="L4421" s="7"/>
      <c r="M4421" s="5"/>
      <c r="N4421" s="5"/>
      <c r="O4421" s="5"/>
    </row>
    <row r="4422">
      <c r="A4422" s="6"/>
      <c r="C4422" s="6"/>
      <c r="L4422" s="7"/>
      <c r="M4422" s="5"/>
      <c r="N4422" s="5"/>
      <c r="O4422" s="5"/>
    </row>
    <row r="4423">
      <c r="A4423" s="6"/>
      <c r="C4423" s="6"/>
      <c r="L4423" s="7"/>
      <c r="M4423" s="5"/>
      <c r="N4423" s="5"/>
      <c r="O4423" s="5"/>
    </row>
    <row r="4424">
      <c r="A4424" s="6"/>
      <c r="C4424" s="6"/>
      <c r="L4424" s="7"/>
      <c r="M4424" s="5"/>
      <c r="N4424" s="5"/>
      <c r="O4424" s="5"/>
    </row>
    <row r="4425">
      <c r="A4425" s="6"/>
      <c r="C4425" s="6"/>
      <c r="L4425" s="7"/>
      <c r="M4425" s="5"/>
      <c r="N4425" s="5"/>
      <c r="O4425" s="5"/>
    </row>
    <row r="4426">
      <c r="A4426" s="6"/>
      <c r="C4426" s="6"/>
      <c r="L4426" s="7"/>
      <c r="M4426" s="5"/>
      <c r="N4426" s="5"/>
      <c r="O4426" s="5"/>
    </row>
    <row r="4427">
      <c r="A4427" s="6"/>
      <c r="C4427" s="6"/>
      <c r="L4427" s="7"/>
      <c r="M4427" s="5"/>
      <c r="N4427" s="5"/>
      <c r="O4427" s="5"/>
    </row>
    <row r="4428">
      <c r="A4428" s="6"/>
      <c r="C4428" s="6"/>
      <c r="L4428" s="7"/>
      <c r="M4428" s="5"/>
      <c r="N4428" s="5"/>
      <c r="O4428" s="5"/>
    </row>
    <row r="4429">
      <c r="A4429" s="6"/>
      <c r="C4429" s="6"/>
      <c r="L4429" s="7"/>
      <c r="M4429" s="5"/>
      <c r="N4429" s="5"/>
      <c r="O4429" s="5"/>
    </row>
    <row r="4430">
      <c r="A4430" s="6"/>
      <c r="C4430" s="6"/>
      <c r="L4430" s="7"/>
      <c r="M4430" s="5"/>
      <c r="N4430" s="5"/>
      <c r="O4430" s="5"/>
    </row>
    <row r="4431">
      <c r="A4431" s="6"/>
      <c r="C4431" s="6"/>
      <c r="L4431" s="7"/>
      <c r="M4431" s="5"/>
      <c r="N4431" s="5"/>
      <c r="O4431" s="5"/>
    </row>
    <row r="4432">
      <c r="A4432" s="6"/>
      <c r="C4432" s="6"/>
      <c r="L4432" s="7"/>
      <c r="M4432" s="5"/>
      <c r="N4432" s="5"/>
      <c r="O4432" s="5"/>
    </row>
    <row r="4433">
      <c r="A4433" s="6"/>
      <c r="C4433" s="6"/>
      <c r="L4433" s="7"/>
      <c r="M4433" s="5"/>
      <c r="N4433" s="5"/>
      <c r="O4433" s="5"/>
    </row>
    <row r="4434">
      <c r="A4434" s="6"/>
      <c r="C4434" s="6"/>
      <c r="L4434" s="7"/>
      <c r="M4434" s="5"/>
      <c r="N4434" s="5"/>
      <c r="O4434" s="5"/>
    </row>
    <row r="4435">
      <c r="A4435" s="6"/>
      <c r="C4435" s="6"/>
      <c r="L4435" s="7"/>
      <c r="M4435" s="5"/>
      <c r="N4435" s="5"/>
      <c r="O4435" s="5"/>
    </row>
    <row r="4436">
      <c r="A4436" s="6"/>
      <c r="C4436" s="6"/>
      <c r="L4436" s="7"/>
      <c r="M4436" s="5"/>
      <c r="N4436" s="5"/>
      <c r="O4436" s="5"/>
    </row>
    <row r="4437">
      <c r="A4437" s="6"/>
      <c r="C4437" s="6"/>
      <c r="L4437" s="7"/>
      <c r="M4437" s="5"/>
      <c r="N4437" s="5"/>
      <c r="O4437" s="5"/>
    </row>
    <row r="4438">
      <c r="A4438" s="6"/>
      <c r="C4438" s="6"/>
      <c r="L4438" s="7"/>
      <c r="M4438" s="5"/>
      <c r="N4438" s="5"/>
      <c r="O4438" s="5"/>
    </row>
    <row r="4439">
      <c r="A4439" s="6"/>
      <c r="C4439" s="6"/>
      <c r="L4439" s="7"/>
      <c r="M4439" s="5"/>
      <c r="N4439" s="5"/>
      <c r="O4439" s="5"/>
    </row>
    <row r="4440">
      <c r="A4440" s="6"/>
      <c r="C4440" s="6"/>
      <c r="L4440" s="7"/>
      <c r="M4440" s="5"/>
      <c r="N4440" s="5"/>
      <c r="O4440" s="5"/>
    </row>
    <row r="4441">
      <c r="A4441" s="6"/>
      <c r="C4441" s="6"/>
      <c r="L4441" s="7"/>
      <c r="M4441" s="5"/>
      <c r="N4441" s="5"/>
      <c r="O4441" s="5"/>
    </row>
    <row r="4442">
      <c r="A4442" s="6"/>
      <c r="C4442" s="6"/>
      <c r="L4442" s="7"/>
      <c r="M4442" s="5"/>
      <c r="N4442" s="5"/>
      <c r="O4442" s="5"/>
    </row>
    <row r="4443">
      <c r="A4443" s="6"/>
      <c r="C4443" s="6"/>
      <c r="L4443" s="7"/>
      <c r="M4443" s="5"/>
      <c r="N4443" s="5"/>
      <c r="O4443" s="5"/>
    </row>
    <row r="4444">
      <c r="A4444" s="6"/>
      <c r="C4444" s="6"/>
      <c r="L4444" s="7"/>
      <c r="M4444" s="5"/>
      <c r="N4444" s="5"/>
      <c r="O4444" s="5"/>
    </row>
    <row r="4445">
      <c r="A4445" s="6"/>
      <c r="C4445" s="6"/>
      <c r="L4445" s="7"/>
      <c r="M4445" s="5"/>
      <c r="N4445" s="5"/>
      <c r="O4445" s="5"/>
    </row>
    <row r="4446">
      <c r="A4446" s="6"/>
      <c r="C4446" s="6"/>
      <c r="L4446" s="7"/>
      <c r="M4446" s="5"/>
      <c r="N4446" s="5"/>
      <c r="O4446" s="5"/>
    </row>
    <row r="4447">
      <c r="A4447" s="6"/>
      <c r="C4447" s="6"/>
      <c r="L4447" s="7"/>
      <c r="M4447" s="5"/>
      <c r="N4447" s="5"/>
      <c r="O4447" s="5"/>
    </row>
    <row r="4448">
      <c r="A4448" s="6"/>
      <c r="C4448" s="6"/>
      <c r="L4448" s="7"/>
      <c r="M4448" s="5"/>
      <c r="N4448" s="5"/>
      <c r="O4448" s="5"/>
    </row>
    <row r="4449">
      <c r="A4449" s="6"/>
      <c r="C4449" s="6"/>
      <c r="L4449" s="7"/>
      <c r="M4449" s="5"/>
      <c r="N4449" s="5"/>
      <c r="O4449" s="5"/>
    </row>
    <row r="4450">
      <c r="A4450" s="6"/>
      <c r="C4450" s="6"/>
      <c r="L4450" s="7"/>
      <c r="M4450" s="5"/>
      <c r="N4450" s="5"/>
      <c r="O4450" s="5"/>
    </row>
    <row r="4451">
      <c r="A4451" s="6"/>
      <c r="C4451" s="6"/>
      <c r="L4451" s="7"/>
      <c r="M4451" s="5"/>
      <c r="N4451" s="5"/>
      <c r="O4451" s="5"/>
    </row>
    <row r="4452">
      <c r="A4452" s="6"/>
      <c r="C4452" s="6"/>
      <c r="L4452" s="7"/>
      <c r="M4452" s="5"/>
      <c r="N4452" s="5"/>
      <c r="O4452" s="5"/>
    </row>
    <row r="4453">
      <c r="A4453" s="6"/>
      <c r="C4453" s="6"/>
      <c r="L4453" s="7"/>
      <c r="M4453" s="5"/>
      <c r="N4453" s="5"/>
      <c r="O4453" s="5"/>
    </row>
    <row r="4454">
      <c r="A4454" s="6"/>
      <c r="C4454" s="6"/>
      <c r="L4454" s="7"/>
      <c r="M4454" s="5"/>
      <c r="N4454" s="5"/>
      <c r="O4454" s="5"/>
    </row>
    <row r="4455">
      <c r="A4455" s="6"/>
      <c r="C4455" s="6"/>
      <c r="L4455" s="7"/>
      <c r="M4455" s="5"/>
      <c r="N4455" s="5"/>
      <c r="O4455" s="5"/>
    </row>
    <row r="4456">
      <c r="A4456" s="6"/>
      <c r="C4456" s="6"/>
      <c r="L4456" s="7"/>
      <c r="M4456" s="5"/>
      <c r="N4456" s="5"/>
      <c r="O4456" s="5"/>
    </row>
    <row r="4457">
      <c r="A4457" s="6"/>
      <c r="C4457" s="6"/>
      <c r="L4457" s="7"/>
      <c r="M4457" s="5"/>
      <c r="N4457" s="5"/>
      <c r="O4457" s="5"/>
    </row>
    <row r="4458">
      <c r="A4458" s="6"/>
      <c r="C4458" s="6"/>
      <c r="L4458" s="7"/>
      <c r="M4458" s="5"/>
      <c r="N4458" s="5"/>
      <c r="O4458" s="5"/>
    </row>
    <row r="4459">
      <c r="A4459" s="6"/>
      <c r="C4459" s="6"/>
      <c r="L4459" s="7"/>
      <c r="M4459" s="5"/>
      <c r="N4459" s="5"/>
      <c r="O4459" s="5"/>
    </row>
    <row r="4460">
      <c r="A4460" s="6"/>
      <c r="C4460" s="6"/>
      <c r="L4460" s="7"/>
      <c r="M4460" s="5"/>
      <c r="N4460" s="5"/>
      <c r="O4460" s="5"/>
    </row>
    <row r="4461">
      <c r="A4461" s="6"/>
      <c r="C4461" s="6"/>
      <c r="L4461" s="7"/>
      <c r="M4461" s="5"/>
      <c r="N4461" s="5"/>
      <c r="O4461" s="5"/>
    </row>
    <row r="4462">
      <c r="A4462" s="6"/>
      <c r="C4462" s="6"/>
      <c r="L4462" s="7"/>
      <c r="M4462" s="5"/>
      <c r="N4462" s="5"/>
      <c r="O4462" s="5"/>
    </row>
    <row r="4463">
      <c r="A4463" s="6"/>
      <c r="C4463" s="6"/>
      <c r="L4463" s="7"/>
      <c r="M4463" s="5"/>
      <c r="N4463" s="5"/>
      <c r="O4463" s="5"/>
    </row>
    <row r="4464">
      <c r="A4464" s="6"/>
      <c r="C4464" s="6"/>
      <c r="L4464" s="7"/>
      <c r="M4464" s="5"/>
      <c r="N4464" s="5"/>
      <c r="O4464" s="5"/>
    </row>
    <row r="4465">
      <c r="A4465" s="6"/>
      <c r="C4465" s="6"/>
      <c r="L4465" s="7"/>
      <c r="M4465" s="5"/>
      <c r="N4465" s="5"/>
      <c r="O4465" s="5"/>
    </row>
    <row r="4466">
      <c r="A4466" s="6"/>
      <c r="C4466" s="6"/>
      <c r="L4466" s="7"/>
      <c r="M4466" s="5"/>
      <c r="N4466" s="5"/>
      <c r="O4466" s="5"/>
    </row>
    <row r="4467">
      <c r="A4467" s="6"/>
      <c r="C4467" s="6"/>
      <c r="L4467" s="7"/>
      <c r="M4467" s="5"/>
      <c r="N4467" s="5"/>
      <c r="O4467" s="5"/>
    </row>
    <row r="4468">
      <c r="A4468" s="6"/>
      <c r="C4468" s="6"/>
      <c r="L4468" s="7"/>
      <c r="M4468" s="5"/>
      <c r="N4468" s="5"/>
      <c r="O4468" s="5"/>
    </row>
    <row r="4469">
      <c r="A4469" s="6"/>
      <c r="C4469" s="6"/>
      <c r="L4469" s="7"/>
      <c r="M4469" s="5"/>
      <c r="N4469" s="5"/>
      <c r="O4469" s="5"/>
    </row>
    <row r="4470">
      <c r="A4470" s="6"/>
      <c r="C4470" s="6"/>
      <c r="L4470" s="7"/>
      <c r="M4470" s="5"/>
      <c r="N4470" s="5"/>
      <c r="O4470" s="5"/>
    </row>
    <row r="4471">
      <c r="A4471" s="6"/>
      <c r="C4471" s="6"/>
      <c r="L4471" s="7"/>
      <c r="M4471" s="5"/>
      <c r="N4471" s="5"/>
      <c r="O4471" s="5"/>
    </row>
    <row r="4472">
      <c r="A4472" s="6"/>
      <c r="C4472" s="6"/>
      <c r="L4472" s="7"/>
      <c r="M4472" s="5"/>
      <c r="N4472" s="5"/>
      <c r="O4472" s="5"/>
    </row>
    <row r="4473">
      <c r="A4473" s="6"/>
      <c r="C4473" s="6"/>
      <c r="L4473" s="7"/>
      <c r="M4473" s="5"/>
      <c r="N4473" s="5"/>
      <c r="O4473" s="5"/>
    </row>
    <row r="4474">
      <c r="A4474" s="6"/>
      <c r="C4474" s="6"/>
      <c r="L4474" s="7"/>
      <c r="M4474" s="5"/>
      <c r="N4474" s="5"/>
      <c r="O4474" s="5"/>
    </row>
    <row r="4475">
      <c r="A4475" s="6"/>
      <c r="C4475" s="6"/>
      <c r="L4475" s="7"/>
      <c r="M4475" s="5"/>
      <c r="N4475" s="5"/>
      <c r="O4475" s="5"/>
    </row>
    <row r="4476">
      <c r="A4476" s="6"/>
      <c r="C4476" s="6"/>
      <c r="L4476" s="7"/>
      <c r="M4476" s="5"/>
      <c r="N4476" s="5"/>
      <c r="O4476" s="5"/>
    </row>
    <row r="4477">
      <c r="A4477" s="6"/>
      <c r="C4477" s="6"/>
      <c r="L4477" s="7"/>
      <c r="M4477" s="5"/>
      <c r="N4477" s="5"/>
      <c r="O4477" s="5"/>
    </row>
    <row r="4478">
      <c r="A4478" s="6"/>
      <c r="C4478" s="6"/>
      <c r="L4478" s="7"/>
      <c r="M4478" s="5"/>
      <c r="N4478" s="5"/>
      <c r="O4478" s="5"/>
    </row>
    <row r="4479">
      <c r="A4479" s="6"/>
      <c r="C4479" s="6"/>
      <c r="L4479" s="7"/>
      <c r="M4479" s="5"/>
      <c r="N4479" s="5"/>
      <c r="O4479" s="5"/>
    </row>
    <row r="4480">
      <c r="A4480" s="6"/>
      <c r="C4480" s="6"/>
      <c r="L4480" s="7"/>
      <c r="M4480" s="5"/>
      <c r="N4480" s="5"/>
      <c r="O4480" s="5"/>
    </row>
    <row r="4481">
      <c r="A4481" s="6"/>
      <c r="C4481" s="6"/>
      <c r="L4481" s="7"/>
      <c r="M4481" s="5"/>
      <c r="N4481" s="5"/>
      <c r="O4481" s="5"/>
    </row>
    <row r="4482">
      <c r="A4482" s="6"/>
      <c r="C4482" s="6"/>
      <c r="L4482" s="7"/>
      <c r="M4482" s="5"/>
      <c r="N4482" s="5"/>
      <c r="O4482" s="5"/>
    </row>
    <row r="4483">
      <c r="A4483" s="6"/>
      <c r="C4483" s="6"/>
      <c r="L4483" s="7"/>
      <c r="M4483" s="5"/>
      <c r="N4483" s="5"/>
      <c r="O4483" s="5"/>
    </row>
    <row r="4484">
      <c r="A4484" s="6"/>
      <c r="C4484" s="6"/>
      <c r="L4484" s="7"/>
      <c r="M4484" s="5"/>
      <c r="N4484" s="5"/>
      <c r="O4484" s="5"/>
    </row>
    <row r="4485">
      <c r="A4485" s="6"/>
      <c r="C4485" s="6"/>
      <c r="L4485" s="7"/>
      <c r="M4485" s="5"/>
      <c r="N4485" s="5"/>
      <c r="O4485" s="5"/>
    </row>
    <row r="4486">
      <c r="A4486" s="6"/>
      <c r="C4486" s="6"/>
      <c r="L4486" s="7"/>
      <c r="M4486" s="5"/>
      <c r="N4486" s="5"/>
      <c r="O4486" s="5"/>
    </row>
    <row r="4487">
      <c r="A4487" s="6"/>
      <c r="C4487" s="6"/>
      <c r="L4487" s="7"/>
      <c r="M4487" s="5"/>
      <c r="N4487" s="5"/>
      <c r="O4487" s="5"/>
    </row>
    <row r="4488">
      <c r="A4488" s="6"/>
      <c r="C4488" s="6"/>
      <c r="L4488" s="7"/>
      <c r="M4488" s="5"/>
      <c r="N4488" s="5"/>
      <c r="O4488" s="5"/>
    </row>
    <row r="4489">
      <c r="A4489" s="6"/>
      <c r="C4489" s="6"/>
      <c r="L4489" s="7"/>
      <c r="M4489" s="5"/>
      <c r="N4489" s="5"/>
      <c r="O4489" s="5"/>
    </row>
    <row r="4490">
      <c r="A4490" s="6"/>
      <c r="C4490" s="6"/>
      <c r="L4490" s="7"/>
      <c r="M4490" s="5"/>
      <c r="N4490" s="5"/>
      <c r="O4490" s="5"/>
    </row>
    <row r="4491">
      <c r="A4491" s="6"/>
      <c r="C4491" s="6"/>
      <c r="L4491" s="7"/>
      <c r="M4491" s="5"/>
      <c r="N4491" s="5"/>
      <c r="O4491" s="5"/>
    </row>
    <row r="4492">
      <c r="A4492" s="6"/>
      <c r="C4492" s="6"/>
      <c r="L4492" s="7"/>
      <c r="M4492" s="5"/>
      <c r="N4492" s="5"/>
      <c r="O4492" s="5"/>
    </row>
    <row r="4493">
      <c r="A4493" s="6"/>
      <c r="C4493" s="6"/>
      <c r="L4493" s="7"/>
      <c r="M4493" s="5"/>
      <c r="N4493" s="5"/>
      <c r="O4493" s="5"/>
    </row>
    <row r="4494">
      <c r="A4494" s="6"/>
      <c r="C4494" s="6"/>
      <c r="L4494" s="7"/>
      <c r="M4494" s="5"/>
      <c r="N4494" s="5"/>
      <c r="O4494" s="5"/>
    </row>
    <row r="4495">
      <c r="A4495" s="6"/>
      <c r="C4495" s="6"/>
      <c r="L4495" s="7"/>
      <c r="M4495" s="5"/>
      <c r="N4495" s="5"/>
      <c r="O4495" s="5"/>
    </row>
    <row r="4496">
      <c r="A4496" s="6"/>
      <c r="C4496" s="6"/>
      <c r="L4496" s="7"/>
      <c r="M4496" s="5"/>
      <c r="N4496" s="5"/>
      <c r="O4496" s="5"/>
    </row>
    <row r="4497">
      <c r="A4497" s="6"/>
      <c r="C4497" s="6"/>
      <c r="L4497" s="7"/>
      <c r="M4497" s="5"/>
      <c r="N4497" s="5"/>
      <c r="O4497" s="5"/>
    </row>
    <row r="4498">
      <c r="A4498" s="6"/>
      <c r="C4498" s="6"/>
      <c r="L4498" s="7"/>
      <c r="M4498" s="5"/>
      <c r="N4498" s="5"/>
      <c r="O4498" s="5"/>
    </row>
    <row r="4499">
      <c r="A4499" s="6"/>
      <c r="C4499" s="6"/>
      <c r="L4499" s="7"/>
      <c r="M4499" s="5"/>
      <c r="N4499" s="5"/>
      <c r="O4499" s="5"/>
    </row>
    <row r="4500">
      <c r="A4500" s="6"/>
      <c r="C4500" s="6"/>
      <c r="L4500" s="7"/>
      <c r="M4500" s="5"/>
      <c r="N4500" s="5"/>
      <c r="O4500" s="5"/>
    </row>
    <row r="4501">
      <c r="A4501" s="6"/>
      <c r="C4501" s="6"/>
      <c r="L4501" s="7"/>
      <c r="M4501" s="5"/>
      <c r="N4501" s="5"/>
      <c r="O4501" s="5"/>
    </row>
    <row r="4502">
      <c r="A4502" s="6"/>
      <c r="C4502" s="6"/>
      <c r="L4502" s="7"/>
      <c r="M4502" s="5"/>
      <c r="N4502" s="5"/>
      <c r="O4502" s="5"/>
    </row>
    <row r="4503">
      <c r="A4503" s="6"/>
      <c r="C4503" s="6"/>
      <c r="L4503" s="7"/>
      <c r="M4503" s="5"/>
      <c r="N4503" s="5"/>
      <c r="O4503" s="5"/>
    </row>
    <row r="4504">
      <c r="A4504" s="6"/>
      <c r="C4504" s="6"/>
      <c r="L4504" s="7"/>
      <c r="M4504" s="5"/>
      <c r="N4504" s="5"/>
      <c r="O4504" s="5"/>
    </row>
    <row r="4505">
      <c r="A4505" s="6"/>
      <c r="C4505" s="6"/>
      <c r="L4505" s="7"/>
      <c r="M4505" s="5"/>
      <c r="N4505" s="5"/>
      <c r="O4505" s="5"/>
    </row>
    <row r="4506">
      <c r="A4506" s="6"/>
      <c r="C4506" s="6"/>
      <c r="L4506" s="7"/>
      <c r="M4506" s="5"/>
      <c r="N4506" s="5"/>
      <c r="O4506" s="5"/>
    </row>
    <row r="4507">
      <c r="A4507" s="6"/>
      <c r="C4507" s="6"/>
      <c r="L4507" s="7"/>
      <c r="M4507" s="5"/>
      <c r="N4507" s="5"/>
      <c r="O4507" s="5"/>
    </row>
    <row r="4508">
      <c r="A4508" s="6"/>
      <c r="C4508" s="6"/>
      <c r="L4508" s="7"/>
      <c r="M4508" s="5"/>
      <c r="N4508" s="5"/>
      <c r="O4508" s="5"/>
    </row>
    <row r="4509">
      <c r="A4509" s="6"/>
      <c r="C4509" s="6"/>
      <c r="L4509" s="7"/>
      <c r="M4509" s="5"/>
      <c r="N4509" s="5"/>
      <c r="O4509" s="5"/>
    </row>
    <row r="4510">
      <c r="A4510" s="6"/>
      <c r="C4510" s="6"/>
      <c r="L4510" s="7"/>
      <c r="M4510" s="5"/>
      <c r="N4510" s="5"/>
      <c r="O4510" s="5"/>
    </row>
    <row r="4511">
      <c r="A4511" s="6"/>
      <c r="C4511" s="6"/>
      <c r="L4511" s="7"/>
      <c r="M4511" s="5"/>
      <c r="N4511" s="5"/>
      <c r="O4511" s="5"/>
    </row>
    <row r="4512">
      <c r="A4512" s="6"/>
      <c r="C4512" s="6"/>
      <c r="L4512" s="7"/>
      <c r="M4512" s="5"/>
      <c r="N4512" s="5"/>
      <c r="O4512" s="5"/>
    </row>
    <row r="4513">
      <c r="A4513" s="6"/>
      <c r="C4513" s="6"/>
      <c r="L4513" s="7"/>
      <c r="M4513" s="5"/>
      <c r="N4513" s="5"/>
      <c r="O4513" s="5"/>
    </row>
    <row r="4514">
      <c r="A4514" s="6"/>
      <c r="C4514" s="6"/>
      <c r="L4514" s="7"/>
      <c r="M4514" s="5"/>
      <c r="N4514" s="5"/>
      <c r="O4514" s="5"/>
    </row>
    <row r="4515">
      <c r="A4515" s="6"/>
      <c r="C4515" s="6"/>
      <c r="L4515" s="7"/>
      <c r="M4515" s="5"/>
      <c r="N4515" s="5"/>
      <c r="O4515" s="5"/>
    </row>
    <row r="4516">
      <c r="A4516" s="6"/>
      <c r="C4516" s="6"/>
      <c r="L4516" s="7"/>
      <c r="M4516" s="5"/>
      <c r="N4516" s="5"/>
      <c r="O4516" s="5"/>
    </row>
    <row r="4517">
      <c r="A4517" s="6"/>
      <c r="C4517" s="6"/>
      <c r="L4517" s="7"/>
      <c r="M4517" s="5"/>
      <c r="N4517" s="5"/>
      <c r="O4517" s="5"/>
    </row>
    <row r="4518">
      <c r="A4518" s="6"/>
      <c r="C4518" s="6"/>
      <c r="L4518" s="7"/>
      <c r="M4518" s="5"/>
      <c r="N4518" s="5"/>
      <c r="O4518" s="5"/>
    </row>
    <row r="4519">
      <c r="A4519" s="6"/>
      <c r="C4519" s="6"/>
      <c r="L4519" s="7"/>
      <c r="M4519" s="5"/>
      <c r="N4519" s="5"/>
      <c r="O4519" s="5"/>
    </row>
    <row r="4520">
      <c r="A4520" s="6"/>
      <c r="C4520" s="6"/>
      <c r="L4520" s="7"/>
      <c r="M4520" s="5"/>
      <c r="N4520" s="5"/>
      <c r="O4520" s="5"/>
    </row>
    <row r="4521">
      <c r="A4521" s="6"/>
      <c r="C4521" s="6"/>
      <c r="L4521" s="7"/>
      <c r="M4521" s="5"/>
      <c r="N4521" s="5"/>
      <c r="O4521" s="5"/>
    </row>
    <row r="4522">
      <c r="A4522" s="6"/>
      <c r="C4522" s="6"/>
      <c r="L4522" s="7"/>
      <c r="M4522" s="5"/>
      <c r="N4522" s="5"/>
      <c r="O4522" s="5"/>
    </row>
    <row r="4523">
      <c r="A4523" s="6"/>
      <c r="C4523" s="6"/>
      <c r="L4523" s="7"/>
      <c r="M4523" s="5"/>
      <c r="N4523" s="5"/>
      <c r="O4523" s="5"/>
    </row>
    <row r="4524">
      <c r="A4524" s="6"/>
      <c r="C4524" s="6"/>
      <c r="L4524" s="7"/>
      <c r="M4524" s="5"/>
      <c r="N4524" s="5"/>
      <c r="O4524" s="5"/>
    </row>
    <row r="4525">
      <c r="A4525" s="6"/>
      <c r="C4525" s="6"/>
      <c r="L4525" s="7"/>
      <c r="M4525" s="5"/>
      <c r="N4525" s="5"/>
      <c r="O4525" s="5"/>
    </row>
    <row r="4526">
      <c r="A4526" s="6"/>
      <c r="C4526" s="6"/>
      <c r="L4526" s="7"/>
      <c r="M4526" s="5"/>
      <c r="N4526" s="5"/>
      <c r="O4526" s="5"/>
    </row>
    <row r="4527">
      <c r="A4527" s="6"/>
      <c r="C4527" s="6"/>
      <c r="L4527" s="7"/>
      <c r="M4527" s="5"/>
      <c r="N4527" s="5"/>
      <c r="O4527" s="5"/>
    </row>
    <row r="4528">
      <c r="A4528" s="6"/>
      <c r="C4528" s="6"/>
      <c r="L4528" s="7"/>
      <c r="M4528" s="5"/>
      <c r="N4528" s="5"/>
      <c r="O4528" s="5"/>
    </row>
    <row r="4529">
      <c r="A4529" s="6"/>
      <c r="C4529" s="6"/>
      <c r="L4529" s="7"/>
      <c r="M4529" s="5"/>
      <c r="N4529" s="5"/>
      <c r="O4529" s="5"/>
    </row>
    <row r="4530">
      <c r="A4530" s="6"/>
      <c r="C4530" s="6"/>
      <c r="L4530" s="7"/>
      <c r="M4530" s="5"/>
      <c r="N4530" s="5"/>
      <c r="O4530" s="5"/>
    </row>
    <row r="4531">
      <c r="A4531" s="6"/>
      <c r="C4531" s="6"/>
      <c r="L4531" s="7"/>
      <c r="M4531" s="5"/>
      <c r="N4531" s="5"/>
      <c r="O4531" s="5"/>
    </row>
    <row r="4532">
      <c r="A4532" s="6"/>
      <c r="C4532" s="6"/>
      <c r="L4532" s="7"/>
      <c r="M4532" s="5"/>
      <c r="N4532" s="5"/>
      <c r="O4532" s="5"/>
    </row>
    <row r="4533">
      <c r="A4533" s="6"/>
      <c r="C4533" s="6"/>
      <c r="L4533" s="7"/>
      <c r="M4533" s="5"/>
      <c r="N4533" s="5"/>
      <c r="O4533" s="5"/>
    </row>
    <row r="4534">
      <c r="A4534" s="6"/>
      <c r="C4534" s="6"/>
      <c r="L4534" s="7"/>
      <c r="M4534" s="5"/>
      <c r="N4534" s="5"/>
      <c r="O4534" s="5"/>
    </row>
    <row r="4535">
      <c r="A4535" s="6"/>
      <c r="C4535" s="6"/>
      <c r="L4535" s="7"/>
      <c r="M4535" s="5"/>
      <c r="N4535" s="5"/>
      <c r="O4535" s="5"/>
    </row>
    <row r="4536">
      <c r="A4536" s="6"/>
      <c r="C4536" s="6"/>
      <c r="L4536" s="7"/>
      <c r="M4536" s="5"/>
      <c r="N4536" s="5"/>
      <c r="O4536" s="5"/>
    </row>
    <row r="4537">
      <c r="A4537" s="6"/>
      <c r="C4537" s="6"/>
      <c r="L4537" s="7"/>
      <c r="M4537" s="5"/>
      <c r="N4537" s="5"/>
      <c r="O4537" s="5"/>
    </row>
    <row r="4538">
      <c r="A4538" s="6"/>
      <c r="C4538" s="6"/>
      <c r="L4538" s="7"/>
      <c r="M4538" s="5"/>
      <c r="N4538" s="5"/>
      <c r="O4538" s="5"/>
    </row>
    <row r="4539">
      <c r="A4539" s="6"/>
      <c r="C4539" s="6"/>
      <c r="L4539" s="7"/>
      <c r="M4539" s="5"/>
      <c r="N4539" s="5"/>
      <c r="O4539" s="5"/>
    </row>
    <row r="4540">
      <c r="A4540" s="6"/>
      <c r="C4540" s="6"/>
      <c r="L4540" s="7"/>
      <c r="M4540" s="5"/>
      <c r="N4540" s="5"/>
      <c r="O4540" s="5"/>
    </row>
    <row r="4541">
      <c r="A4541" s="6"/>
      <c r="C4541" s="6"/>
      <c r="L4541" s="7"/>
      <c r="M4541" s="5"/>
      <c r="N4541" s="5"/>
      <c r="O4541" s="5"/>
    </row>
    <row r="4542">
      <c r="A4542" s="6"/>
      <c r="C4542" s="6"/>
      <c r="L4542" s="7"/>
      <c r="M4542" s="5"/>
      <c r="N4542" s="5"/>
      <c r="O4542" s="5"/>
    </row>
    <row r="4543">
      <c r="A4543" s="6"/>
      <c r="C4543" s="6"/>
      <c r="L4543" s="7"/>
      <c r="M4543" s="5"/>
      <c r="N4543" s="5"/>
      <c r="O4543" s="5"/>
    </row>
    <row r="4544">
      <c r="A4544" s="6"/>
      <c r="C4544" s="6"/>
      <c r="L4544" s="7"/>
      <c r="M4544" s="5"/>
      <c r="N4544" s="5"/>
      <c r="O4544" s="5"/>
    </row>
    <row r="4545">
      <c r="A4545" s="6"/>
      <c r="C4545" s="6"/>
      <c r="L4545" s="7"/>
      <c r="M4545" s="5"/>
      <c r="N4545" s="5"/>
      <c r="O4545" s="5"/>
    </row>
    <row r="4546">
      <c r="A4546" s="6"/>
      <c r="C4546" s="6"/>
      <c r="L4546" s="7"/>
      <c r="M4546" s="5"/>
      <c r="N4546" s="5"/>
      <c r="O4546" s="5"/>
    </row>
    <row r="4547">
      <c r="A4547" s="6"/>
      <c r="C4547" s="6"/>
      <c r="L4547" s="7"/>
      <c r="M4547" s="5"/>
      <c r="N4547" s="5"/>
      <c r="O4547" s="5"/>
    </row>
    <row r="4548">
      <c r="A4548" s="6"/>
      <c r="C4548" s="6"/>
      <c r="L4548" s="7"/>
      <c r="M4548" s="5"/>
      <c r="N4548" s="5"/>
      <c r="O4548" s="5"/>
    </row>
    <row r="4549">
      <c r="A4549" s="6"/>
      <c r="C4549" s="6"/>
      <c r="L4549" s="7"/>
      <c r="M4549" s="5"/>
      <c r="N4549" s="5"/>
      <c r="O4549" s="5"/>
    </row>
    <row r="4550">
      <c r="A4550" s="6"/>
      <c r="C4550" s="6"/>
      <c r="L4550" s="7"/>
      <c r="M4550" s="5"/>
      <c r="N4550" s="5"/>
      <c r="O4550" s="5"/>
    </row>
    <row r="4551">
      <c r="A4551" s="6"/>
      <c r="C4551" s="6"/>
      <c r="L4551" s="7"/>
      <c r="M4551" s="5"/>
      <c r="N4551" s="5"/>
      <c r="O4551" s="5"/>
    </row>
    <row r="4552">
      <c r="A4552" s="6"/>
      <c r="C4552" s="6"/>
      <c r="L4552" s="7"/>
      <c r="M4552" s="5"/>
      <c r="N4552" s="5"/>
      <c r="O4552" s="5"/>
    </row>
    <row r="4553">
      <c r="A4553" s="6"/>
      <c r="C4553" s="6"/>
      <c r="L4553" s="7"/>
      <c r="M4553" s="5"/>
      <c r="N4553" s="5"/>
      <c r="O4553" s="5"/>
    </row>
    <row r="4554">
      <c r="A4554" s="6"/>
      <c r="C4554" s="6"/>
      <c r="L4554" s="7"/>
      <c r="M4554" s="5"/>
      <c r="N4554" s="5"/>
      <c r="O4554" s="5"/>
    </row>
    <row r="4555">
      <c r="A4555" s="6"/>
      <c r="C4555" s="6"/>
      <c r="L4555" s="7"/>
      <c r="M4555" s="5"/>
      <c r="N4555" s="5"/>
      <c r="O4555" s="5"/>
    </row>
    <row r="4556">
      <c r="A4556" s="6"/>
      <c r="C4556" s="6"/>
      <c r="L4556" s="7"/>
      <c r="M4556" s="5"/>
      <c r="N4556" s="5"/>
      <c r="O4556" s="5"/>
    </row>
    <row r="4557">
      <c r="A4557" s="6"/>
      <c r="C4557" s="6"/>
      <c r="L4557" s="7"/>
      <c r="M4557" s="5"/>
      <c r="N4557" s="5"/>
      <c r="O4557" s="5"/>
    </row>
    <row r="4558">
      <c r="A4558" s="6"/>
      <c r="C4558" s="6"/>
      <c r="L4558" s="7"/>
      <c r="M4558" s="5"/>
      <c r="N4558" s="5"/>
      <c r="O4558" s="5"/>
    </row>
    <row r="4559">
      <c r="A4559" s="6"/>
      <c r="C4559" s="6"/>
      <c r="L4559" s="7"/>
      <c r="M4559" s="5"/>
      <c r="N4559" s="5"/>
      <c r="O4559" s="5"/>
    </row>
    <row r="4560">
      <c r="A4560" s="6"/>
      <c r="C4560" s="6"/>
      <c r="L4560" s="7"/>
      <c r="M4560" s="5"/>
      <c r="N4560" s="5"/>
      <c r="O4560" s="5"/>
    </row>
    <row r="4561">
      <c r="A4561" s="6"/>
      <c r="C4561" s="6"/>
      <c r="L4561" s="7"/>
      <c r="M4561" s="5"/>
      <c r="N4561" s="5"/>
      <c r="O4561" s="5"/>
    </row>
    <row r="4562">
      <c r="A4562" s="6"/>
      <c r="C4562" s="6"/>
      <c r="L4562" s="7"/>
      <c r="M4562" s="5"/>
      <c r="N4562" s="5"/>
      <c r="O4562" s="5"/>
    </row>
    <row r="4563">
      <c r="A4563" s="6"/>
      <c r="C4563" s="6"/>
      <c r="L4563" s="7"/>
      <c r="M4563" s="5"/>
      <c r="N4563" s="5"/>
      <c r="O4563" s="5"/>
    </row>
    <row r="4564">
      <c r="A4564" s="6"/>
      <c r="C4564" s="6"/>
      <c r="L4564" s="7"/>
      <c r="M4564" s="5"/>
      <c r="N4564" s="5"/>
      <c r="O4564" s="5"/>
    </row>
    <row r="4565">
      <c r="A4565" s="6"/>
      <c r="C4565" s="6"/>
      <c r="L4565" s="7"/>
      <c r="M4565" s="5"/>
      <c r="N4565" s="5"/>
      <c r="O4565" s="5"/>
    </row>
    <row r="4566">
      <c r="A4566" s="6"/>
      <c r="C4566" s="6"/>
      <c r="L4566" s="7"/>
      <c r="M4566" s="5"/>
      <c r="N4566" s="5"/>
      <c r="O4566" s="5"/>
    </row>
    <row r="4567">
      <c r="A4567" s="6"/>
      <c r="C4567" s="6"/>
      <c r="L4567" s="7"/>
      <c r="M4567" s="5"/>
      <c r="N4567" s="5"/>
      <c r="O4567" s="5"/>
    </row>
    <row r="4568">
      <c r="A4568" s="6"/>
      <c r="C4568" s="6"/>
      <c r="L4568" s="7"/>
      <c r="M4568" s="5"/>
      <c r="N4568" s="5"/>
      <c r="O4568" s="5"/>
    </row>
    <row r="4569">
      <c r="A4569" s="6"/>
      <c r="C4569" s="6"/>
      <c r="L4569" s="7"/>
      <c r="M4569" s="5"/>
      <c r="N4569" s="5"/>
      <c r="O4569" s="5"/>
    </row>
    <row r="4570">
      <c r="A4570" s="6"/>
      <c r="C4570" s="6"/>
      <c r="L4570" s="7"/>
      <c r="M4570" s="5"/>
      <c r="N4570" s="5"/>
      <c r="O4570" s="5"/>
    </row>
    <row r="4571">
      <c r="A4571" s="6"/>
      <c r="C4571" s="6"/>
      <c r="L4571" s="7"/>
      <c r="M4571" s="5"/>
      <c r="N4571" s="5"/>
      <c r="O4571" s="5"/>
    </row>
    <row r="4572">
      <c r="A4572" s="6"/>
      <c r="C4572" s="6"/>
      <c r="L4572" s="7"/>
      <c r="M4572" s="5"/>
      <c r="N4572" s="5"/>
      <c r="O4572" s="5"/>
    </row>
    <row r="4573">
      <c r="A4573" s="6"/>
      <c r="C4573" s="6"/>
      <c r="L4573" s="7"/>
      <c r="M4573" s="5"/>
      <c r="N4573" s="5"/>
      <c r="O4573" s="5"/>
    </row>
    <row r="4574">
      <c r="A4574" s="6"/>
      <c r="C4574" s="6"/>
      <c r="L4574" s="7"/>
      <c r="M4574" s="5"/>
      <c r="N4574" s="5"/>
      <c r="O4574" s="5"/>
    </row>
    <row r="4575">
      <c r="A4575" s="6"/>
      <c r="C4575" s="6"/>
      <c r="L4575" s="7"/>
      <c r="M4575" s="5"/>
      <c r="N4575" s="5"/>
      <c r="O4575" s="5"/>
    </row>
    <row r="4576">
      <c r="A4576" s="6"/>
      <c r="C4576" s="6"/>
      <c r="L4576" s="7"/>
      <c r="M4576" s="5"/>
      <c r="N4576" s="5"/>
      <c r="O4576" s="5"/>
    </row>
    <row r="4577">
      <c r="A4577" s="6"/>
      <c r="C4577" s="6"/>
      <c r="L4577" s="7"/>
      <c r="M4577" s="5"/>
      <c r="N4577" s="5"/>
      <c r="O4577" s="5"/>
    </row>
    <row r="4578">
      <c r="A4578" s="6"/>
      <c r="C4578" s="6"/>
      <c r="L4578" s="7"/>
      <c r="M4578" s="5"/>
      <c r="N4578" s="5"/>
      <c r="O4578" s="5"/>
    </row>
    <row r="4579">
      <c r="A4579" s="6"/>
      <c r="C4579" s="6"/>
      <c r="L4579" s="7"/>
      <c r="M4579" s="5"/>
      <c r="N4579" s="5"/>
      <c r="O4579" s="5"/>
    </row>
    <row r="4580">
      <c r="A4580" s="6"/>
      <c r="C4580" s="6"/>
      <c r="L4580" s="7"/>
      <c r="M4580" s="5"/>
      <c r="N4580" s="5"/>
      <c r="O4580" s="5"/>
    </row>
    <row r="4581">
      <c r="A4581" s="6"/>
      <c r="C4581" s="6"/>
      <c r="L4581" s="7"/>
      <c r="M4581" s="5"/>
      <c r="N4581" s="5"/>
      <c r="O4581" s="5"/>
    </row>
    <row r="4582">
      <c r="A4582" s="6"/>
      <c r="C4582" s="6"/>
      <c r="L4582" s="7"/>
      <c r="M4582" s="5"/>
      <c r="N4582" s="5"/>
      <c r="O4582" s="5"/>
    </row>
    <row r="4583">
      <c r="A4583" s="6"/>
      <c r="C4583" s="6"/>
      <c r="L4583" s="7"/>
      <c r="M4583" s="5"/>
      <c r="N4583" s="5"/>
      <c r="O4583" s="5"/>
    </row>
    <row r="4584">
      <c r="A4584" s="6"/>
      <c r="C4584" s="6"/>
      <c r="L4584" s="7"/>
      <c r="M4584" s="5"/>
      <c r="N4584" s="5"/>
      <c r="O4584" s="5"/>
    </row>
    <row r="4585">
      <c r="A4585" s="6"/>
      <c r="C4585" s="6"/>
      <c r="L4585" s="7"/>
      <c r="M4585" s="5"/>
      <c r="N4585" s="5"/>
      <c r="O4585" s="5"/>
    </row>
    <row r="4586">
      <c r="A4586" s="6"/>
      <c r="C4586" s="6"/>
      <c r="L4586" s="7"/>
      <c r="M4586" s="5"/>
      <c r="N4586" s="5"/>
      <c r="O4586" s="5"/>
    </row>
    <row r="4587">
      <c r="A4587" s="6"/>
      <c r="C4587" s="6"/>
      <c r="L4587" s="7"/>
      <c r="M4587" s="5"/>
      <c r="N4587" s="5"/>
      <c r="O4587" s="5"/>
    </row>
    <row r="4588">
      <c r="A4588" s="6"/>
      <c r="C4588" s="6"/>
      <c r="L4588" s="7"/>
      <c r="M4588" s="5"/>
      <c r="N4588" s="5"/>
      <c r="O4588" s="5"/>
    </row>
    <row r="4589">
      <c r="A4589" s="6"/>
      <c r="C4589" s="6"/>
      <c r="L4589" s="7"/>
      <c r="M4589" s="5"/>
      <c r="N4589" s="5"/>
      <c r="O4589" s="5"/>
    </row>
    <row r="4590">
      <c r="A4590" s="6"/>
      <c r="C4590" s="6"/>
      <c r="L4590" s="7"/>
      <c r="M4590" s="5"/>
      <c r="N4590" s="5"/>
      <c r="O4590" s="5"/>
    </row>
    <row r="4591">
      <c r="A4591" s="6"/>
      <c r="C4591" s="6"/>
      <c r="L4591" s="7"/>
      <c r="M4591" s="5"/>
      <c r="N4591" s="5"/>
      <c r="O4591" s="5"/>
    </row>
    <row r="4592">
      <c r="A4592" s="6"/>
      <c r="C4592" s="6"/>
      <c r="L4592" s="7"/>
      <c r="M4592" s="5"/>
      <c r="N4592" s="5"/>
      <c r="O4592" s="5"/>
    </row>
    <row r="4593">
      <c r="A4593" s="6"/>
      <c r="C4593" s="6"/>
      <c r="L4593" s="7"/>
      <c r="M4593" s="5"/>
      <c r="N4593" s="5"/>
      <c r="O4593" s="5"/>
    </row>
    <row r="4594">
      <c r="A4594" s="6"/>
      <c r="C4594" s="6"/>
      <c r="L4594" s="7"/>
      <c r="M4594" s="5"/>
      <c r="N4594" s="5"/>
      <c r="O4594" s="5"/>
    </row>
    <row r="4595">
      <c r="A4595" s="6"/>
      <c r="C4595" s="6"/>
      <c r="L4595" s="7"/>
      <c r="M4595" s="5"/>
      <c r="N4595" s="5"/>
      <c r="O4595" s="5"/>
    </row>
    <row r="4596">
      <c r="A4596" s="6"/>
      <c r="C4596" s="6"/>
      <c r="L4596" s="7"/>
      <c r="M4596" s="5"/>
      <c r="N4596" s="5"/>
      <c r="O4596" s="5"/>
    </row>
    <row r="4597">
      <c r="A4597" s="6"/>
      <c r="C4597" s="6"/>
      <c r="L4597" s="7"/>
      <c r="M4597" s="5"/>
      <c r="N4597" s="5"/>
      <c r="O4597" s="5"/>
    </row>
    <row r="4598">
      <c r="A4598" s="6"/>
      <c r="C4598" s="6"/>
      <c r="L4598" s="7"/>
      <c r="M4598" s="5"/>
      <c r="N4598" s="5"/>
      <c r="O4598" s="5"/>
    </row>
    <row r="4599">
      <c r="A4599" s="6"/>
      <c r="C4599" s="6"/>
      <c r="L4599" s="7"/>
      <c r="M4599" s="5"/>
      <c r="N4599" s="5"/>
      <c r="O4599" s="5"/>
    </row>
    <row r="4600">
      <c r="A4600" s="6"/>
      <c r="C4600" s="6"/>
      <c r="L4600" s="7"/>
      <c r="M4600" s="5"/>
      <c r="N4600" s="5"/>
      <c r="O4600" s="5"/>
    </row>
    <row r="4601">
      <c r="A4601" s="6"/>
      <c r="C4601" s="6"/>
      <c r="L4601" s="7"/>
      <c r="M4601" s="5"/>
      <c r="N4601" s="5"/>
      <c r="O4601" s="5"/>
    </row>
    <row r="4602">
      <c r="A4602" s="6"/>
      <c r="C4602" s="6"/>
      <c r="L4602" s="7"/>
      <c r="M4602" s="5"/>
      <c r="N4602" s="5"/>
      <c r="O4602" s="5"/>
    </row>
    <row r="4603">
      <c r="A4603" s="6"/>
      <c r="C4603" s="6"/>
      <c r="L4603" s="7"/>
      <c r="M4603" s="5"/>
      <c r="N4603" s="5"/>
      <c r="O4603" s="5"/>
    </row>
    <row r="4604">
      <c r="A4604" s="6"/>
      <c r="C4604" s="6"/>
      <c r="L4604" s="7"/>
      <c r="M4604" s="5"/>
      <c r="N4604" s="5"/>
      <c r="O4604" s="5"/>
    </row>
    <row r="4605">
      <c r="A4605" s="6"/>
      <c r="C4605" s="6"/>
      <c r="L4605" s="7"/>
      <c r="M4605" s="5"/>
      <c r="N4605" s="5"/>
      <c r="O4605" s="5"/>
    </row>
    <row r="4606">
      <c r="A4606" s="6"/>
      <c r="C4606" s="6"/>
      <c r="L4606" s="7"/>
      <c r="M4606" s="5"/>
      <c r="N4606" s="5"/>
      <c r="O4606" s="5"/>
    </row>
    <row r="4607">
      <c r="A4607" s="6"/>
      <c r="C4607" s="6"/>
      <c r="L4607" s="7"/>
      <c r="M4607" s="5"/>
      <c r="N4607" s="5"/>
      <c r="O4607" s="5"/>
    </row>
    <row r="4608">
      <c r="A4608" s="6"/>
      <c r="C4608" s="6"/>
      <c r="L4608" s="7"/>
      <c r="M4608" s="5"/>
      <c r="N4608" s="5"/>
      <c r="O4608" s="5"/>
    </row>
    <row r="4609">
      <c r="A4609" s="6"/>
      <c r="C4609" s="6"/>
      <c r="L4609" s="7"/>
      <c r="M4609" s="5"/>
      <c r="N4609" s="5"/>
      <c r="O4609" s="5"/>
    </row>
    <row r="4610">
      <c r="A4610" s="6"/>
      <c r="C4610" s="6"/>
      <c r="L4610" s="7"/>
      <c r="M4610" s="5"/>
      <c r="N4610" s="5"/>
      <c r="O4610" s="5"/>
    </row>
    <row r="4611">
      <c r="A4611" s="6"/>
      <c r="C4611" s="6"/>
      <c r="L4611" s="7"/>
      <c r="M4611" s="5"/>
      <c r="N4611" s="5"/>
      <c r="O4611" s="5"/>
    </row>
    <row r="4612">
      <c r="A4612" s="6"/>
      <c r="C4612" s="6"/>
      <c r="L4612" s="7"/>
      <c r="M4612" s="5"/>
      <c r="N4612" s="5"/>
      <c r="O4612" s="5"/>
    </row>
    <row r="4613">
      <c r="A4613" s="6"/>
      <c r="C4613" s="6"/>
      <c r="L4613" s="7"/>
      <c r="M4613" s="5"/>
      <c r="N4613" s="5"/>
      <c r="O4613" s="5"/>
    </row>
    <row r="4614">
      <c r="A4614" s="6"/>
      <c r="C4614" s="6"/>
      <c r="L4614" s="7"/>
      <c r="M4614" s="5"/>
      <c r="N4614" s="5"/>
      <c r="O4614" s="5"/>
    </row>
    <row r="4615">
      <c r="A4615" s="6"/>
      <c r="C4615" s="6"/>
      <c r="L4615" s="7"/>
      <c r="M4615" s="5"/>
      <c r="N4615" s="5"/>
      <c r="O4615" s="5"/>
    </row>
    <row r="4616">
      <c r="A4616" s="6"/>
      <c r="C4616" s="6"/>
      <c r="L4616" s="7"/>
      <c r="M4616" s="5"/>
      <c r="N4616" s="5"/>
      <c r="O4616" s="5"/>
    </row>
    <row r="4617">
      <c r="A4617" s="6"/>
      <c r="C4617" s="6"/>
      <c r="L4617" s="7"/>
      <c r="M4617" s="5"/>
      <c r="N4617" s="5"/>
      <c r="O4617" s="5"/>
    </row>
    <row r="4618">
      <c r="A4618" s="6"/>
      <c r="C4618" s="6"/>
      <c r="L4618" s="7"/>
      <c r="M4618" s="5"/>
      <c r="N4618" s="5"/>
      <c r="O4618" s="5"/>
    </row>
    <row r="4619">
      <c r="A4619" s="6"/>
      <c r="C4619" s="6"/>
      <c r="L4619" s="7"/>
      <c r="M4619" s="5"/>
      <c r="N4619" s="5"/>
      <c r="O4619" s="5"/>
    </row>
    <row r="4620">
      <c r="A4620" s="6"/>
      <c r="C4620" s="6"/>
      <c r="L4620" s="7"/>
      <c r="M4620" s="5"/>
      <c r="N4620" s="5"/>
      <c r="O4620" s="5"/>
    </row>
    <row r="4621">
      <c r="A4621" s="6"/>
      <c r="C4621" s="6"/>
      <c r="L4621" s="7"/>
      <c r="M4621" s="5"/>
      <c r="N4621" s="5"/>
      <c r="O4621" s="5"/>
    </row>
    <row r="4622">
      <c r="A4622" s="6"/>
      <c r="C4622" s="6"/>
      <c r="L4622" s="7"/>
      <c r="M4622" s="5"/>
      <c r="N4622" s="5"/>
      <c r="O4622" s="5"/>
    </row>
    <row r="4623">
      <c r="A4623" s="6"/>
      <c r="C4623" s="6"/>
      <c r="L4623" s="7"/>
      <c r="M4623" s="5"/>
      <c r="N4623" s="5"/>
      <c r="O4623" s="5"/>
    </row>
    <row r="4624">
      <c r="A4624" s="6"/>
      <c r="C4624" s="6"/>
      <c r="L4624" s="7"/>
      <c r="M4624" s="5"/>
      <c r="N4624" s="5"/>
      <c r="O4624" s="5"/>
    </row>
    <row r="4625">
      <c r="A4625" s="6"/>
      <c r="C4625" s="6"/>
      <c r="L4625" s="7"/>
      <c r="M4625" s="5"/>
      <c r="N4625" s="5"/>
      <c r="O4625" s="5"/>
    </row>
    <row r="4626">
      <c r="A4626" s="6"/>
      <c r="C4626" s="6"/>
      <c r="L4626" s="7"/>
      <c r="M4626" s="5"/>
      <c r="N4626" s="5"/>
      <c r="O4626" s="5"/>
    </row>
    <row r="4627">
      <c r="A4627" s="6"/>
      <c r="C4627" s="6"/>
      <c r="L4627" s="7"/>
      <c r="M4627" s="5"/>
      <c r="N4627" s="5"/>
      <c r="O4627" s="5"/>
    </row>
    <row r="4628">
      <c r="A4628" s="6"/>
      <c r="C4628" s="6"/>
      <c r="L4628" s="7"/>
      <c r="M4628" s="5"/>
      <c r="N4628" s="5"/>
      <c r="O4628" s="5"/>
    </row>
    <row r="4629">
      <c r="A4629" s="6"/>
      <c r="C4629" s="6"/>
      <c r="L4629" s="7"/>
      <c r="M4629" s="5"/>
      <c r="N4629" s="5"/>
      <c r="O4629" s="5"/>
    </row>
    <row r="4630">
      <c r="A4630" s="6"/>
      <c r="C4630" s="6"/>
      <c r="L4630" s="7"/>
      <c r="M4630" s="5"/>
      <c r="N4630" s="5"/>
      <c r="O4630" s="5"/>
    </row>
    <row r="4631">
      <c r="A4631" s="6"/>
      <c r="C4631" s="6"/>
      <c r="L4631" s="7"/>
      <c r="M4631" s="5"/>
      <c r="N4631" s="5"/>
      <c r="O4631" s="5"/>
    </row>
    <row r="4632">
      <c r="A4632" s="6"/>
      <c r="C4632" s="6"/>
      <c r="L4632" s="7"/>
      <c r="M4632" s="5"/>
      <c r="N4632" s="5"/>
      <c r="O4632" s="5"/>
    </row>
    <row r="4633">
      <c r="A4633" s="6"/>
      <c r="C4633" s="6"/>
      <c r="L4633" s="7"/>
      <c r="M4633" s="5"/>
      <c r="N4633" s="5"/>
      <c r="O4633" s="5"/>
    </row>
    <row r="4634">
      <c r="A4634" s="6"/>
      <c r="C4634" s="6"/>
      <c r="L4634" s="7"/>
      <c r="M4634" s="5"/>
      <c r="N4634" s="5"/>
      <c r="O4634" s="5"/>
    </row>
    <row r="4635">
      <c r="A4635" s="6"/>
      <c r="C4635" s="6"/>
      <c r="L4635" s="7"/>
      <c r="M4635" s="5"/>
      <c r="N4635" s="5"/>
      <c r="O4635" s="5"/>
    </row>
    <row r="4636">
      <c r="A4636" s="6"/>
      <c r="C4636" s="6"/>
      <c r="L4636" s="7"/>
      <c r="M4636" s="5"/>
      <c r="N4636" s="5"/>
      <c r="O4636" s="5"/>
    </row>
    <row r="4637">
      <c r="A4637" s="6"/>
      <c r="C4637" s="6"/>
      <c r="L4637" s="7"/>
      <c r="M4637" s="5"/>
      <c r="N4637" s="5"/>
      <c r="O4637" s="5"/>
    </row>
    <row r="4638">
      <c r="A4638" s="6"/>
      <c r="C4638" s="6"/>
      <c r="L4638" s="7"/>
      <c r="M4638" s="5"/>
      <c r="N4638" s="5"/>
      <c r="O4638" s="5"/>
    </row>
    <row r="4639">
      <c r="A4639" s="6"/>
      <c r="C4639" s="6"/>
      <c r="L4639" s="7"/>
      <c r="M4639" s="5"/>
      <c r="N4639" s="5"/>
      <c r="O4639" s="5"/>
    </row>
    <row r="4640">
      <c r="A4640" s="6"/>
      <c r="C4640" s="6"/>
      <c r="L4640" s="7"/>
      <c r="M4640" s="5"/>
      <c r="N4640" s="5"/>
      <c r="O4640" s="5"/>
    </row>
    <row r="4641">
      <c r="A4641" s="6"/>
      <c r="C4641" s="6"/>
      <c r="L4641" s="7"/>
      <c r="M4641" s="5"/>
      <c r="N4641" s="5"/>
      <c r="O4641" s="5"/>
    </row>
    <row r="4642">
      <c r="A4642" s="6"/>
      <c r="C4642" s="6"/>
      <c r="L4642" s="7"/>
      <c r="M4642" s="5"/>
      <c r="N4642" s="5"/>
      <c r="O4642" s="5"/>
    </row>
    <row r="4643">
      <c r="A4643" s="6"/>
      <c r="C4643" s="6"/>
      <c r="L4643" s="7"/>
      <c r="M4643" s="5"/>
      <c r="N4643" s="5"/>
      <c r="O4643" s="5"/>
    </row>
    <row r="4644">
      <c r="A4644" s="6"/>
      <c r="C4644" s="6"/>
      <c r="L4644" s="7"/>
      <c r="M4644" s="5"/>
      <c r="N4644" s="5"/>
      <c r="O4644" s="5"/>
    </row>
    <row r="4645">
      <c r="A4645" s="6"/>
      <c r="C4645" s="6"/>
      <c r="L4645" s="7"/>
      <c r="M4645" s="5"/>
      <c r="N4645" s="5"/>
      <c r="O4645" s="5"/>
    </row>
    <row r="4646">
      <c r="A4646" s="6"/>
      <c r="C4646" s="6"/>
      <c r="L4646" s="7"/>
      <c r="M4646" s="5"/>
      <c r="N4646" s="5"/>
      <c r="O4646" s="5"/>
    </row>
    <row r="4647">
      <c r="A4647" s="6"/>
      <c r="C4647" s="6"/>
      <c r="L4647" s="7"/>
      <c r="M4647" s="5"/>
      <c r="N4647" s="5"/>
      <c r="O4647" s="5"/>
    </row>
    <row r="4648">
      <c r="A4648" s="6"/>
      <c r="C4648" s="6"/>
      <c r="L4648" s="7"/>
      <c r="M4648" s="5"/>
      <c r="N4648" s="5"/>
      <c r="O4648" s="5"/>
    </row>
    <row r="4649">
      <c r="A4649" s="6"/>
      <c r="C4649" s="6"/>
      <c r="L4649" s="7"/>
      <c r="M4649" s="5"/>
      <c r="N4649" s="5"/>
      <c r="O4649" s="5"/>
    </row>
    <row r="4650">
      <c r="A4650" s="6"/>
      <c r="C4650" s="6"/>
      <c r="L4650" s="7"/>
      <c r="M4650" s="5"/>
      <c r="N4650" s="5"/>
      <c r="O4650" s="5"/>
    </row>
    <row r="4651">
      <c r="A4651" s="6"/>
      <c r="C4651" s="6"/>
      <c r="L4651" s="7"/>
      <c r="M4651" s="5"/>
      <c r="N4651" s="5"/>
      <c r="O4651" s="5"/>
    </row>
    <row r="4652">
      <c r="A4652" s="6"/>
      <c r="C4652" s="6"/>
      <c r="L4652" s="7"/>
      <c r="M4652" s="5"/>
      <c r="N4652" s="5"/>
      <c r="O4652" s="5"/>
    </row>
    <row r="4653">
      <c r="A4653" s="6"/>
      <c r="C4653" s="6"/>
      <c r="L4653" s="7"/>
      <c r="M4653" s="5"/>
      <c r="N4653" s="5"/>
      <c r="O4653" s="5"/>
    </row>
    <row r="4654">
      <c r="A4654" s="6"/>
      <c r="C4654" s="6"/>
      <c r="L4654" s="7"/>
      <c r="M4654" s="5"/>
      <c r="N4654" s="5"/>
      <c r="O4654" s="5"/>
    </row>
    <row r="4655">
      <c r="A4655" s="6"/>
      <c r="C4655" s="6"/>
      <c r="L4655" s="7"/>
      <c r="M4655" s="5"/>
      <c r="N4655" s="5"/>
      <c r="O4655" s="5"/>
    </row>
    <row r="4656">
      <c r="A4656" s="6"/>
      <c r="C4656" s="6"/>
      <c r="L4656" s="7"/>
      <c r="M4656" s="5"/>
      <c r="N4656" s="5"/>
      <c r="O4656" s="5"/>
    </row>
    <row r="4657">
      <c r="A4657" s="6"/>
      <c r="C4657" s="6"/>
      <c r="L4657" s="7"/>
      <c r="M4657" s="5"/>
      <c r="N4657" s="5"/>
      <c r="O4657" s="5"/>
    </row>
    <row r="4658">
      <c r="A4658" s="6"/>
      <c r="C4658" s="6"/>
      <c r="L4658" s="7"/>
      <c r="M4658" s="5"/>
      <c r="N4658" s="5"/>
      <c r="O4658" s="5"/>
    </row>
    <row r="4659">
      <c r="A4659" s="6"/>
      <c r="C4659" s="6"/>
      <c r="L4659" s="7"/>
      <c r="M4659" s="5"/>
      <c r="N4659" s="5"/>
      <c r="O4659" s="5"/>
    </row>
    <row r="4660">
      <c r="A4660" s="6"/>
      <c r="C4660" s="6"/>
      <c r="L4660" s="7"/>
      <c r="M4660" s="5"/>
      <c r="N4660" s="5"/>
      <c r="O4660" s="5"/>
    </row>
    <row r="4661">
      <c r="A4661" s="6"/>
      <c r="C4661" s="6"/>
      <c r="L4661" s="7"/>
      <c r="M4661" s="5"/>
      <c r="N4661" s="5"/>
      <c r="O4661" s="5"/>
    </row>
    <row r="4662">
      <c r="A4662" s="6"/>
      <c r="C4662" s="6"/>
      <c r="L4662" s="7"/>
      <c r="M4662" s="5"/>
      <c r="N4662" s="5"/>
      <c r="O4662" s="5"/>
    </row>
    <row r="4663">
      <c r="A4663" s="6"/>
      <c r="C4663" s="6"/>
      <c r="L4663" s="7"/>
      <c r="M4663" s="5"/>
      <c r="N4663" s="5"/>
      <c r="O4663" s="5"/>
    </row>
    <row r="4664">
      <c r="A4664" s="6"/>
      <c r="C4664" s="6"/>
      <c r="L4664" s="7"/>
      <c r="M4664" s="5"/>
      <c r="N4664" s="5"/>
      <c r="O4664" s="5"/>
    </row>
    <row r="4665">
      <c r="A4665" s="6"/>
      <c r="C4665" s="6"/>
      <c r="L4665" s="7"/>
      <c r="M4665" s="5"/>
      <c r="N4665" s="5"/>
      <c r="O4665" s="5"/>
    </row>
    <row r="4666">
      <c r="A4666" s="6"/>
      <c r="C4666" s="6"/>
      <c r="L4666" s="7"/>
      <c r="M4666" s="5"/>
      <c r="N4666" s="5"/>
      <c r="O4666" s="5"/>
    </row>
    <row r="4667">
      <c r="A4667" s="6"/>
      <c r="C4667" s="6"/>
      <c r="L4667" s="7"/>
      <c r="M4667" s="5"/>
      <c r="N4667" s="5"/>
      <c r="O4667" s="5"/>
    </row>
    <row r="4668">
      <c r="A4668" s="6"/>
      <c r="C4668" s="6"/>
      <c r="L4668" s="7"/>
      <c r="M4668" s="5"/>
      <c r="N4668" s="5"/>
      <c r="O4668" s="5"/>
    </row>
    <row r="4669">
      <c r="A4669" s="6"/>
      <c r="C4669" s="6"/>
      <c r="L4669" s="7"/>
      <c r="M4669" s="5"/>
      <c r="N4669" s="5"/>
      <c r="O4669" s="5"/>
    </row>
    <row r="4670">
      <c r="A4670" s="6"/>
      <c r="C4670" s="6"/>
      <c r="L4670" s="7"/>
      <c r="M4670" s="5"/>
      <c r="N4670" s="5"/>
      <c r="O4670" s="5"/>
    </row>
    <row r="4671">
      <c r="A4671" s="6"/>
      <c r="C4671" s="6"/>
      <c r="L4671" s="7"/>
      <c r="M4671" s="5"/>
      <c r="N4671" s="5"/>
      <c r="O4671" s="5"/>
    </row>
    <row r="4672">
      <c r="A4672" s="6"/>
      <c r="C4672" s="6"/>
      <c r="L4672" s="7"/>
      <c r="M4672" s="5"/>
      <c r="N4672" s="5"/>
      <c r="O4672" s="5"/>
    </row>
    <row r="4673">
      <c r="A4673" s="6"/>
      <c r="C4673" s="6"/>
      <c r="L4673" s="7"/>
      <c r="M4673" s="5"/>
      <c r="N4673" s="5"/>
      <c r="O4673" s="5"/>
    </row>
    <row r="4674">
      <c r="A4674" s="6"/>
      <c r="C4674" s="6"/>
      <c r="L4674" s="7"/>
      <c r="M4674" s="5"/>
      <c r="N4674" s="5"/>
      <c r="O4674" s="5"/>
    </row>
    <row r="4675">
      <c r="A4675" s="6"/>
      <c r="C4675" s="6"/>
      <c r="L4675" s="7"/>
      <c r="M4675" s="5"/>
      <c r="N4675" s="5"/>
      <c r="O4675" s="5"/>
    </row>
    <row r="4676">
      <c r="A4676" s="6"/>
      <c r="C4676" s="6"/>
      <c r="L4676" s="7"/>
      <c r="M4676" s="5"/>
      <c r="N4676" s="5"/>
      <c r="O4676" s="5"/>
    </row>
    <row r="4677">
      <c r="A4677" s="6"/>
      <c r="C4677" s="6"/>
      <c r="L4677" s="7"/>
      <c r="M4677" s="5"/>
      <c r="N4677" s="5"/>
      <c r="O4677" s="5"/>
    </row>
    <row r="4678">
      <c r="A4678" s="6"/>
      <c r="C4678" s="6"/>
      <c r="L4678" s="7"/>
      <c r="M4678" s="5"/>
      <c r="N4678" s="5"/>
      <c r="O4678" s="5"/>
    </row>
    <row r="4679">
      <c r="A4679" s="6"/>
      <c r="C4679" s="6"/>
      <c r="L4679" s="7"/>
      <c r="M4679" s="5"/>
      <c r="N4679" s="5"/>
      <c r="O4679" s="5"/>
    </row>
    <row r="4680">
      <c r="A4680" s="6"/>
      <c r="C4680" s="6"/>
      <c r="L4680" s="7"/>
      <c r="M4680" s="5"/>
      <c r="N4680" s="5"/>
      <c r="O4680" s="5"/>
    </row>
    <row r="4681">
      <c r="A4681" s="6"/>
      <c r="C4681" s="6"/>
      <c r="L4681" s="7"/>
      <c r="M4681" s="5"/>
      <c r="N4681" s="5"/>
      <c r="O4681" s="5"/>
    </row>
    <row r="4682">
      <c r="A4682" s="6"/>
      <c r="C4682" s="6"/>
      <c r="L4682" s="7"/>
      <c r="M4682" s="5"/>
      <c r="N4682" s="5"/>
      <c r="O4682" s="5"/>
    </row>
    <row r="4683">
      <c r="A4683" s="6"/>
      <c r="C4683" s="6"/>
      <c r="L4683" s="7"/>
      <c r="M4683" s="5"/>
      <c r="N4683" s="5"/>
      <c r="O4683" s="5"/>
    </row>
    <row r="4684">
      <c r="A4684" s="6"/>
      <c r="C4684" s="6"/>
      <c r="L4684" s="7"/>
      <c r="M4684" s="5"/>
      <c r="N4684" s="5"/>
      <c r="O4684" s="5"/>
    </row>
    <row r="4685">
      <c r="A4685" s="6"/>
      <c r="C4685" s="6"/>
      <c r="L4685" s="7"/>
      <c r="M4685" s="5"/>
      <c r="N4685" s="5"/>
      <c r="O4685" s="5"/>
    </row>
    <row r="4686">
      <c r="A4686" s="6"/>
      <c r="C4686" s="6"/>
      <c r="L4686" s="7"/>
      <c r="M4686" s="5"/>
      <c r="N4686" s="5"/>
      <c r="O4686" s="5"/>
    </row>
    <row r="4687">
      <c r="A4687" s="6"/>
      <c r="C4687" s="6"/>
      <c r="L4687" s="7"/>
      <c r="M4687" s="5"/>
      <c r="N4687" s="5"/>
      <c r="O4687" s="5"/>
    </row>
    <row r="4688">
      <c r="A4688" s="6"/>
      <c r="C4688" s="6"/>
      <c r="L4688" s="7"/>
      <c r="M4688" s="5"/>
      <c r="N4688" s="5"/>
      <c r="O4688" s="5"/>
    </row>
    <row r="4689">
      <c r="A4689" s="6"/>
      <c r="C4689" s="6"/>
      <c r="L4689" s="7"/>
      <c r="M4689" s="5"/>
      <c r="N4689" s="5"/>
      <c r="O4689" s="5"/>
    </row>
    <row r="4690">
      <c r="A4690" s="6"/>
      <c r="C4690" s="6"/>
      <c r="L4690" s="7"/>
      <c r="M4690" s="5"/>
      <c r="N4690" s="5"/>
      <c r="O4690" s="5"/>
    </row>
    <row r="4691">
      <c r="A4691" s="6"/>
      <c r="C4691" s="6"/>
      <c r="L4691" s="7"/>
      <c r="M4691" s="5"/>
      <c r="N4691" s="5"/>
      <c r="O4691" s="5"/>
    </row>
    <row r="4692">
      <c r="A4692" s="6"/>
      <c r="C4692" s="6"/>
      <c r="L4692" s="7"/>
      <c r="M4692" s="5"/>
      <c r="N4692" s="5"/>
      <c r="O4692" s="5"/>
    </row>
    <row r="4693">
      <c r="A4693" s="6"/>
      <c r="C4693" s="6"/>
      <c r="L4693" s="7"/>
      <c r="M4693" s="5"/>
      <c r="N4693" s="5"/>
      <c r="O4693" s="5"/>
    </row>
    <row r="4694">
      <c r="A4694" s="6"/>
      <c r="C4694" s="6"/>
      <c r="L4694" s="7"/>
      <c r="M4694" s="5"/>
      <c r="N4694" s="5"/>
      <c r="O4694" s="5"/>
    </row>
    <row r="4695">
      <c r="A4695" s="6"/>
      <c r="C4695" s="6"/>
      <c r="L4695" s="7"/>
      <c r="M4695" s="5"/>
      <c r="N4695" s="5"/>
      <c r="O4695" s="5"/>
    </row>
    <row r="4696">
      <c r="A4696" s="6"/>
      <c r="C4696" s="6"/>
      <c r="L4696" s="7"/>
      <c r="M4696" s="5"/>
      <c r="N4696" s="5"/>
      <c r="O4696" s="5"/>
    </row>
    <row r="4697">
      <c r="A4697" s="6"/>
      <c r="C4697" s="6"/>
      <c r="L4697" s="7"/>
      <c r="M4697" s="5"/>
      <c r="N4697" s="5"/>
      <c r="O4697" s="5"/>
    </row>
    <row r="4698">
      <c r="A4698" s="6"/>
      <c r="C4698" s="6"/>
      <c r="L4698" s="7"/>
      <c r="M4698" s="5"/>
      <c r="N4698" s="5"/>
      <c r="O4698" s="5"/>
    </row>
    <row r="4699">
      <c r="A4699" s="6"/>
      <c r="C4699" s="6"/>
      <c r="L4699" s="7"/>
      <c r="M4699" s="5"/>
      <c r="N4699" s="5"/>
      <c r="O4699" s="5"/>
    </row>
    <row r="4700">
      <c r="A4700" s="6"/>
      <c r="C4700" s="6"/>
      <c r="L4700" s="7"/>
      <c r="M4700" s="5"/>
      <c r="N4700" s="5"/>
      <c r="O4700" s="5"/>
    </row>
    <row r="4701">
      <c r="A4701" s="6"/>
      <c r="C4701" s="6"/>
      <c r="L4701" s="7"/>
      <c r="M4701" s="5"/>
      <c r="N4701" s="5"/>
      <c r="O4701" s="5"/>
    </row>
    <row r="4702">
      <c r="A4702" s="6"/>
      <c r="C4702" s="6"/>
      <c r="L4702" s="7"/>
      <c r="M4702" s="5"/>
      <c r="N4702" s="5"/>
      <c r="O4702" s="5"/>
    </row>
    <row r="4703">
      <c r="A4703" s="6"/>
      <c r="C4703" s="6"/>
      <c r="L4703" s="7"/>
      <c r="M4703" s="5"/>
      <c r="N4703" s="5"/>
      <c r="O4703" s="5"/>
    </row>
    <row r="4704">
      <c r="A4704" s="6"/>
      <c r="C4704" s="6"/>
      <c r="L4704" s="7"/>
      <c r="M4704" s="5"/>
      <c r="N4704" s="5"/>
      <c r="O4704" s="5"/>
    </row>
    <row r="4705">
      <c r="A4705" s="6"/>
      <c r="C4705" s="6"/>
      <c r="L4705" s="7"/>
      <c r="M4705" s="5"/>
      <c r="N4705" s="5"/>
      <c r="O4705" s="5"/>
    </row>
    <row r="4706">
      <c r="A4706" s="6"/>
      <c r="C4706" s="6"/>
      <c r="L4706" s="7"/>
      <c r="M4706" s="5"/>
      <c r="N4706" s="5"/>
      <c r="O4706" s="5"/>
    </row>
    <row r="4707">
      <c r="A4707" s="6"/>
      <c r="C4707" s="6"/>
      <c r="L4707" s="7"/>
      <c r="M4707" s="5"/>
      <c r="N4707" s="5"/>
      <c r="O4707" s="5"/>
    </row>
    <row r="4708">
      <c r="A4708" s="6"/>
      <c r="C4708" s="6"/>
      <c r="L4708" s="7"/>
      <c r="M4708" s="5"/>
      <c r="N4708" s="5"/>
      <c r="O4708" s="5"/>
    </row>
    <row r="4709">
      <c r="A4709" s="6"/>
      <c r="C4709" s="6"/>
      <c r="L4709" s="7"/>
      <c r="M4709" s="5"/>
      <c r="N4709" s="5"/>
      <c r="O4709" s="5"/>
    </row>
    <row r="4710">
      <c r="A4710" s="6"/>
      <c r="C4710" s="6"/>
      <c r="L4710" s="7"/>
      <c r="M4710" s="5"/>
      <c r="N4710" s="5"/>
      <c r="O4710" s="5"/>
    </row>
    <row r="4711">
      <c r="A4711" s="6"/>
      <c r="C4711" s="6"/>
      <c r="L4711" s="7"/>
      <c r="M4711" s="5"/>
      <c r="N4711" s="5"/>
      <c r="O4711" s="5"/>
    </row>
    <row r="4712">
      <c r="A4712" s="6"/>
      <c r="C4712" s="6"/>
      <c r="L4712" s="7"/>
      <c r="M4712" s="5"/>
      <c r="N4712" s="5"/>
      <c r="O4712" s="5"/>
    </row>
    <row r="4713">
      <c r="A4713" s="6"/>
      <c r="C4713" s="6"/>
      <c r="L4713" s="7"/>
      <c r="M4713" s="5"/>
      <c r="N4713" s="5"/>
      <c r="O4713" s="5"/>
    </row>
    <row r="4714">
      <c r="A4714" s="6"/>
      <c r="C4714" s="6"/>
      <c r="L4714" s="7"/>
      <c r="M4714" s="5"/>
      <c r="N4714" s="5"/>
      <c r="O4714" s="5"/>
    </row>
    <row r="4715">
      <c r="A4715" s="6"/>
      <c r="C4715" s="6"/>
      <c r="L4715" s="7"/>
      <c r="M4715" s="5"/>
      <c r="N4715" s="5"/>
      <c r="O4715" s="5"/>
    </row>
    <row r="4716">
      <c r="A4716" s="6"/>
      <c r="C4716" s="6"/>
      <c r="L4716" s="7"/>
      <c r="M4716" s="5"/>
      <c r="N4716" s="5"/>
      <c r="O4716" s="5"/>
    </row>
    <row r="4717">
      <c r="A4717" s="6"/>
      <c r="C4717" s="6"/>
      <c r="L4717" s="7"/>
      <c r="M4717" s="5"/>
      <c r="N4717" s="5"/>
      <c r="O4717" s="5"/>
    </row>
    <row r="4718">
      <c r="A4718" s="6"/>
      <c r="C4718" s="6"/>
      <c r="L4718" s="7"/>
      <c r="M4718" s="5"/>
      <c r="N4718" s="5"/>
      <c r="O4718" s="5"/>
    </row>
    <row r="4719">
      <c r="A4719" s="6"/>
      <c r="C4719" s="6"/>
      <c r="L4719" s="7"/>
      <c r="M4719" s="5"/>
      <c r="N4719" s="5"/>
      <c r="O4719" s="5"/>
    </row>
    <row r="4720">
      <c r="A4720" s="6"/>
      <c r="C4720" s="6"/>
      <c r="L4720" s="7"/>
      <c r="M4720" s="5"/>
      <c r="N4720" s="5"/>
      <c r="O4720" s="5"/>
    </row>
    <row r="4721">
      <c r="A4721" s="6"/>
      <c r="C4721" s="6"/>
      <c r="L4721" s="7"/>
      <c r="M4721" s="5"/>
      <c r="N4721" s="5"/>
      <c r="O4721" s="5"/>
    </row>
    <row r="4722">
      <c r="A4722" s="6"/>
      <c r="C4722" s="6"/>
      <c r="L4722" s="7"/>
      <c r="M4722" s="5"/>
      <c r="N4722" s="5"/>
      <c r="O4722" s="5"/>
    </row>
    <row r="4723">
      <c r="A4723" s="6"/>
      <c r="C4723" s="6"/>
      <c r="L4723" s="7"/>
      <c r="M4723" s="5"/>
      <c r="N4723" s="5"/>
      <c r="O4723" s="5"/>
    </row>
    <row r="4724">
      <c r="A4724" s="6"/>
      <c r="C4724" s="6"/>
      <c r="L4724" s="7"/>
      <c r="M4724" s="5"/>
      <c r="N4724" s="5"/>
      <c r="O4724" s="5"/>
    </row>
    <row r="4725">
      <c r="A4725" s="6"/>
      <c r="C4725" s="6"/>
      <c r="L4725" s="7"/>
      <c r="M4725" s="5"/>
      <c r="N4725" s="5"/>
      <c r="O4725" s="5"/>
    </row>
    <row r="4726">
      <c r="A4726" s="6"/>
      <c r="C4726" s="6"/>
      <c r="L4726" s="7"/>
      <c r="M4726" s="5"/>
      <c r="N4726" s="5"/>
      <c r="O4726" s="5"/>
    </row>
    <row r="4727">
      <c r="A4727" s="6"/>
      <c r="C4727" s="6"/>
      <c r="L4727" s="7"/>
      <c r="M4727" s="5"/>
      <c r="N4727" s="5"/>
      <c r="O4727" s="5"/>
    </row>
    <row r="4728">
      <c r="A4728" s="6"/>
      <c r="C4728" s="6"/>
      <c r="L4728" s="7"/>
      <c r="M4728" s="5"/>
      <c r="N4728" s="5"/>
      <c r="O4728" s="5"/>
    </row>
    <row r="4729">
      <c r="A4729" s="6"/>
      <c r="C4729" s="6"/>
      <c r="L4729" s="7"/>
      <c r="M4729" s="5"/>
      <c r="N4729" s="5"/>
      <c r="O4729" s="5"/>
    </row>
    <row r="4730">
      <c r="A4730" s="6"/>
      <c r="C4730" s="6"/>
      <c r="L4730" s="7"/>
      <c r="M4730" s="5"/>
      <c r="N4730" s="5"/>
      <c r="O4730" s="5"/>
    </row>
    <row r="4731">
      <c r="A4731" s="6"/>
      <c r="C4731" s="6"/>
      <c r="L4731" s="7"/>
      <c r="M4731" s="5"/>
      <c r="N4731" s="5"/>
      <c r="O4731" s="5"/>
    </row>
    <row r="4732">
      <c r="A4732" s="6"/>
      <c r="C4732" s="6"/>
      <c r="L4732" s="7"/>
      <c r="M4732" s="5"/>
      <c r="N4732" s="5"/>
      <c r="O4732" s="5"/>
    </row>
    <row r="4733">
      <c r="A4733" s="6"/>
      <c r="C4733" s="6"/>
      <c r="L4733" s="7"/>
      <c r="M4733" s="5"/>
      <c r="N4733" s="5"/>
      <c r="O4733" s="5"/>
    </row>
    <row r="4734">
      <c r="A4734" s="6"/>
      <c r="C4734" s="6"/>
      <c r="L4734" s="7"/>
      <c r="M4734" s="5"/>
      <c r="N4734" s="5"/>
      <c r="O4734" s="5"/>
    </row>
    <row r="4735">
      <c r="A4735" s="6"/>
      <c r="C4735" s="6"/>
      <c r="L4735" s="7"/>
      <c r="M4735" s="5"/>
      <c r="N4735" s="5"/>
      <c r="O4735" s="5"/>
    </row>
    <row r="4736">
      <c r="A4736" s="6"/>
      <c r="C4736" s="6"/>
      <c r="L4736" s="7"/>
      <c r="M4736" s="5"/>
      <c r="N4736" s="5"/>
      <c r="O4736" s="5"/>
    </row>
    <row r="4737">
      <c r="A4737" s="6"/>
      <c r="C4737" s="6"/>
      <c r="L4737" s="7"/>
      <c r="M4737" s="5"/>
      <c r="N4737" s="5"/>
      <c r="O4737" s="5"/>
    </row>
    <row r="4738">
      <c r="A4738" s="6"/>
      <c r="C4738" s="6"/>
      <c r="L4738" s="7"/>
      <c r="M4738" s="5"/>
      <c r="N4738" s="5"/>
      <c r="O4738" s="5"/>
    </row>
    <row r="4739">
      <c r="A4739" s="6"/>
      <c r="C4739" s="6"/>
      <c r="L4739" s="7"/>
      <c r="M4739" s="5"/>
      <c r="N4739" s="5"/>
      <c r="O4739" s="5"/>
    </row>
    <row r="4740">
      <c r="A4740" s="6"/>
      <c r="C4740" s="6"/>
      <c r="L4740" s="7"/>
      <c r="M4740" s="5"/>
      <c r="N4740" s="5"/>
      <c r="O4740" s="5"/>
    </row>
    <row r="4741">
      <c r="A4741" s="6"/>
      <c r="C4741" s="6"/>
      <c r="L4741" s="7"/>
      <c r="M4741" s="5"/>
      <c r="N4741" s="5"/>
      <c r="O4741" s="5"/>
    </row>
    <row r="4742">
      <c r="A4742" s="6"/>
      <c r="C4742" s="6"/>
      <c r="L4742" s="7"/>
      <c r="M4742" s="5"/>
      <c r="N4742" s="5"/>
      <c r="O4742" s="5"/>
    </row>
    <row r="4743">
      <c r="A4743" s="6"/>
      <c r="C4743" s="6"/>
      <c r="L4743" s="7"/>
      <c r="M4743" s="5"/>
      <c r="N4743" s="5"/>
      <c r="O4743" s="5"/>
    </row>
    <row r="4744">
      <c r="A4744" s="6"/>
      <c r="C4744" s="6"/>
      <c r="L4744" s="7"/>
      <c r="M4744" s="5"/>
      <c r="N4744" s="5"/>
      <c r="O4744" s="5"/>
    </row>
    <row r="4745">
      <c r="A4745" s="6"/>
      <c r="C4745" s="6"/>
      <c r="L4745" s="7"/>
      <c r="M4745" s="5"/>
      <c r="N4745" s="5"/>
      <c r="O4745" s="5"/>
    </row>
    <row r="4746">
      <c r="A4746" s="6"/>
      <c r="C4746" s="6"/>
      <c r="L4746" s="7"/>
      <c r="M4746" s="5"/>
      <c r="N4746" s="5"/>
      <c r="O4746" s="5"/>
    </row>
    <row r="4747">
      <c r="A4747" s="6"/>
      <c r="C4747" s="6"/>
      <c r="L4747" s="7"/>
      <c r="M4747" s="5"/>
      <c r="N4747" s="5"/>
      <c r="O4747" s="5"/>
    </row>
    <row r="4748">
      <c r="A4748" s="6"/>
      <c r="C4748" s="6"/>
      <c r="L4748" s="7"/>
      <c r="M4748" s="5"/>
      <c r="N4748" s="5"/>
      <c r="O4748" s="5"/>
    </row>
    <row r="4749">
      <c r="A4749" s="6"/>
      <c r="C4749" s="6"/>
      <c r="L4749" s="7"/>
      <c r="M4749" s="5"/>
      <c r="N4749" s="5"/>
      <c r="O4749" s="5"/>
    </row>
    <row r="4750">
      <c r="A4750" s="6"/>
      <c r="C4750" s="6"/>
      <c r="L4750" s="7"/>
      <c r="M4750" s="5"/>
      <c r="N4750" s="5"/>
      <c r="O4750" s="5"/>
    </row>
    <row r="4751">
      <c r="A4751" s="6"/>
      <c r="C4751" s="6"/>
      <c r="L4751" s="7"/>
      <c r="M4751" s="5"/>
      <c r="N4751" s="5"/>
      <c r="O4751" s="5"/>
    </row>
    <row r="4752">
      <c r="A4752" s="6"/>
      <c r="C4752" s="6"/>
      <c r="L4752" s="7"/>
      <c r="M4752" s="5"/>
      <c r="N4752" s="5"/>
      <c r="O4752" s="5"/>
    </row>
    <row r="4753">
      <c r="A4753" s="6"/>
      <c r="C4753" s="6"/>
      <c r="L4753" s="7"/>
      <c r="M4753" s="5"/>
      <c r="N4753" s="5"/>
      <c r="O4753" s="5"/>
    </row>
    <row r="4754">
      <c r="A4754" s="6"/>
      <c r="C4754" s="6"/>
      <c r="L4754" s="7"/>
      <c r="M4754" s="5"/>
      <c r="N4754" s="5"/>
      <c r="O4754" s="5"/>
    </row>
    <row r="4755">
      <c r="A4755" s="6"/>
      <c r="C4755" s="6"/>
      <c r="L4755" s="7"/>
      <c r="M4755" s="5"/>
      <c r="N4755" s="5"/>
      <c r="O4755" s="5"/>
    </row>
    <row r="4756">
      <c r="A4756" s="6"/>
      <c r="C4756" s="6"/>
      <c r="L4756" s="7"/>
      <c r="M4756" s="5"/>
      <c r="N4756" s="5"/>
      <c r="O4756" s="5"/>
    </row>
    <row r="4757">
      <c r="A4757" s="6"/>
      <c r="C4757" s="6"/>
      <c r="L4757" s="7"/>
      <c r="M4757" s="5"/>
      <c r="N4757" s="5"/>
      <c r="O4757" s="5"/>
    </row>
    <row r="4758">
      <c r="A4758" s="6"/>
      <c r="C4758" s="6"/>
      <c r="L4758" s="7"/>
      <c r="M4758" s="5"/>
      <c r="N4758" s="5"/>
      <c r="O4758" s="5"/>
    </row>
    <row r="4759">
      <c r="A4759" s="6"/>
      <c r="C4759" s="6"/>
      <c r="L4759" s="7"/>
      <c r="M4759" s="5"/>
      <c r="N4759" s="5"/>
      <c r="O4759" s="5"/>
    </row>
    <row r="4760">
      <c r="A4760" s="6"/>
      <c r="C4760" s="6"/>
      <c r="L4760" s="7"/>
      <c r="M4760" s="5"/>
      <c r="N4760" s="5"/>
      <c r="O4760" s="5"/>
    </row>
    <row r="4761">
      <c r="A4761" s="6"/>
      <c r="C4761" s="6"/>
      <c r="L4761" s="7"/>
      <c r="M4761" s="5"/>
      <c r="N4761" s="5"/>
      <c r="O4761" s="5"/>
    </row>
    <row r="4762">
      <c r="A4762" s="6"/>
      <c r="C4762" s="6"/>
      <c r="L4762" s="7"/>
      <c r="M4762" s="5"/>
      <c r="N4762" s="5"/>
      <c r="O4762" s="5"/>
    </row>
    <row r="4763">
      <c r="A4763" s="6"/>
      <c r="C4763" s="6"/>
      <c r="L4763" s="7"/>
      <c r="M4763" s="5"/>
      <c r="N4763" s="5"/>
      <c r="O4763" s="5"/>
    </row>
    <row r="4764">
      <c r="A4764" s="6"/>
      <c r="C4764" s="6"/>
      <c r="L4764" s="7"/>
      <c r="M4764" s="5"/>
      <c r="N4764" s="5"/>
      <c r="O4764" s="5"/>
    </row>
    <row r="4765">
      <c r="A4765" s="6"/>
      <c r="C4765" s="6"/>
      <c r="L4765" s="7"/>
      <c r="M4765" s="5"/>
      <c r="N4765" s="5"/>
      <c r="O4765" s="5"/>
    </row>
    <row r="4766">
      <c r="A4766" s="6"/>
      <c r="C4766" s="6"/>
      <c r="L4766" s="7"/>
      <c r="M4766" s="5"/>
      <c r="N4766" s="5"/>
      <c r="O4766" s="5"/>
    </row>
    <row r="4767">
      <c r="A4767" s="6"/>
      <c r="C4767" s="6"/>
      <c r="L4767" s="7"/>
      <c r="M4767" s="5"/>
      <c r="N4767" s="5"/>
      <c r="O4767" s="5"/>
    </row>
    <row r="4768">
      <c r="A4768" s="6"/>
      <c r="C4768" s="6"/>
      <c r="L4768" s="7"/>
      <c r="M4768" s="5"/>
      <c r="N4768" s="5"/>
      <c r="O4768" s="5"/>
    </row>
    <row r="4769">
      <c r="A4769" s="6"/>
      <c r="C4769" s="6"/>
      <c r="L4769" s="7"/>
      <c r="M4769" s="5"/>
      <c r="N4769" s="5"/>
      <c r="O4769" s="5"/>
    </row>
    <row r="4770">
      <c r="A4770" s="6"/>
      <c r="C4770" s="6"/>
      <c r="L4770" s="7"/>
      <c r="M4770" s="5"/>
      <c r="N4770" s="5"/>
      <c r="O4770" s="5"/>
    </row>
    <row r="4771">
      <c r="A4771" s="6"/>
      <c r="C4771" s="6"/>
      <c r="L4771" s="7"/>
      <c r="M4771" s="5"/>
      <c r="N4771" s="5"/>
      <c r="O4771" s="5"/>
    </row>
    <row r="4772">
      <c r="A4772" s="6"/>
      <c r="C4772" s="6"/>
      <c r="L4772" s="7"/>
      <c r="M4772" s="5"/>
      <c r="N4772" s="5"/>
      <c r="O4772" s="5"/>
    </row>
    <row r="4773">
      <c r="A4773" s="6"/>
      <c r="C4773" s="6"/>
      <c r="L4773" s="7"/>
      <c r="M4773" s="5"/>
      <c r="N4773" s="5"/>
      <c r="O4773" s="5"/>
    </row>
    <row r="4774">
      <c r="A4774" s="6"/>
      <c r="C4774" s="6"/>
      <c r="L4774" s="7"/>
      <c r="M4774" s="5"/>
      <c r="N4774" s="5"/>
      <c r="O4774" s="5"/>
    </row>
    <row r="4775">
      <c r="A4775" s="6"/>
      <c r="C4775" s="6"/>
      <c r="L4775" s="7"/>
      <c r="M4775" s="5"/>
      <c r="N4775" s="5"/>
      <c r="O4775" s="5"/>
    </row>
    <row r="4776">
      <c r="A4776" s="6"/>
      <c r="C4776" s="6"/>
      <c r="L4776" s="7"/>
      <c r="M4776" s="5"/>
      <c r="N4776" s="5"/>
      <c r="O4776" s="5"/>
    </row>
    <row r="4777">
      <c r="A4777" s="6"/>
      <c r="C4777" s="6"/>
      <c r="L4777" s="7"/>
      <c r="M4777" s="5"/>
      <c r="N4777" s="5"/>
      <c r="O4777" s="5"/>
    </row>
    <row r="4778">
      <c r="A4778" s="6"/>
      <c r="C4778" s="6"/>
      <c r="L4778" s="7"/>
      <c r="M4778" s="5"/>
      <c r="N4778" s="5"/>
      <c r="O4778" s="5"/>
    </row>
    <row r="4779">
      <c r="A4779" s="6"/>
      <c r="C4779" s="6"/>
      <c r="L4779" s="7"/>
      <c r="M4779" s="5"/>
      <c r="N4779" s="5"/>
      <c r="O4779" s="5"/>
    </row>
    <row r="4780">
      <c r="A4780" s="6"/>
      <c r="C4780" s="6"/>
      <c r="L4780" s="7"/>
      <c r="M4780" s="5"/>
      <c r="N4780" s="5"/>
      <c r="O4780" s="5"/>
    </row>
    <row r="4781">
      <c r="A4781" s="6"/>
      <c r="C4781" s="6"/>
      <c r="L4781" s="7"/>
      <c r="M4781" s="5"/>
      <c r="N4781" s="5"/>
      <c r="O4781" s="5"/>
    </row>
    <row r="4782">
      <c r="A4782" s="6"/>
      <c r="C4782" s="6"/>
      <c r="L4782" s="7"/>
      <c r="M4782" s="5"/>
      <c r="N4782" s="5"/>
      <c r="O4782" s="5"/>
    </row>
    <row r="4783">
      <c r="A4783" s="6"/>
      <c r="C4783" s="6"/>
      <c r="L4783" s="7"/>
      <c r="M4783" s="5"/>
      <c r="N4783" s="5"/>
      <c r="O4783" s="5"/>
    </row>
    <row r="4784">
      <c r="A4784" s="6"/>
      <c r="C4784" s="6"/>
      <c r="L4784" s="7"/>
      <c r="M4784" s="5"/>
      <c r="N4784" s="5"/>
      <c r="O4784" s="5"/>
    </row>
    <row r="4785">
      <c r="A4785" s="6"/>
      <c r="C4785" s="6"/>
      <c r="L4785" s="7"/>
      <c r="M4785" s="5"/>
      <c r="N4785" s="5"/>
      <c r="O4785" s="5"/>
    </row>
    <row r="4786">
      <c r="A4786" s="6"/>
      <c r="C4786" s="6"/>
      <c r="L4786" s="7"/>
      <c r="M4786" s="5"/>
      <c r="N4786" s="5"/>
      <c r="O4786" s="5"/>
    </row>
    <row r="4787">
      <c r="A4787" s="6"/>
      <c r="C4787" s="6"/>
      <c r="L4787" s="7"/>
      <c r="M4787" s="5"/>
      <c r="N4787" s="5"/>
      <c r="O4787" s="5"/>
    </row>
    <row r="4788">
      <c r="A4788" s="6"/>
      <c r="C4788" s="6"/>
      <c r="L4788" s="7"/>
      <c r="M4788" s="5"/>
      <c r="N4788" s="5"/>
      <c r="O4788" s="5"/>
    </row>
    <row r="4789">
      <c r="A4789" s="6"/>
      <c r="C4789" s="6"/>
      <c r="L4789" s="7"/>
      <c r="M4789" s="5"/>
      <c r="N4789" s="5"/>
      <c r="O4789" s="5"/>
    </row>
    <row r="4790">
      <c r="A4790" s="6"/>
      <c r="C4790" s="6"/>
      <c r="L4790" s="7"/>
      <c r="M4790" s="5"/>
      <c r="N4790" s="5"/>
      <c r="O4790" s="5"/>
    </row>
    <row r="4791">
      <c r="A4791" s="6"/>
      <c r="C4791" s="6"/>
      <c r="L4791" s="7"/>
      <c r="M4791" s="5"/>
      <c r="N4791" s="5"/>
      <c r="O4791" s="5"/>
    </row>
    <row r="4792">
      <c r="A4792" s="6"/>
      <c r="C4792" s="6"/>
      <c r="L4792" s="7"/>
      <c r="M4792" s="5"/>
      <c r="N4792" s="5"/>
      <c r="O4792" s="5"/>
    </row>
    <row r="4793">
      <c r="A4793" s="6"/>
      <c r="C4793" s="6"/>
      <c r="L4793" s="7"/>
      <c r="M4793" s="5"/>
      <c r="N4793" s="5"/>
      <c r="O4793" s="5"/>
    </row>
    <row r="4794">
      <c r="A4794" s="6"/>
      <c r="C4794" s="6"/>
      <c r="L4794" s="7"/>
      <c r="M4794" s="5"/>
      <c r="N4794" s="5"/>
      <c r="O4794" s="5"/>
    </row>
    <row r="4795">
      <c r="A4795" s="6"/>
      <c r="C4795" s="6"/>
      <c r="L4795" s="7"/>
      <c r="M4795" s="5"/>
      <c r="N4795" s="5"/>
      <c r="O4795" s="5"/>
    </row>
    <row r="4796">
      <c r="A4796" s="6"/>
      <c r="C4796" s="6"/>
      <c r="L4796" s="7"/>
      <c r="M4796" s="5"/>
      <c r="N4796" s="5"/>
      <c r="O4796" s="5"/>
    </row>
    <row r="4797">
      <c r="A4797" s="6"/>
      <c r="C4797" s="6"/>
      <c r="L4797" s="7"/>
      <c r="M4797" s="5"/>
      <c r="N4797" s="5"/>
      <c r="O4797" s="5"/>
    </row>
    <row r="4798">
      <c r="A4798" s="6"/>
      <c r="C4798" s="6"/>
      <c r="L4798" s="7"/>
      <c r="M4798" s="5"/>
      <c r="N4798" s="5"/>
      <c r="O4798" s="5"/>
    </row>
    <row r="4799">
      <c r="A4799" s="6"/>
      <c r="C4799" s="6"/>
      <c r="L4799" s="7"/>
      <c r="M4799" s="5"/>
      <c r="N4799" s="5"/>
      <c r="O4799" s="5"/>
    </row>
    <row r="4800">
      <c r="A4800" s="6"/>
      <c r="C4800" s="6"/>
      <c r="L4800" s="7"/>
      <c r="M4800" s="5"/>
      <c r="N4800" s="5"/>
      <c r="O4800" s="5"/>
    </row>
    <row r="4801">
      <c r="A4801" s="6"/>
      <c r="C4801" s="6"/>
      <c r="L4801" s="7"/>
      <c r="M4801" s="5"/>
      <c r="N4801" s="5"/>
      <c r="O4801" s="5"/>
    </row>
    <row r="4802">
      <c r="A4802" s="6"/>
      <c r="C4802" s="6"/>
      <c r="L4802" s="7"/>
      <c r="M4802" s="5"/>
      <c r="N4802" s="5"/>
      <c r="O4802" s="5"/>
    </row>
    <row r="4803">
      <c r="A4803" s="6"/>
      <c r="C4803" s="6"/>
      <c r="L4803" s="7"/>
      <c r="M4803" s="5"/>
      <c r="N4803" s="5"/>
      <c r="O4803" s="5"/>
    </row>
    <row r="4804">
      <c r="A4804" s="6"/>
      <c r="C4804" s="6"/>
      <c r="L4804" s="7"/>
      <c r="M4804" s="5"/>
      <c r="N4804" s="5"/>
      <c r="O4804" s="5"/>
    </row>
    <row r="4805">
      <c r="A4805" s="6"/>
      <c r="C4805" s="6"/>
      <c r="L4805" s="7"/>
      <c r="M4805" s="5"/>
      <c r="N4805" s="5"/>
      <c r="O4805" s="5"/>
    </row>
    <row r="4806">
      <c r="A4806" s="6"/>
      <c r="C4806" s="6"/>
      <c r="L4806" s="7"/>
      <c r="M4806" s="5"/>
      <c r="N4806" s="5"/>
      <c r="O4806" s="5"/>
    </row>
    <row r="4807">
      <c r="A4807" s="6"/>
      <c r="C4807" s="6"/>
      <c r="L4807" s="7"/>
      <c r="M4807" s="5"/>
      <c r="N4807" s="5"/>
      <c r="O4807" s="5"/>
    </row>
    <row r="4808">
      <c r="A4808" s="6"/>
      <c r="C4808" s="6"/>
      <c r="L4808" s="7"/>
      <c r="M4808" s="5"/>
      <c r="N4808" s="5"/>
      <c r="O4808" s="5"/>
    </row>
    <row r="4809">
      <c r="A4809" s="6"/>
      <c r="C4809" s="6"/>
      <c r="L4809" s="7"/>
      <c r="M4809" s="5"/>
      <c r="N4809" s="5"/>
      <c r="O4809" s="5"/>
    </row>
    <row r="4810">
      <c r="A4810" s="6"/>
      <c r="C4810" s="6"/>
      <c r="L4810" s="7"/>
      <c r="M4810" s="5"/>
      <c r="N4810" s="5"/>
      <c r="O4810" s="5"/>
    </row>
    <row r="4811">
      <c r="A4811" s="6"/>
      <c r="C4811" s="6"/>
      <c r="L4811" s="7"/>
      <c r="M4811" s="5"/>
      <c r="N4811" s="5"/>
      <c r="O4811" s="5"/>
    </row>
    <row r="4812">
      <c r="A4812" s="6"/>
      <c r="C4812" s="6"/>
      <c r="L4812" s="7"/>
      <c r="M4812" s="5"/>
      <c r="N4812" s="5"/>
      <c r="O4812" s="5"/>
    </row>
    <row r="4813">
      <c r="A4813" s="6"/>
      <c r="C4813" s="6"/>
      <c r="L4813" s="7"/>
      <c r="M4813" s="5"/>
      <c r="N4813" s="5"/>
      <c r="O4813" s="5"/>
    </row>
    <row r="4814">
      <c r="A4814" s="6"/>
      <c r="C4814" s="6"/>
      <c r="L4814" s="7"/>
      <c r="M4814" s="5"/>
      <c r="N4814" s="5"/>
      <c r="O4814" s="5"/>
    </row>
    <row r="4815">
      <c r="A4815" s="6"/>
      <c r="C4815" s="6"/>
      <c r="L4815" s="7"/>
      <c r="M4815" s="5"/>
      <c r="N4815" s="5"/>
      <c r="O4815" s="5"/>
    </row>
    <row r="4816">
      <c r="A4816" s="6"/>
      <c r="C4816" s="6"/>
      <c r="L4816" s="7"/>
      <c r="M4816" s="5"/>
      <c r="N4816" s="5"/>
      <c r="O4816" s="5"/>
    </row>
    <row r="4817">
      <c r="A4817" s="6"/>
      <c r="C4817" s="6"/>
      <c r="L4817" s="7"/>
      <c r="M4817" s="5"/>
      <c r="N4817" s="5"/>
      <c r="O4817" s="5"/>
    </row>
    <row r="4818">
      <c r="A4818" s="6"/>
      <c r="C4818" s="6"/>
      <c r="L4818" s="7"/>
      <c r="M4818" s="5"/>
      <c r="N4818" s="5"/>
      <c r="O4818" s="5"/>
    </row>
    <row r="4819">
      <c r="A4819" s="6"/>
      <c r="C4819" s="6"/>
      <c r="L4819" s="7"/>
      <c r="M4819" s="5"/>
      <c r="N4819" s="5"/>
      <c r="O4819" s="5"/>
    </row>
    <row r="4820">
      <c r="A4820" s="6"/>
      <c r="C4820" s="6"/>
      <c r="L4820" s="7"/>
      <c r="M4820" s="5"/>
      <c r="N4820" s="5"/>
      <c r="O4820" s="5"/>
    </row>
    <row r="4821">
      <c r="A4821" s="6"/>
      <c r="C4821" s="6"/>
      <c r="L4821" s="7"/>
      <c r="M4821" s="5"/>
      <c r="N4821" s="5"/>
      <c r="O4821" s="5"/>
    </row>
    <row r="4822">
      <c r="A4822" s="6"/>
      <c r="C4822" s="6"/>
      <c r="L4822" s="7"/>
      <c r="M4822" s="5"/>
      <c r="N4822" s="5"/>
      <c r="O4822" s="5"/>
    </row>
    <row r="4823">
      <c r="A4823" s="6"/>
      <c r="C4823" s="6"/>
      <c r="L4823" s="7"/>
      <c r="M4823" s="5"/>
      <c r="N4823" s="5"/>
      <c r="O4823" s="5"/>
    </row>
    <row r="4824">
      <c r="A4824" s="6"/>
      <c r="C4824" s="6"/>
      <c r="L4824" s="7"/>
      <c r="M4824" s="5"/>
      <c r="N4824" s="5"/>
      <c r="O4824" s="5"/>
    </row>
    <row r="4825">
      <c r="A4825" s="6"/>
      <c r="C4825" s="6"/>
      <c r="L4825" s="7"/>
      <c r="M4825" s="5"/>
      <c r="N4825" s="5"/>
      <c r="O4825" s="5"/>
    </row>
    <row r="4826">
      <c r="A4826" s="6"/>
      <c r="C4826" s="6"/>
      <c r="L4826" s="7"/>
      <c r="M4826" s="5"/>
      <c r="N4826" s="5"/>
      <c r="O4826" s="5"/>
    </row>
    <row r="4827">
      <c r="A4827" s="6"/>
      <c r="C4827" s="6"/>
      <c r="L4827" s="7"/>
      <c r="M4827" s="5"/>
      <c r="N4827" s="5"/>
      <c r="O4827" s="5"/>
    </row>
    <row r="4828">
      <c r="A4828" s="6"/>
      <c r="C4828" s="6"/>
      <c r="L4828" s="7"/>
      <c r="M4828" s="5"/>
      <c r="N4828" s="5"/>
      <c r="O4828" s="5"/>
    </row>
    <row r="4829">
      <c r="A4829" s="6"/>
      <c r="C4829" s="6"/>
      <c r="L4829" s="7"/>
      <c r="M4829" s="5"/>
      <c r="N4829" s="5"/>
      <c r="O4829" s="5"/>
    </row>
    <row r="4830">
      <c r="A4830" s="6"/>
      <c r="C4830" s="6"/>
      <c r="L4830" s="7"/>
      <c r="M4830" s="5"/>
      <c r="N4830" s="5"/>
      <c r="O4830" s="5"/>
    </row>
    <row r="4831">
      <c r="A4831" s="6"/>
      <c r="C4831" s="6"/>
      <c r="L4831" s="7"/>
      <c r="M4831" s="5"/>
      <c r="N4831" s="5"/>
      <c r="O4831" s="5"/>
    </row>
    <row r="4832">
      <c r="A4832" s="6"/>
      <c r="C4832" s="6"/>
      <c r="L4832" s="7"/>
      <c r="M4832" s="5"/>
      <c r="N4832" s="5"/>
      <c r="O4832" s="5"/>
    </row>
    <row r="4833">
      <c r="A4833" s="6"/>
      <c r="C4833" s="6"/>
      <c r="L4833" s="7"/>
      <c r="M4833" s="5"/>
      <c r="N4833" s="5"/>
      <c r="O4833" s="5"/>
    </row>
    <row r="4834">
      <c r="A4834" s="6"/>
      <c r="C4834" s="6"/>
      <c r="L4834" s="7"/>
      <c r="M4834" s="5"/>
      <c r="N4834" s="5"/>
      <c r="O4834" s="5"/>
    </row>
    <row r="4835">
      <c r="A4835" s="6"/>
      <c r="C4835" s="6"/>
      <c r="L4835" s="7"/>
      <c r="M4835" s="5"/>
      <c r="N4835" s="5"/>
      <c r="O4835" s="5"/>
    </row>
    <row r="4836">
      <c r="A4836" s="6"/>
      <c r="C4836" s="6"/>
      <c r="L4836" s="7"/>
      <c r="M4836" s="5"/>
      <c r="N4836" s="5"/>
      <c r="O4836" s="5"/>
    </row>
    <row r="4837">
      <c r="A4837" s="6"/>
      <c r="C4837" s="6"/>
      <c r="L4837" s="7"/>
      <c r="M4837" s="5"/>
      <c r="N4837" s="5"/>
      <c r="O4837" s="5"/>
    </row>
    <row r="4838">
      <c r="A4838" s="6"/>
      <c r="C4838" s="6"/>
      <c r="L4838" s="7"/>
      <c r="M4838" s="5"/>
      <c r="N4838" s="5"/>
      <c r="O4838" s="5"/>
    </row>
    <row r="4839">
      <c r="A4839" s="6"/>
      <c r="C4839" s="6"/>
      <c r="L4839" s="7"/>
      <c r="M4839" s="5"/>
      <c r="N4839" s="5"/>
      <c r="O4839" s="5"/>
    </row>
    <row r="4840">
      <c r="A4840" s="6"/>
      <c r="C4840" s="6"/>
      <c r="L4840" s="7"/>
      <c r="M4840" s="5"/>
      <c r="N4840" s="5"/>
      <c r="O4840" s="5"/>
    </row>
    <row r="4841">
      <c r="A4841" s="6"/>
      <c r="C4841" s="6"/>
      <c r="L4841" s="7"/>
      <c r="M4841" s="5"/>
      <c r="N4841" s="5"/>
      <c r="O4841" s="5"/>
    </row>
    <row r="4842">
      <c r="A4842" s="6"/>
      <c r="C4842" s="6"/>
      <c r="L4842" s="7"/>
      <c r="M4842" s="5"/>
      <c r="N4842" s="5"/>
      <c r="O4842" s="5"/>
    </row>
    <row r="4843">
      <c r="A4843" s="6"/>
      <c r="C4843" s="6"/>
      <c r="L4843" s="7"/>
      <c r="M4843" s="5"/>
      <c r="N4843" s="5"/>
      <c r="O4843" s="5"/>
    </row>
    <row r="4844">
      <c r="A4844" s="6"/>
      <c r="C4844" s="6"/>
      <c r="L4844" s="7"/>
      <c r="M4844" s="5"/>
      <c r="N4844" s="5"/>
      <c r="O4844" s="5"/>
    </row>
    <row r="4845">
      <c r="A4845" s="6"/>
      <c r="C4845" s="6"/>
      <c r="L4845" s="7"/>
      <c r="M4845" s="5"/>
      <c r="N4845" s="5"/>
      <c r="O4845" s="5"/>
    </row>
    <row r="4846">
      <c r="A4846" s="6"/>
      <c r="C4846" s="6"/>
      <c r="L4846" s="7"/>
      <c r="M4846" s="5"/>
      <c r="N4846" s="5"/>
      <c r="O4846" s="5"/>
    </row>
    <row r="4847">
      <c r="A4847" s="6"/>
      <c r="C4847" s="6"/>
      <c r="L4847" s="7"/>
      <c r="M4847" s="5"/>
      <c r="N4847" s="5"/>
      <c r="O4847" s="5"/>
    </row>
    <row r="4848">
      <c r="A4848" s="6"/>
      <c r="C4848" s="6"/>
      <c r="L4848" s="7"/>
      <c r="M4848" s="5"/>
      <c r="N4848" s="5"/>
      <c r="O4848" s="5"/>
    </row>
    <row r="4849">
      <c r="A4849" s="6"/>
      <c r="C4849" s="6"/>
      <c r="L4849" s="7"/>
      <c r="M4849" s="5"/>
      <c r="N4849" s="5"/>
      <c r="O4849" s="5"/>
    </row>
    <row r="4850">
      <c r="A4850" s="6"/>
      <c r="C4850" s="6"/>
      <c r="L4850" s="7"/>
      <c r="M4850" s="5"/>
      <c r="N4850" s="5"/>
      <c r="O4850" s="5"/>
    </row>
    <row r="4851">
      <c r="A4851" s="6"/>
      <c r="C4851" s="6"/>
      <c r="L4851" s="7"/>
      <c r="M4851" s="5"/>
      <c r="N4851" s="5"/>
      <c r="O4851" s="5"/>
    </row>
    <row r="4852">
      <c r="A4852" s="6"/>
      <c r="C4852" s="6"/>
      <c r="L4852" s="7"/>
      <c r="M4852" s="5"/>
      <c r="N4852" s="5"/>
      <c r="O4852" s="5"/>
    </row>
    <row r="4853">
      <c r="A4853" s="6"/>
      <c r="C4853" s="6"/>
      <c r="L4853" s="7"/>
      <c r="M4853" s="5"/>
      <c r="N4853" s="5"/>
      <c r="O4853" s="5"/>
    </row>
    <row r="4854">
      <c r="A4854" s="6"/>
      <c r="C4854" s="6"/>
      <c r="L4854" s="7"/>
      <c r="M4854" s="5"/>
      <c r="N4854" s="5"/>
      <c r="O4854" s="5"/>
    </row>
    <row r="4855">
      <c r="A4855" s="6"/>
      <c r="C4855" s="6"/>
      <c r="L4855" s="7"/>
      <c r="M4855" s="5"/>
      <c r="N4855" s="5"/>
      <c r="O4855" s="5"/>
    </row>
    <row r="4856">
      <c r="A4856" s="6"/>
      <c r="C4856" s="6"/>
      <c r="L4856" s="7"/>
      <c r="M4856" s="5"/>
      <c r="N4856" s="5"/>
      <c r="O4856" s="5"/>
    </row>
    <row r="4857">
      <c r="A4857" s="6"/>
      <c r="C4857" s="6"/>
      <c r="L4857" s="7"/>
      <c r="M4857" s="5"/>
      <c r="N4857" s="5"/>
      <c r="O4857" s="5"/>
    </row>
    <row r="4858">
      <c r="A4858" s="6"/>
      <c r="C4858" s="6"/>
      <c r="L4858" s="7"/>
      <c r="M4858" s="5"/>
      <c r="N4858" s="5"/>
      <c r="O4858" s="5"/>
    </row>
    <row r="4859">
      <c r="A4859" s="6"/>
      <c r="C4859" s="6"/>
      <c r="L4859" s="7"/>
      <c r="M4859" s="5"/>
      <c r="N4859" s="5"/>
      <c r="O4859" s="5"/>
    </row>
    <row r="4860">
      <c r="A4860" s="6"/>
      <c r="C4860" s="6"/>
      <c r="L4860" s="7"/>
      <c r="M4860" s="5"/>
      <c r="N4860" s="5"/>
      <c r="O4860" s="5"/>
    </row>
    <row r="4861">
      <c r="A4861" s="6"/>
      <c r="C4861" s="6"/>
      <c r="L4861" s="7"/>
      <c r="M4861" s="5"/>
      <c r="N4861" s="5"/>
      <c r="O4861" s="5"/>
    </row>
    <row r="4862">
      <c r="A4862" s="6"/>
      <c r="C4862" s="6"/>
      <c r="L4862" s="7"/>
      <c r="M4862" s="5"/>
      <c r="N4862" s="5"/>
      <c r="O4862" s="5"/>
    </row>
    <row r="4863">
      <c r="A4863" s="6"/>
      <c r="C4863" s="6"/>
      <c r="L4863" s="7"/>
      <c r="M4863" s="5"/>
      <c r="N4863" s="5"/>
      <c r="O4863" s="5"/>
    </row>
    <row r="4864">
      <c r="A4864" s="6"/>
      <c r="C4864" s="6"/>
      <c r="L4864" s="7"/>
      <c r="M4864" s="5"/>
      <c r="N4864" s="5"/>
      <c r="O4864" s="5"/>
    </row>
    <row r="4865">
      <c r="A4865" s="6"/>
      <c r="C4865" s="6"/>
      <c r="L4865" s="7"/>
      <c r="M4865" s="5"/>
      <c r="N4865" s="5"/>
      <c r="O4865" s="5"/>
    </row>
    <row r="4866">
      <c r="A4866" s="6"/>
      <c r="C4866" s="6"/>
      <c r="L4866" s="7"/>
      <c r="M4866" s="5"/>
      <c r="N4866" s="5"/>
      <c r="O4866" s="5"/>
    </row>
    <row r="4867">
      <c r="A4867" s="6"/>
      <c r="C4867" s="6"/>
      <c r="L4867" s="7"/>
      <c r="M4867" s="5"/>
      <c r="N4867" s="5"/>
      <c r="O4867" s="5"/>
    </row>
    <row r="4868">
      <c r="A4868" s="6"/>
      <c r="C4868" s="6"/>
      <c r="L4868" s="7"/>
      <c r="M4868" s="5"/>
      <c r="N4868" s="5"/>
      <c r="O4868" s="5"/>
    </row>
    <row r="4869">
      <c r="A4869" s="6"/>
      <c r="C4869" s="6"/>
      <c r="L4869" s="7"/>
      <c r="M4869" s="5"/>
      <c r="N4869" s="5"/>
      <c r="O4869" s="5"/>
    </row>
    <row r="4870">
      <c r="A4870" s="6"/>
      <c r="C4870" s="6"/>
      <c r="L4870" s="7"/>
      <c r="M4870" s="5"/>
      <c r="N4870" s="5"/>
      <c r="O4870" s="5"/>
    </row>
    <row r="4871">
      <c r="A4871" s="6"/>
      <c r="C4871" s="6"/>
      <c r="L4871" s="7"/>
      <c r="M4871" s="5"/>
      <c r="N4871" s="5"/>
      <c r="O4871" s="5"/>
    </row>
    <row r="4872">
      <c r="A4872" s="6"/>
      <c r="C4872" s="6"/>
      <c r="L4872" s="7"/>
      <c r="M4872" s="5"/>
      <c r="N4872" s="5"/>
      <c r="O4872" s="5"/>
    </row>
    <row r="4873">
      <c r="A4873" s="6"/>
      <c r="C4873" s="6"/>
      <c r="L4873" s="7"/>
      <c r="M4873" s="5"/>
      <c r="N4873" s="5"/>
      <c r="O4873" s="5"/>
    </row>
    <row r="4874">
      <c r="A4874" s="6"/>
      <c r="C4874" s="6"/>
      <c r="L4874" s="7"/>
      <c r="M4874" s="5"/>
      <c r="N4874" s="5"/>
      <c r="O4874" s="5"/>
    </row>
    <row r="4875">
      <c r="A4875" s="6"/>
      <c r="C4875" s="6"/>
      <c r="L4875" s="7"/>
      <c r="M4875" s="5"/>
      <c r="N4875" s="5"/>
      <c r="O4875" s="5"/>
    </row>
    <row r="4876">
      <c r="A4876" s="6"/>
      <c r="C4876" s="6"/>
      <c r="L4876" s="7"/>
      <c r="M4876" s="5"/>
      <c r="N4876" s="5"/>
      <c r="O4876" s="5"/>
    </row>
    <row r="4877">
      <c r="A4877" s="6"/>
      <c r="C4877" s="6"/>
      <c r="L4877" s="7"/>
      <c r="M4877" s="5"/>
      <c r="N4877" s="5"/>
      <c r="O4877" s="5"/>
    </row>
    <row r="4878">
      <c r="A4878" s="6"/>
      <c r="C4878" s="6"/>
      <c r="L4878" s="7"/>
      <c r="M4878" s="5"/>
      <c r="N4878" s="5"/>
      <c r="O4878" s="5"/>
    </row>
    <row r="4879">
      <c r="A4879" s="6"/>
      <c r="C4879" s="6"/>
      <c r="L4879" s="7"/>
      <c r="M4879" s="5"/>
      <c r="N4879" s="5"/>
      <c r="O4879" s="5"/>
    </row>
    <row r="4880">
      <c r="A4880" s="6"/>
      <c r="C4880" s="6"/>
      <c r="L4880" s="7"/>
      <c r="M4880" s="5"/>
      <c r="N4880" s="5"/>
      <c r="O4880" s="5"/>
    </row>
    <row r="4881">
      <c r="A4881" s="6"/>
      <c r="C4881" s="6"/>
      <c r="L4881" s="7"/>
      <c r="M4881" s="5"/>
      <c r="N4881" s="5"/>
      <c r="O4881" s="5"/>
    </row>
    <row r="4882">
      <c r="A4882" s="6"/>
      <c r="C4882" s="6"/>
      <c r="L4882" s="7"/>
      <c r="M4882" s="5"/>
      <c r="N4882" s="5"/>
      <c r="O4882" s="5"/>
    </row>
    <row r="4883">
      <c r="A4883" s="6"/>
      <c r="C4883" s="6"/>
      <c r="L4883" s="7"/>
      <c r="M4883" s="5"/>
      <c r="N4883" s="5"/>
      <c r="O4883" s="5"/>
    </row>
    <row r="4884">
      <c r="A4884" s="6"/>
      <c r="C4884" s="6"/>
      <c r="L4884" s="7"/>
      <c r="M4884" s="5"/>
      <c r="N4884" s="5"/>
      <c r="O4884" s="5"/>
    </row>
    <row r="4885">
      <c r="A4885" s="6"/>
      <c r="C4885" s="6"/>
      <c r="L4885" s="7"/>
      <c r="M4885" s="5"/>
      <c r="N4885" s="5"/>
      <c r="O4885" s="5"/>
    </row>
    <row r="4886">
      <c r="A4886" s="6"/>
      <c r="C4886" s="6"/>
      <c r="L4886" s="7"/>
      <c r="M4886" s="5"/>
      <c r="N4886" s="5"/>
      <c r="O4886" s="5"/>
    </row>
    <row r="4887">
      <c r="A4887" s="6"/>
      <c r="C4887" s="6"/>
      <c r="L4887" s="7"/>
      <c r="M4887" s="5"/>
      <c r="N4887" s="5"/>
      <c r="O4887" s="5"/>
    </row>
    <row r="4888">
      <c r="A4888" s="6"/>
      <c r="C4888" s="6"/>
      <c r="L4888" s="7"/>
      <c r="M4888" s="5"/>
      <c r="N4888" s="5"/>
      <c r="O4888" s="5"/>
    </row>
    <row r="4889">
      <c r="A4889" s="6"/>
      <c r="C4889" s="6"/>
      <c r="L4889" s="7"/>
      <c r="M4889" s="5"/>
      <c r="N4889" s="5"/>
      <c r="O4889" s="5"/>
    </row>
    <row r="4890">
      <c r="A4890" s="6"/>
      <c r="C4890" s="6"/>
      <c r="L4890" s="7"/>
      <c r="M4890" s="5"/>
      <c r="N4890" s="5"/>
      <c r="O4890" s="5"/>
    </row>
    <row r="4891">
      <c r="A4891" s="6"/>
      <c r="C4891" s="6"/>
      <c r="L4891" s="7"/>
      <c r="M4891" s="5"/>
      <c r="N4891" s="5"/>
      <c r="O4891" s="5"/>
    </row>
    <row r="4892">
      <c r="A4892" s="6"/>
      <c r="C4892" s="6"/>
      <c r="L4892" s="7"/>
      <c r="M4892" s="5"/>
      <c r="N4892" s="5"/>
      <c r="O4892" s="5"/>
    </row>
    <row r="4893">
      <c r="A4893" s="6"/>
      <c r="C4893" s="6"/>
      <c r="L4893" s="7"/>
      <c r="M4893" s="5"/>
      <c r="N4893" s="5"/>
      <c r="O4893" s="5"/>
    </row>
    <row r="4894">
      <c r="A4894" s="6"/>
      <c r="C4894" s="6"/>
      <c r="L4894" s="7"/>
      <c r="M4894" s="5"/>
      <c r="N4894" s="5"/>
      <c r="O4894" s="5"/>
    </row>
    <row r="4895">
      <c r="A4895" s="6"/>
      <c r="C4895" s="6"/>
      <c r="L4895" s="7"/>
      <c r="M4895" s="5"/>
      <c r="N4895" s="5"/>
      <c r="O4895" s="5"/>
    </row>
    <row r="4896">
      <c r="A4896" s="6"/>
      <c r="C4896" s="6"/>
      <c r="L4896" s="7"/>
      <c r="M4896" s="5"/>
      <c r="N4896" s="5"/>
      <c r="O4896" s="5"/>
    </row>
    <row r="4897">
      <c r="A4897" s="6"/>
      <c r="C4897" s="6"/>
      <c r="L4897" s="7"/>
      <c r="M4897" s="5"/>
      <c r="N4897" s="5"/>
      <c r="O4897" s="5"/>
    </row>
    <row r="4898">
      <c r="A4898" s="6"/>
      <c r="C4898" s="6"/>
      <c r="L4898" s="7"/>
      <c r="M4898" s="5"/>
      <c r="N4898" s="5"/>
      <c r="O4898" s="5"/>
    </row>
    <row r="4899">
      <c r="A4899" s="6"/>
      <c r="C4899" s="6"/>
      <c r="L4899" s="7"/>
      <c r="M4899" s="5"/>
      <c r="N4899" s="5"/>
      <c r="O4899" s="5"/>
    </row>
    <row r="4900">
      <c r="A4900" s="6"/>
      <c r="C4900" s="6"/>
      <c r="L4900" s="7"/>
      <c r="M4900" s="5"/>
      <c r="N4900" s="5"/>
      <c r="O4900" s="5"/>
    </row>
    <row r="4901">
      <c r="A4901" s="6"/>
      <c r="C4901" s="6"/>
      <c r="L4901" s="7"/>
      <c r="M4901" s="5"/>
      <c r="N4901" s="5"/>
      <c r="O4901" s="5"/>
    </row>
    <row r="4902">
      <c r="A4902" s="6"/>
      <c r="C4902" s="6"/>
      <c r="L4902" s="7"/>
      <c r="M4902" s="5"/>
      <c r="N4902" s="5"/>
      <c r="O4902" s="5"/>
    </row>
    <row r="4903">
      <c r="A4903" s="6"/>
      <c r="C4903" s="6"/>
      <c r="L4903" s="7"/>
      <c r="M4903" s="5"/>
      <c r="N4903" s="5"/>
      <c r="O4903" s="5"/>
    </row>
    <row r="4904">
      <c r="A4904" s="6"/>
      <c r="C4904" s="6"/>
      <c r="L4904" s="7"/>
      <c r="M4904" s="5"/>
      <c r="N4904" s="5"/>
      <c r="O4904" s="5"/>
    </row>
    <row r="4905">
      <c r="A4905" s="6"/>
      <c r="C4905" s="6"/>
      <c r="L4905" s="7"/>
      <c r="M4905" s="5"/>
      <c r="N4905" s="5"/>
      <c r="O4905" s="5"/>
    </row>
    <row r="4906">
      <c r="A4906" s="6"/>
      <c r="C4906" s="6"/>
      <c r="L4906" s="7"/>
      <c r="M4906" s="5"/>
      <c r="N4906" s="5"/>
      <c r="O4906" s="5"/>
    </row>
    <row r="4907">
      <c r="A4907" s="6"/>
      <c r="C4907" s="6"/>
      <c r="L4907" s="7"/>
      <c r="M4907" s="5"/>
      <c r="N4907" s="5"/>
      <c r="O4907" s="5"/>
    </row>
    <row r="4908">
      <c r="A4908" s="6"/>
      <c r="C4908" s="6"/>
      <c r="L4908" s="7"/>
      <c r="M4908" s="5"/>
      <c r="N4908" s="5"/>
      <c r="O4908" s="5"/>
    </row>
    <row r="4909">
      <c r="A4909" s="6"/>
      <c r="C4909" s="6"/>
      <c r="L4909" s="7"/>
      <c r="M4909" s="5"/>
      <c r="N4909" s="5"/>
      <c r="O4909" s="5"/>
    </row>
    <row r="4910">
      <c r="A4910" s="6"/>
      <c r="C4910" s="6"/>
      <c r="L4910" s="7"/>
      <c r="M4910" s="5"/>
      <c r="N4910" s="5"/>
      <c r="O4910" s="5"/>
    </row>
    <row r="4911">
      <c r="A4911" s="6"/>
      <c r="C4911" s="6"/>
      <c r="L4911" s="7"/>
      <c r="M4911" s="5"/>
      <c r="N4911" s="5"/>
      <c r="O4911" s="5"/>
    </row>
    <row r="4912">
      <c r="A4912" s="6"/>
      <c r="C4912" s="6"/>
      <c r="L4912" s="7"/>
      <c r="M4912" s="5"/>
      <c r="N4912" s="5"/>
      <c r="O4912" s="5"/>
    </row>
    <row r="4913">
      <c r="A4913" s="6"/>
      <c r="C4913" s="6"/>
      <c r="L4913" s="7"/>
      <c r="M4913" s="5"/>
      <c r="N4913" s="5"/>
      <c r="O4913" s="5"/>
    </row>
    <row r="4914">
      <c r="A4914" s="6"/>
      <c r="C4914" s="6"/>
      <c r="L4914" s="7"/>
      <c r="M4914" s="5"/>
      <c r="N4914" s="5"/>
      <c r="O4914" s="5"/>
    </row>
    <row r="4915">
      <c r="A4915" s="6"/>
      <c r="C4915" s="6"/>
      <c r="L4915" s="7"/>
      <c r="M4915" s="5"/>
      <c r="N4915" s="5"/>
      <c r="O4915" s="5"/>
    </row>
    <row r="4916">
      <c r="A4916" s="6"/>
      <c r="C4916" s="6"/>
      <c r="L4916" s="7"/>
      <c r="M4916" s="5"/>
      <c r="N4916" s="5"/>
      <c r="O4916" s="5"/>
    </row>
    <row r="4917">
      <c r="A4917" s="6"/>
      <c r="C4917" s="6"/>
      <c r="L4917" s="7"/>
      <c r="M4917" s="5"/>
      <c r="N4917" s="5"/>
      <c r="O4917" s="5"/>
    </row>
    <row r="4918">
      <c r="A4918" s="6"/>
      <c r="C4918" s="6"/>
      <c r="L4918" s="7"/>
      <c r="M4918" s="5"/>
      <c r="N4918" s="5"/>
      <c r="O4918" s="5"/>
    </row>
    <row r="4919">
      <c r="A4919" s="6"/>
      <c r="C4919" s="6"/>
      <c r="L4919" s="7"/>
      <c r="M4919" s="5"/>
      <c r="N4919" s="5"/>
      <c r="O4919" s="5"/>
    </row>
    <row r="4920">
      <c r="A4920" s="6"/>
      <c r="C4920" s="6"/>
      <c r="L4920" s="7"/>
      <c r="M4920" s="5"/>
      <c r="N4920" s="5"/>
      <c r="O4920" s="5"/>
    </row>
    <row r="4921">
      <c r="A4921" s="6"/>
      <c r="C4921" s="6"/>
      <c r="L4921" s="7"/>
      <c r="M4921" s="5"/>
      <c r="N4921" s="5"/>
      <c r="O4921" s="5"/>
    </row>
    <row r="4922">
      <c r="A4922" s="6"/>
      <c r="C4922" s="6"/>
      <c r="L4922" s="7"/>
      <c r="M4922" s="5"/>
      <c r="N4922" s="5"/>
      <c r="O4922" s="5"/>
    </row>
    <row r="4923">
      <c r="A4923" s="6"/>
      <c r="C4923" s="6"/>
      <c r="L4923" s="7"/>
      <c r="M4923" s="5"/>
      <c r="N4923" s="5"/>
      <c r="O4923" s="5"/>
    </row>
    <row r="4924">
      <c r="A4924" s="6"/>
      <c r="C4924" s="6"/>
      <c r="L4924" s="7"/>
      <c r="M4924" s="5"/>
      <c r="N4924" s="5"/>
      <c r="O4924" s="5"/>
    </row>
    <row r="4925">
      <c r="A4925" s="6"/>
      <c r="C4925" s="6"/>
      <c r="L4925" s="7"/>
      <c r="M4925" s="5"/>
      <c r="N4925" s="5"/>
      <c r="O4925" s="5"/>
    </row>
    <row r="4926">
      <c r="A4926" s="6"/>
      <c r="C4926" s="6"/>
      <c r="L4926" s="7"/>
      <c r="M4926" s="5"/>
      <c r="N4926" s="5"/>
      <c r="O4926" s="5"/>
    </row>
    <row r="4927">
      <c r="A4927" s="6"/>
      <c r="C4927" s="6"/>
      <c r="L4927" s="7"/>
      <c r="M4927" s="5"/>
      <c r="N4927" s="5"/>
      <c r="O4927" s="5"/>
    </row>
    <row r="4928">
      <c r="A4928" s="6"/>
      <c r="C4928" s="6"/>
      <c r="L4928" s="7"/>
      <c r="M4928" s="5"/>
      <c r="N4928" s="5"/>
      <c r="O4928" s="5"/>
    </row>
    <row r="4929">
      <c r="A4929" s="6"/>
      <c r="C4929" s="6"/>
      <c r="L4929" s="7"/>
      <c r="M4929" s="5"/>
      <c r="N4929" s="5"/>
      <c r="O4929" s="5"/>
    </row>
    <row r="4930">
      <c r="A4930" s="6"/>
      <c r="C4930" s="6"/>
      <c r="L4930" s="7"/>
      <c r="M4930" s="5"/>
      <c r="N4930" s="5"/>
      <c r="O4930" s="5"/>
    </row>
    <row r="4931">
      <c r="A4931" s="6"/>
      <c r="C4931" s="6"/>
      <c r="L4931" s="7"/>
      <c r="M4931" s="5"/>
      <c r="N4931" s="5"/>
      <c r="O4931" s="5"/>
    </row>
    <row r="4932">
      <c r="A4932" s="6"/>
      <c r="C4932" s="6"/>
      <c r="L4932" s="7"/>
      <c r="M4932" s="5"/>
      <c r="N4932" s="5"/>
      <c r="O4932" s="5"/>
    </row>
    <row r="4933">
      <c r="A4933" s="6"/>
      <c r="C4933" s="6"/>
      <c r="L4933" s="7"/>
      <c r="M4933" s="5"/>
      <c r="N4933" s="5"/>
      <c r="O4933" s="5"/>
    </row>
    <row r="4934">
      <c r="A4934" s="6"/>
      <c r="C4934" s="6"/>
      <c r="L4934" s="7"/>
      <c r="M4934" s="5"/>
      <c r="N4934" s="5"/>
      <c r="O4934" s="5"/>
    </row>
    <row r="4935">
      <c r="A4935" s="6"/>
      <c r="C4935" s="6"/>
      <c r="L4935" s="7"/>
      <c r="M4935" s="5"/>
      <c r="N4935" s="5"/>
      <c r="O4935" s="5"/>
    </row>
    <row r="4936">
      <c r="A4936" s="6"/>
      <c r="C4936" s="6"/>
      <c r="L4936" s="7"/>
      <c r="M4936" s="5"/>
      <c r="N4936" s="5"/>
      <c r="O4936" s="5"/>
    </row>
    <row r="4937">
      <c r="A4937" s="6"/>
      <c r="C4937" s="6"/>
      <c r="L4937" s="7"/>
      <c r="M4937" s="5"/>
      <c r="N4937" s="5"/>
      <c r="O4937" s="5"/>
    </row>
    <row r="4938">
      <c r="A4938" s="6"/>
      <c r="C4938" s="6"/>
      <c r="L4938" s="7"/>
      <c r="M4938" s="5"/>
      <c r="N4938" s="5"/>
      <c r="O4938" s="5"/>
    </row>
    <row r="4939">
      <c r="A4939" s="6"/>
      <c r="C4939" s="6"/>
      <c r="L4939" s="7"/>
      <c r="M4939" s="5"/>
      <c r="N4939" s="5"/>
      <c r="O4939" s="5"/>
    </row>
    <row r="4940">
      <c r="A4940" s="6"/>
      <c r="C4940" s="6"/>
      <c r="L4940" s="7"/>
      <c r="M4940" s="5"/>
      <c r="N4940" s="5"/>
      <c r="O4940" s="5"/>
    </row>
    <row r="4941">
      <c r="A4941" s="6"/>
      <c r="C4941" s="6"/>
      <c r="L4941" s="7"/>
      <c r="M4941" s="5"/>
      <c r="N4941" s="5"/>
      <c r="O4941" s="5"/>
    </row>
    <row r="4942">
      <c r="A4942" s="6"/>
      <c r="C4942" s="6"/>
      <c r="L4942" s="7"/>
      <c r="M4942" s="5"/>
      <c r="N4942" s="5"/>
      <c r="O4942" s="5"/>
    </row>
    <row r="4943">
      <c r="A4943" s="6"/>
      <c r="C4943" s="6"/>
      <c r="L4943" s="7"/>
      <c r="M4943" s="5"/>
      <c r="N4943" s="5"/>
      <c r="O4943" s="5"/>
    </row>
    <row r="4944">
      <c r="A4944" s="6"/>
      <c r="C4944" s="6"/>
      <c r="L4944" s="7"/>
      <c r="M4944" s="5"/>
      <c r="N4944" s="5"/>
      <c r="O4944" s="5"/>
    </row>
    <row r="4945">
      <c r="A4945" s="6"/>
      <c r="C4945" s="6"/>
      <c r="L4945" s="7"/>
      <c r="M4945" s="5"/>
      <c r="N4945" s="5"/>
      <c r="O4945" s="5"/>
    </row>
    <row r="4946">
      <c r="A4946" s="6"/>
      <c r="C4946" s="6"/>
      <c r="L4946" s="7"/>
      <c r="M4946" s="5"/>
      <c r="N4946" s="5"/>
      <c r="O4946" s="5"/>
    </row>
    <row r="4947">
      <c r="A4947" s="6"/>
      <c r="C4947" s="6"/>
      <c r="L4947" s="7"/>
      <c r="M4947" s="5"/>
      <c r="N4947" s="5"/>
      <c r="O4947" s="5"/>
    </row>
    <row r="4948">
      <c r="A4948" s="6"/>
      <c r="C4948" s="6"/>
      <c r="L4948" s="7"/>
      <c r="M4948" s="5"/>
      <c r="N4948" s="5"/>
      <c r="O4948" s="5"/>
    </row>
    <row r="4949">
      <c r="A4949" s="6"/>
      <c r="C4949" s="6"/>
      <c r="L4949" s="7"/>
      <c r="M4949" s="5"/>
      <c r="N4949" s="5"/>
      <c r="O4949" s="5"/>
    </row>
    <row r="4950">
      <c r="A4950" s="6"/>
      <c r="C4950" s="6"/>
      <c r="L4950" s="7"/>
      <c r="M4950" s="5"/>
      <c r="N4950" s="5"/>
      <c r="O4950" s="5"/>
    </row>
    <row r="4951">
      <c r="A4951" s="6"/>
      <c r="C4951" s="6"/>
      <c r="L4951" s="7"/>
      <c r="M4951" s="5"/>
      <c r="N4951" s="5"/>
      <c r="O4951" s="5"/>
    </row>
    <row r="4952">
      <c r="A4952" s="6"/>
      <c r="C4952" s="6"/>
      <c r="L4952" s="7"/>
      <c r="M4952" s="5"/>
      <c r="N4952" s="5"/>
      <c r="O4952" s="5"/>
    </row>
    <row r="4953">
      <c r="A4953" s="6"/>
      <c r="C4953" s="6"/>
      <c r="L4953" s="7"/>
      <c r="M4953" s="5"/>
      <c r="N4953" s="5"/>
      <c r="O4953" s="5"/>
    </row>
    <row r="4954">
      <c r="A4954" s="6"/>
      <c r="C4954" s="6"/>
      <c r="L4954" s="7"/>
      <c r="M4954" s="5"/>
      <c r="N4954" s="5"/>
      <c r="O4954" s="5"/>
    </row>
    <row r="4955">
      <c r="A4955" s="6"/>
      <c r="C4955" s="6"/>
      <c r="L4955" s="7"/>
      <c r="M4955" s="5"/>
      <c r="N4955" s="5"/>
      <c r="O4955" s="5"/>
    </row>
    <row r="4956">
      <c r="A4956" s="6"/>
      <c r="C4956" s="6"/>
      <c r="L4956" s="7"/>
      <c r="M4956" s="5"/>
      <c r="N4956" s="5"/>
      <c r="O4956" s="5"/>
    </row>
    <row r="4957">
      <c r="A4957" s="6"/>
      <c r="C4957" s="6"/>
      <c r="L4957" s="7"/>
      <c r="M4957" s="5"/>
      <c r="N4957" s="5"/>
      <c r="O4957" s="5"/>
    </row>
    <row r="4958">
      <c r="A4958" s="6"/>
      <c r="C4958" s="6"/>
      <c r="L4958" s="7"/>
      <c r="M4958" s="5"/>
      <c r="N4958" s="5"/>
      <c r="O4958" s="5"/>
    </row>
    <row r="4959">
      <c r="A4959" s="6"/>
      <c r="C4959" s="6"/>
      <c r="L4959" s="7"/>
      <c r="M4959" s="5"/>
      <c r="N4959" s="5"/>
      <c r="O4959" s="5"/>
    </row>
    <row r="4960">
      <c r="A4960" s="6"/>
      <c r="C4960" s="6"/>
      <c r="L4960" s="7"/>
      <c r="M4960" s="5"/>
      <c r="N4960" s="5"/>
      <c r="O4960" s="5"/>
    </row>
    <row r="4961">
      <c r="A4961" s="6"/>
      <c r="C4961" s="6"/>
      <c r="L4961" s="7"/>
      <c r="M4961" s="5"/>
      <c r="N4961" s="5"/>
      <c r="O4961" s="5"/>
    </row>
    <row r="4962">
      <c r="A4962" s="6"/>
      <c r="C4962" s="6"/>
      <c r="L4962" s="7"/>
      <c r="M4962" s="5"/>
      <c r="N4962" s="5"/>
      <c r="O4962" s="5"/>
    </row>
    <row r="4963">
      <c r="A4963" s="6"/>
      <c r="C4963" s="6"/>
      <c r="L4963" s="7"/>
      <c r="M4963" s="5"/>
      <c r="N4963" s="5"/>
      <c r="O4963" s="5"/>
    </row>
    <row r="4964">
      <c r="A4964" s="6"/>
      <c r="C4964" s="6"/>
      <c r="L4964" s="7"/>
      <c r="M4964" s="5"/>
      <c r="N4964" s="5"/>
      <c r="O4964" s="5"/>
    </row>
    <row r="4965">
      <c r="A4965" s="6"/>
      <c r="C4965" s="6"/>
      <c r="L4965" s="7"/>
      <c r="M4965" s="5"/>
      <c r="N4965" s="5"/>
      <c r="O4965" s="5"/>
    </row>
    <row r="4966">
      <c r="A4966" s="6"/>
      <c r="C4966" s="6"/>
      <c r="L4966" s="7"/>
      <c r="M4966" s="5"/>
      <c r="N4966" s="5"/>
      <c r="O4966" s="5"/>
    </row>
    <row r="4967">
      <c r="A4967" s="6"/>
      <c r="C4967" s="6"/>
      <c r="L4967" s="7"/>
      <c r="M4967" s="5"/>
      <c r="N4967" s="5"/>
      <c r="O4967" s="5"/>
    </row>
    <row r="4968">
      <c r="A4968" s="6"/>
      <c r="C4968" s="6"/>
      <c r="L4968" s="7"/>
      <c r="M4968" s="5"/>
      <c r="N4968" s="5"/>
      <c r="O4968" s="5"/>
    </row>
    <row r="4969">
      <c r="A4969" s="6"/>
      <c r="C4969" s="6"/>
      <c r="L4969" s="7"/>
      <c r="M4969" s="5"/>
      <c r="N4969" s="5"/>
      <c r="O4969" s="5"/>
    </row>
    <row r="4970">
      <c r="A4970" s="6"/>
      <c r="C4970" s="6"/>
      <c r="L4970" s="7"/>
      <c r="M4970" s="5"/>
      <c r="N4970" s="5"/>
      <c r="O4970" s="5"/>
    </row>
    <row r="4971">
      <c r="A4971" s="6"/>
      <c r="C4971" s="6"/>
      <c r="L4971" s="7"/>
      <c r="M4971" s="5"/>
      <c r="N4971" s="5"/>
      <c r="O4971" s="5"/>
    </row>
    <row r="4972">
      <c r="A4972" s="6"/>
      <c r="C4972" s="6"/>
      <c r="L4972" s="7"/>
      <c r="M4972" s="5"/>
      <c r="N4972" s="5"/>
      <c r="O4972" s="5"/>
    </row>
    <row r="4973">
      <c r="A4973" s="6"/>
      <c r="C4973" s="6"/>
      <c r="L4973" s="7"/>
      <c r="M4973" s="5"/>
      <c r="N4973" s="5"/>
      <c r="O4973" s="5"/>
    </row>
    <row r="4974">
      <c r="A4974" s="6"/>
      <c r="C4974" s="6"/>
      <c r="L4974" s="7"/>
      <c r="M4974" s="5"/>
      <c r="N4974" s="5"/>
      <c r="O4974" s="5"/>
    </row>
    <row r="4975">
      <c r="A4975" s="6"/>
      <c r="C4975" s="6"/>
      <c r="L4975" s="7"/>
      <c r="M4975" s="5"/>
      <c r="N4975" s="5"/>
      <c r="O4975" s="5"/>
    </row>
    <row r="4976">
      <c r="A4976" s="6"/>
      <c r="C4976" s="6"/>
      <c r="L4976" s="7"/>
      <c r="M4976" s="5"/>
      <c r="N4976" s="5"/>
      <c r="O4976" s="5"/>
    </row>
    <row r="4977">
      <c r="A4977" s="6"/>
      <c r="C4977" s="6"/>
      <c r="L4977" s="7"/>
      <c r="M4977" s="5"/>
      <c r="N4977" s="5"/>
      <c r="O4977" s="5"/>
    </row>
    <row r="4978">
      <c r="A4978" s="6"/>
      <c r="C4978" s="6"/>
      <c r="L4978" s="7"/>
      <c r="M4978" s="5"/>
      <c r="N4978" s="5"/>
      <c r="O4978" s="5"/>
    </row>
    <row r="4979">
      <c r="A4979" s="6"/>
      <c r="C4979" s="6"/>
      <c r="L4979" s="7"/>
      <c r="M4979" s="5"/>
      <c r="N4979" s="5"/>
      <c r="O4979" s="5"/>
    </row>
    <row r="4980">
      <c r="A4980" s="6"/>
      <c r="C4980" s="6"/>
      <c r="L4980" s="7"/>
      <c r="M4980" s="5"/>
      <c r="N4980" s="5"/>
      <c r="O4980" s="5"/>
    </row>
    <row r="4981">
      <c r="A4981" s="6"/>
      <c r="C4981" s="6"/>
      <c r="L4981" s="7"/>
      <c r="M4981" s="5"/>
      <c r="N4981" s="5"/>
      <c r="O4981" s="5"/>
    </row>
    <row r="4982">
      <c r="A4982" s="6"/>
      <c r="C4982" s="6"/>
      <c r="L4982" s="7"/>
      <c r="M4982" s="5"/>
      <c r="N4982" s="5"/>
      <c r="O4982" s="5"/>
    </row>
    <row r="4983">
      <c r="A4983" s="6"/>
      <c r="C4983" s="6"/>
      <c r="L4983" s="7"/>
      <c r="M4983" s="5"/>
      <c r="N4983" s="5"/>
      <c r="O4983" s="5"/>
    </row>
    <row r="4984">
      <c r="A4984" s="6"/>
      <c r="C4984" s="6"/>
      <c r="L4984" s="7"/>
      <c r="M4984" s="5"/>
      <c r="N4984" s="5"/>
      <c r="O4984" s="5"/>
    </row>
    <row r="4985">
      <c r="A4985" s="6"/>
      <c r="C4985" s="6"/>
      <c r="L4985" s="7"/>
      <c r="M4985" s="5"/>
      <c r="N4985" s="5"/>
      <c r="O4985" s="5"/>
    </row>
    <row r="4986">
      <c r="A4986" s="6"/>
      <c r="C4986" s="6"/>
      <c r="L4986" s="7"/>
      <c r="M4986" s="5"/>
      <c r="N4986" s="5"/>
      <c r="O4986" s="5"/>
    </row>
    <row r="4987">
      <c r="A4987" s="6"/>
      <c r="C4987" s="6"/>
      <c r="L4987" s="7"/>
      <c r="M4987" s="5"/>
      <c r="N4987" s="5"/>
      <c r="O4987" s="5"/>
    </row>
    <row r="4988">
      <c r="A4988" s="6"/>
      <c r="C4988" s="6"/>
      <c r="L4988" s="7"/>
      <c r="M4988" s="5"/>
      <c r="N4988" s="5"/>
      <c r="O4988" s="5"/>
    </row>
    <row r="4989">
      <c r="A4989" s="6"/>
      <c r="C4989" s="6"/>
      <c r="L4989" s="7"/>
      <c r="M4989" s="5"/>
      <c r="N4989" s="5"/>
      <c r="O4989" s="5"/>
    </row>
    <row r="4990">
      <c r="A4990" s="6"/>
      <c r="C4990" s="6"/>
      <c r="L4990" s="7"/>
      <c r="M4990" s="5"/>
      <c r="N4990" s="5"/>
      <c r="O4990" s="5"/>
    </row>
    <row r="4991">
      <c r="A4991" s="6"/>
      <c r="C4991" s="6"/>
      <c r="L4991" s="7"/>
      <c r="M4991" s="5"/>
      <c r="N4991" s="5"/>
      <c r="O4991" s="5"/>
    </row>
    <row r="4992">
      <c r="A4992" s="6"/>
      <c r="C4992" s="6"/>
      <c r="L4992" s="7"/>
      <c r="M4992" s="5"/>
      <c r="N4992" s="5"/>
      <c r="O4992" s="5"/>
    </row>
    <row r="4993">
      <c r="A4993" s="6"/>
      <c r="C4993" s="6"/>
      <c r="L4993" s="7"/>
      <c r="M4993" s="5"/>
      <c r="N4993" s="5"/>
      <c r="O4993" s="5"/>
    </row>
    <row r="4994">
      <c r="A4994" s="6"/>
      <c r="C4994" s="6"/>
      <c r="L4994" s="7"/>
      <c r="M4994" s="5"/>
      <c r="N4994" s="5"/>
      <c r="O4994" s="5"/>
    </row>
    <row r="4995">
      <c r="A4995" s="6"/>
      <c r="C4995" s="6"/>
      <c r="L4995" s="7"/>
      <c r="M4995" s="5"/>
      <c r="N4995" s="5"/>
      <c r="O4995" s="5"/>
    </row>
    <row r="4996">
      <c r="A4996" s="6"/>
      <c r="C4996" s="6"/>
      <c r="L4996" s="7"/>
      <c r="M4996" s="5"/>
      <c r="N4996" s="5"/>
      <c r="O4996" s="5"/>
    </row>
    <row r="4997">
      <c r="A4997" s="6"/>
      <c r="C4997" s="6"/>
      <c r="L4997" s="7"/>
      <c r="M4997" s="5"/>
      <c r="N4997" s="5"/>
      <c r="O4997" s="5"/>
    </row>
    <row r="4998">
      <c r="A4998" s="6"/>
      <c r="C4998" s="6"/>
      <c r="L4998" s="7"/>
      <c r="M4998" s="5"/>
      <c r="N4998" s="5"/>
      <c r="O4998" s="5"/>
    </row>
    <row r="4999">
      <c r="A4999" s="6"/>
      <c r="C4999" s="6"/>
      <c r="L4999" s="7"/>
      <c r="M4999" s="5"/>
      <c r="N4999" s="5"/>
      <c r="O4999" s="5"/>
    </row>
    <row r="5000">
      <c r="A5000" s="6"/>
      <c r="C5000" s="6"/>
      <c r="L5000" s="7"/>
      <c r="M5000" s="5"/>
      <c r="N5000" s="5"/>
      <c r="O5000" s="5"/>
    </row>
    <row r="5001">
      <c r="A5001" s="6"/>
      <c r="C5001" s="6"/>
      <c r="L5001" s="7"/>
      <c r="M5001" s="5"/>
      <c r="N5001" s="5"/>
      <c r="O5001" s="5"/>
    </row>
    <row r="5002">
      <c r="A5002" s="6"/>
      <c r="C5002" s="6"/>
      <c r="L5002" s="7"/>
      <c r="M5002" s="5"/>
      <c r="N5002" s="5"/>
      <c r="O5002" s="5"/>
    </row>
    <row r="5003">
      <c r="A5003" s="6"/>
      <c r="C5003" s="6"/>
      <c r="L5003" s="7"/>
      <c r="M5003" s="5"/>
      <c r="N5003" s="5"/>
      <c r="O5003" s="5"/>
    </row>
    <row r="5004">
      <c r="A5004" s="6"/>
      <c r="C5004" s="6"/>
      <c r="L5004" s="7"/>
      <c r="M5004" s="5"/>
      <c r="N5004" s="5"/>
      <c r="O5004" s="5"/>
    </row>
    <row r="5005">
      <c r="A5005" s="6"/>
      <c r="C5005" s="6"/>
      <c r="L5005" s="7"/>
      <c r="M5005" s="5"/>
      <c r="N5005" s="5"/>
      <c r="O5005" s="5"/>
    </row>
    <row r="5006">
      <c r="A5006" s="6"/>
      <c r="C5006" s="6"/>
      <c r="L5006" s="7"/>
      <c r="M5006" s="5"/>
      <c r="N5006" s="5"/>
      <c r="O5006" s="5"/>
    </row>
    <row r="5007">
      <c r="A5007" s="6"/>
      <c r="C5007" s="6"/>
      <c r="L5007" s="7"/>
      <c r="M5007" s="5"/>
      <c r="N5007" s="5"/>
      <c r="O5007" s="5"/>
    </row>
    <row r="5008">
      <c r="A5008" s="6"/>
      <c r="C5008" s="6"/>
      <c r="L5008" s="7"/>
      <c r="M5008" s="5"/>
      <c r="N5008" s="5"/>
      <c r="O5008" s="5"/>
    </row>
    <row r="5009">
      <c r="A5009" s="6"/>
      <c r="C5009" s="6"/>
      <c r="L5009" s="7"/>
      <c r="M5009" s="5"/>
      <c r="N5009" s="5"/>
      <c r="O5009" s="5"/>
    </row>
    <row r="5010">
      <c r="A5010" s="6"/>
      <c r="C5010" s="6"/>
      <c r="L5010" s="7"/>
      <c r="M5010" s="5"/>
      <c r="N5010" s="5"/>
      <c r="O5010" s="5"/>
    </row>
    <row r="5011">
      <c r="A5011" s="6"/>
      <c r="C5011" s="6"/>
      <c r="L5011" s="7"/>
      <c r="M5011" s="5"/>
      <c r="N5011" s="5"/>
      <c r="O5011" s="5"/>
    </row>
    <row r="5012">
      <c r="A5012" s="6"/>
      <c r="C5012" s="6"/>
      <c r="L5012" s="7"/>
      <c r="M5012" s="5"/>
      <c r="N5012" s="5"/>
      <c r="O5012" s="5"/>
    </row>
    <row r="5013">
      <c r="A5013" s="6"/>
      <c r="C5013" s="6"/>
      <c r="L5013" s="7"/>
      <c r="M5013" s="5"/>
      <c r="N5013" s="5"/>
      <c r="O5013" s="5"/>
    </row>
    <row r="5014">
      <c r="A5014" s="6"/>
      <c r="C5014" s="6"/>
      <c r="L5014" s="7"/>
      <c r="M5014" s="5"/>
      <c r="N5014" s="5"/>
      <c r="O5014" s="5"/>
    </row>
    <row r="5015">
      <c r="A5015" s="6"/>
      <c r="C5015" s="6"/>
      <c r="L5015" s="7"/>
      <c r="M5015" s="5"/>
      <c r="N5015" s="5"/>
      <c r="O5015" s="5"/>
    </row>
    <row r="5016">
      <c r="A5016" s="6"/>
      <c r="C5016" s="6"/>
      <c r="L5016" s="7"/>
      <c r="M5016" s="5"/>
      <c r="N5016" s="5"/>
      <c r="O5016" s="5"/>
    </row>
    <row r="5017">
      <c r="A5017" s="6"/>
      <c r="C5017" s="6"/>
      <c r="L5017" s="7"/>
      <c r="M5017" s="5"/>
      <c r="N5017" s="5"/>
      <c r="O5017" s="5"/>
    </row>
    <row r="5018">
      <c r="A5018" s="6"/>
      <c r="C5018" s="6"/>
      <c r="L5018" s="7"/>
      <c r="M5018" s="5"/>
      <c r="N5018" s="5"/>
      <c r="O5018" s="5"/>
    </row>
    <row r="5019">
      <c r="A5019" s="6"/>
      <c r="C5019" s="6"/>
      <c r="L5019" s="7"/>
      <c r="M5019" s="5"/>
      <c r="N5019" s="5"/>
      <c r="O5019" s="5"/>
    </row>
    <row r="5020">
      <c r="A5020" s="6"/>
      <c r="C5020" s="6"/>
      <c r="L5020" s="7"/>
      <c r="M5020" s="5"/>
      <c r="N5020" s="5"/>
      <c r="O5020" s="5"/>
    </row>
    <row r="5021">
      <c r="A5021" s="6"/>
      <c r="C5021" s="6"/>
      <c r="L5021" s="7"/>
      <c r="M5021" s="5"/>
      <c r="N5021" s="5"/>
      <c r="O5021" s="5"/>
    </row>
    <row r="5022">
      <c r="A5022" s="6"/>
      <c r="C5022" s="6"/>
      <c r="L5022" s="7"/>
      <c r="M5022" s="5"/>
      <c r="N5022" s="5"/>
      <c r="O5022" s="5"/>
    </row>
    <row r="5023">
      <c r="A5023" s="6"/>
      <c r="C5023" s="6"/>
      <c r="L5023" s="7"/>
      <c r="M5023" s="5"/>
      <c r="N5023" s="5"/>
      <c r="O5023" s="5"/>
    </row>
    <row r="5024">
      <c r="A5024" s="6"/>
      <c r="C5024" s="6"/>
      <c r="L5024" s="7"/>
      <c r="M5024" s="5"/>
      <c r="N5024" s="5"/>
      <c r="O5024" s="5"/>
    </row>
    <row r="5025">
      <c r="A5025" s="6"/>
      <c r="C5025" s="6"/>
      <c r="L5025" s="7"/>
      <c r="M5025" s="5"/>
      <c r="N5025" s="5"/>
      <c r="O5025" s="5"/>
    </row>
    <row r="5026">
      <c r="A5026" s="6"/>
      <c r="C5026" s="6"/>
      <c r="L5026" s="7"/>
      <c r="M5026" s="5"/>
      <c r="N5026" s="5"/>
      <c r="O5026" s="5"/>
    </row>
    <row r="5027">
      <c r="A5027" s="6"/>
      <c r="C5027" s="6"/>
      <c r="L5027" s="7"/>
      <c r="M5027" s="5"/>
      <c r="N5027" s="5"/>
      <c r="O5027" s="5"/>
    </row>
    <row r="5028">
      <c r="A5028" s="6"/>
      <c r="C5028" s="6"/>
      <c r="L5028" s="7"/>
      <c r="M5028" s="5"/>
      <c r="N5028" s="5"/>
      <c r="O5028" s="5"/>
    </row>
    <row r="5029">
      <c r="A5029" s="6"/>
      <c r="C5029" s="6"/>
      <c r="L5029" s="7"/>
      <c r="M5029" s="5"/>
      <c r="N5029" s="5"/>
      <c r="O5029" s="5"/>
    </row>
    <row r="5030">
      <c r="A5030" s="6"/>
      <c r="C5030" s="6"/>
      <c r="L5030" s="7"/>
      <c r="M5030" s="5"/>
      <c r="N5030" s="5"/>
      <c r="O5030" s="5"/>
    </row>
    <row r="5031">
      <c r="A5031" s="6"/>
      <c r="C5031" s="6"/>
      <c r="L5031" s="7"/>
      <c r="M5031" s="5"/>
      <c r="N5031" s="5"/>
      <c r="O5031" s="5"/>
    </row>
    <row r="5032">
      <c r="A5032" s="6"/>
      <c r="C5032" s="6"/>
      <c r="L5032" s="7"/>
      <c r="M5032" s="5"/>
      <c r="N5032" s="5"/>
      <c r="O5032" s="5"/>
    </row>
    <row r="5033">
      <c r="A5033" s="6"/>
      <c r="C5033" s="6"/>
      <c r="L5033" s="7"/>
      <c r="M5033" s="5"/>
      <c r="N5033" s="5"/>
      <c r="O5033" s="5"/>
    </row>
    <row r="5034">
      <c r="A5034" s="6"/>
      <c r="C5034" s="6"/>
      <c r="L5034" s="7"/>
      <c r="M5034" s="5"/>
      <c r="N5034" s="5"/>
      <c r="O5034" s="5"/>
    </row>
    <row r="5035">
      <c r="A5035" s="6"/>
      <c r="C5035" s="6"/>
      <c r="L5035" s="7"/>
      <c r="M5035" s="5"/>
      <c r="N5035" s="5"/>
      <c r="O5035" s="5"/>
    </row>
    <row r="5036">
      <c r="A5036" s="6"/>
      <c r="C5036" s="6"/>
      <c r="L5036" s="7"/>
      <c r="M5036" s="5"/>
      <c r="N5036" s="5"/>
      <c r="O5036" s="5"/>
    </row>
    <row r="5037">
      <c r="A5037" s="6"/>
      <c r="C5037" s="6"/>
      <c r="L5037" s="7"/>
      <c r="M5037" s="5"/>
      <c r="N5037" s="5"/>
      <c r="O5037" s="5"/>
    </row>
    <row r="5038">
      <c r="A5038" s="6"/>
      <c r="C5038" s="6"/>
      <c r="L5038" s="7"/>
      <c r="M5038" s="5"/>
      <c r="N5038" s="5"/>
      <c r="O5038" s="5"/>
    </row>
    <row r="5039">
      <c r="A5039" s="6"/>
      <c r="C5039" s="6"/>
      <c r="L5039" s="7"/>
      <c r="M5039" s="5"/>
      <c r="N5039" s="5"/>
      <c r="O5039" s="5"/>
    </row>
    <row r="5040">
      <c r="A5040" s="6"/>
      <c r="C5040" s="6"/>
      <c r="L5040" s="7"/>
      <c r="M5040" s="5"/>
      <c r="N5040" s="5"/>
      <c r="O5040" s="5"/>
    </row>
    <row r="5041">
      <c r="A5041" s="6"/>
      <c r="C5041" s="6"/>
      <c r="L5041" s="7"/>
      <c r="M5041" s="5"/>
      <c r="N5041" s="5"/>
      <c r="O5041" s="5"/>
    </row>
    <row r="5042">
      <c r="A5042" s="6"/>
      <c r="C5042" s="6"/>
      <c r="L5042" s="7"/>
      <c r="M5042" s="5"/>
      <c r="N5042" s="5"/>
      <c r="O5042" s="5"/>
    </row>
    <row r="5043">
      <c r="A5043" s="6"/>
      <c r="C5043" s="6"/>
      <c r="L5043" s="7"/>
      <c r="M5043" s="5"/>
      <c r="N5043" s="5"/>
      <c r="O5043" s="5"/>
    </row>
    <row r="5044">
      <c r="A5044" s="6"/>
      <c r="C5044" s="6"/>
      <c r="L5044" s="7"/>
      <c r="M5044" s="5"/>
      <c r="N5044" s="5"/>
      <c r="O5044" s="5"/>
    </row>
    <row r="5045">
      <c r="A5045" s="6"/>
      <c r="C5045" s="6"/>
      <c r="L5045" s="7"/>
      <c r="M5045" s="5"/>
      <c r="N5045" s="5"/>
      <c r="O5045" s="5"/>
    </row>
    <row r="5046">
      <c r="A5046" s="6"/>
      <c r="C5046" s="6"/>
      <c r="L5046" s="7"/>
      <c r="M5046" s="5"/>
      <c r="N5046" s="5"/>
      <c r="O5046" s="5"/>
    </row>
    <row r="5047">
      <c r="A5047" s="6"/>
      <c r="C5047" s="6"/>
      <c r="L5047" s="7"/>
      <c r="M5047" s="5"/>
      <c r="N5047" s="5"/>
      <c r="O5047" s="5"/>
    </row>
    <row r="5048">
      <c r="A5048" s="6"/>
      <c r="C5048" s="6"/>
      <c r="L5048" s="7"/>
      <c r="M5048" s="5"/>
      <c r="N5048" s="5"/>
      <c r="O5048" s="5"/>
    </row>
    <row r="5049">
      <c r="A5049" s="6"/>
      <c r="C5049" s="6"/>
      <c r="L5049" s="7"/>
      <c r="M5049" s="5"/>
      <c r="N5049" s="5"/>
      <c r="O5049" s="5"/>
    </row>
    <row r="5050">
      <c r="A5050" s="6"/>
      <c r="C5050" s="6"/>
      <c r="L5050" s="7"/>
      <c r="M5050" s="5"/>
      <c r="N5050" s="5"/>
      <c r="O5050" s="5"/>
    </row>
    <row r="5051">
      <c r="A5051" s="6"/>
      <c r="C5051" s="6"/>
      <c r="L5051" s="7"/>
      <c r="M5051" s="5"/>
      <c r="N5051" s="5"/>
      <c r="O5051" s="5"/>
    </row>
    <row r="5052">
      <c r="A5052" s="6"/>
      <c r="C5052" s="6"/>
      <c r="L5052" s="7"/>
      <c r="M5052" s="5"/>
      <c r="N5052" s="5"/>
      <c r="O5052" s="5"/>
    </row>
    <row r="5053">
      <c r="A5053" s="6"/>
      <c r="C5053" s="6"/>
      <c r="L5053" s="7"/>
      <c r="M5053" s="5"/>
      <c r="N5053" s="5"/>
      <c r="O5053" s="5"/>
    </row>
    <row r="5054">
      <c r="A5054" s="6"/>
      <c r="C5054" s="6"/>
      <c r="L5054" s="7"/>
      <c r="M5054" s="5"/>
      <c r="N5054" s="5"/>
      <c r="O5054" s="5"/>
    </row>
    <row r="5055">
      <c r="A5055" s="6"/>
      <c r="C5055" s="6"/>
      <c r="L5055" s="7"/>
      <c r="M5055" s="5"/>
      <c r="N5055" s="5"/>
      <c r="O5055" s="5"/>
    </row>
    <row r="5056">
      <c r="A5056" s="6"/>
      <c r="C5056" s="6"/>
      <c r="L5056" s="7"/>
      <c r="M5056" s="5"/>
      <c r="N5056" s="5"/>
      <c r="O5056" s="5"/>
    </row>
    <row r="5057">
      <c r="A5057" s="6"/>
      <c r="C5057" s="6"/>
      <c r="L5057" s="7"/>
      <c r="M5057" s="5"/>
      <c r="N5057" s="5"/>
      <c r="O5057" s="5"/>
    </row>
    <row r="5058">
      <c r="A5058" s="6"/>
      <c r="C5058" s="6"/>
      <c r="L5058" s="7"/>
      <c r="M5058" s="5"/>
      <c r="N5058" s="5"/>
      <c r="O5058" s="5"/>
    </row>
    <row r="5059">
      <c r="A5059" s="6"/>
      <c r="C5059" s="6"/>
      <c r="L5059" s="7"/>
      <c r="M5059" s="5"/>
      <c r="N5059" s="5"/>
      <c r="O5059" s="5"/>
    </row>
    <row r="5060">
      <c r="A5060" s="6"/>
      <c r="C5060" s="6"/>
      <c r="L5060" s="7"/>
      <c r="M5060" s="5"/>
      <c r="N5060" s="5"/>
      <c r="O5060" s="5"/>
    </row>
    <row r="5061">
      <c r="A5061" s="6"/>
      <c r="C5061" s="6"/>
      <c r="L5061" s="7"/>
      <c r="M5061" s="5"/>
      <c r="N5061" s="5"/>
      <c r="O5061" s="5"/>
    </row>
    <row r="5062">
      <c r="A5062" s="6"/>
      <c r="C5062" s="6"/>
      <c r="L5062" s="7"/>
      <c r="M5062" s="5"/>
      <c r="N5062" s="5"/>
      <c r="O5062" s="5"/>
    </row>
    <row r="5063">
      <c r="A5063" s="6"/>
      <c r="C5063" s="6"/>
      <c r="L5063" s="7"/>
      <c r="M5063" s="5"/>
      <c r="N5063" s="5"/>
      <c r="O5063" s="5"/>
    </row>
    <row r="5064">
      <c r="A5064" s="6"/>
      <c r="C5064" s="6"/>
      <c r="L5064" s="7"/>
      <c r="M5064" s="5"/>
      <c r="N5064" s="5"/>
      <c r="O5064" s="5"/>
    </row>
    <row r="5065">
      <c r="A5065" s="6"/>
      <c r="C5065" s="6"/>
      <c r="L5065" s="7"/>
      <c r="M5065" s="5"/>
      <c r="N5065" s="5"/>
      <c r="O5065" s="5"/>
    </row>
    <row r="5066">
      <c r="A5066" s="6"/>
      <c r="C5066" s="6"/>
      <c r="L5066" s="7"/>
      <c r="M5066" s="5"/>
      <c r="N5066" s="5"/>
      <c r="O5066" s="5"/>
    </row>
    <row r="5067">
      <c r="A5067" s="6"/>
      <c r="C5067" s="6"/>
      <c r="L5067" s="7"/>
      <c r="M5067" s="5"/>
      <c r="N5067" s="5"/>
      <c r="O5067" s="5"/>
    </row>
    <row r="5068">
      <c r="A5068" s="6"/>
      <c r="C5068" s="6"/>
      <c r="L5068" s="7"/>
      <c r="M5068" s="5"/>
      <c r="N5068" s="5"/>
      <c r="O5068" s="5"/>
    </row>
    <row r="5069">
      <c r="A5069" s="6"/>
      <c r="C5069" s="6"/>
      <c r="L5069" s="7"/>
      <c r="M5069" s="5"/>
      <c r="N5069" s="5"/>
      <c r="O5069" s="5"/>
    </row>
    <row r="5070">
      <c r="A5070" s="6"/>
      <c r="C5070" s="6"/>
      <c r="L5070" s="7"/>
      <c r="M5070" s="5"/>
      <c r="N5070" s="5"/>
      <c r="O5070" s="5"/>
    </row>
    <row r="5071">
      <c r="A5071" s="6"/>
      <c r="C5071" s="6"/>
      <c r="L5071" s="7"/>
      <c r="M5071" s="5"/>
      <c r="N5071" s="5"/>
      <c r="O5071" s="5"/>
    </row>
    <row r="5072">
      <c r="A5072" s="6"/>
      <c r="C5072" s="6"/>
      <c r="L5072" s="7"/>
      <c r="M5072" s="5"/>
      <c r="N5072" s="5"/>
      <c r="O5072" s="5"/>
    </row>
    <row r="5073">
      <c r="A5073" s="6"/>
      <c r="C5073" s="6"/>
      <c r="L5073" s="7"/>
      <c r="M5073" s="5"/>
      <c r="N5073" s="5"/>
      <c r="O5073" s="5"/>
    </row>
    <row r="5074">
      <c r="A5074" s="6"/>
      <c r="C5074" s="6"/>
      <c r="L5074" s="7"/>
      <c r="M5074" s="5"/>
      <c r="N5074" s="5"/>
      <c r="O5074" s="5"/>
    </row>
    <row r="5075">
      <c r="A5075" s="6"/>
      <c r="C5075" s="6"/>
      <c r="L5075" s="7"/>
      <c r="M5075" s="5"/>
      <c r="N5075" s="5"/>
      <c r="O5075" s="5"/>
    </row>
    <row r="5076">
      <c r="A5076" s="6"/>
      <c r="C5076" s="6"/>
      <c r="L5076" s="7"/>
      <c r="M5076" s="5"/>
      <c r="N5076" s="5"/>
      <c r="O5076" s="5"/>
    </row>
    <row r="5077">
      <c r="A5077" s="6"/>
      <c r="C5077" s="6"/>
      <c r="L5077" s="7"/>
      <c r="M5077" s="5"/>
      <c r="N5077" s="5"/>
      <c r="O5077" s="5"/>
    </row>
    <row r="5078">
      <c r="A5078" s="6"/>
      <c r="C5078" s="6"/>
      <c r="L5078" s="7"/>
      <c r="M5078" s="5"/>
      <c r="N5078" s="5"/>
      <c r="O5078" s="5"/>
    </row>
    <row r="5079">
      <c r="A5079" s="6"/>
      <c r="C5079" s="6"/>
      <c r="L5079" s="7"/>
      <c r="M5079" s="5"/>
      <c r="N5079" s="5"/>
      <c r="O5079" s="5"/>
    </row>
    <row r="5080">
      <c r="A5080" s="6"/>
      <c r="C5080" s="6"/>
      <c r="L5080" s="7"/>
      <c r="M5080" s="5"/>
      <c r="N5080" s="5"/>
      <c r="O5080" s="5"/>
    </row>
    <row r="5081">
      <c r="A5081" s="6"/>
      <c r="C5081" s="6"/>
      <c r="L5081" s="7"/>
      <c r="M5081" s="5"/>
      <c r="N5081" s="5"/>
      <c r="O5081" s="5"/>
    </row>
    <row r="5082">
      <c r="A5082" s="6"/>
      <c r="C5082" s="6"/>
      <c r="L5082" s="7"/>
      <c r="M5082" s="5"/>
      <c r="N5082" s="5"/>
      <c r="O5082" s="5"/>
    </row>
    <row r="5083">
      <c r="A5083" s="6"/>
      <c r="C5083" s="6"/>
      <c r="L5083" s="7"/>
      <c r="M5083" s="5"/>
      <c r="N5083" s="5"/>
      <c r="O5083" s="5"/>
    </row>
    <row r="5084">
      <c r="A5084" s="6"/>
      <c r="C5084" s="6"/>
      <c r="L5084" s="7"/>
      <c r="M5084" s="5"/>
      <c r="N5084" s="5"/>
      <c r="O5084" s="5"/>
    </row>
    <row r="5085">
      <c r="A5085" s="6"/>
      <c r="C5085" s="6"/>
      <c r="L5085" s="7"/>
      <c r="M5085" s="5"/>
      <c r="N5085" s="5"/>
      <c r="O5085" s="5"/>
    </row>
    <row r="5086">
      <c r="A5086" s="6"/>
      <c r="C5086" s="6"/>
      <c r="L5086" s="7"/>
      <c r="M5086" s="5"/>
      <c r="N5086" s="5"/>
      <c r="O5086" s="5"/>
    </row>
    <row r="5087">
      <c r="A5087" s="6"/>
      <c r="C5087" s="6"/>
      <c r="L5087" s="7"/>
      <c r="M5087" s="5"/>
      <c r="N5087" s="5"/>
      <c r="O5087" s="5"/>
    </row>
    <row r="5088">
      <c r="A5088" s="6"/>
      <c r="C5088" s="6"/>
      <c r="L5088" s="7"/>
      <c r="M5088" s="5"/>
      <c r="N5088" s="5"/>
      <c r="O5088" s="5"/>
    </row>
    <row r="5089">
      <c r="A5089" s="6"/>
      <c r="C5089" s="6"/>
      <c r="L5089" s="7"/>
      <c r="M5089" s="5"/>
      <c r="N5089" s="5"/>
      <c r="O5089" s="5"/>
    </row>
    <row r="5090">
      <c r="A5090" s="6"/>
      <c r="C5090" s="6"/>
      <c r="L5090" s="7"/>
      <c r="M5090" s="5"/>
      <c r="N5090" s="5"/>
      <c r="O5090" s="5"/>
    </row>
    <row r="5091">
      <c r="A5091" s="6"/>
      <c r="C5091" s="6"/>
      <c r="L5091" s="7"/>
      <c r="M5091" s="5"/>
      <c r="N5091" s="5"/>
      <c r="O5091" s="5"/>
    </row>
    <row r="5092">
      <c r="A5092" s="6"/>
      <c r="C5092" s="6"/>
      <c r="L5092" s="7"/>
      <c r="M5092" s="5"/>
      <c r="N5092" s="5"/>
      <c r="O5092" s="5"/>
    </row>
    <row r="5093">
      <c r="A5093" s="6"/>
      <c r="C5093" s="6"/>
      <c r="L5093" s="7"/>
      <c r="M5093" s="5"/>
      <c r="N5093" s="5"/>
      <c r="O5093" s="5"/>
    </row>
    <row r="5094">
      <c r="A5094" s="6"/>
      <c r="C5094" s="6"/>
      <c r="L5094" s="7"/>
      <c r="M5094" s="5"/>
      <c r="N5094" s="5"/>
      <c r="O5094" s="5"/>
    </row>
    <row r="5095">
      <c r="A5095" s="6"/>
      <c r="C5095" s="6"/>
      <c r="L5095" s="7"/>
      <c r="M5095" s="5"/>
      <c r="N5095" s="5"/>
      <c r="O5095" s="5"/>
    </row>
    <row r="5096">
      <c r="A5096" s="6"/>
      <c r="C5096" s="6"/>
      <c r="L5096" s="7"/>
      <c r="M5096" s="5"/>
      <c r="N5096" s="5"/>
      <c r="O5096" s="5"/>
    </row>
    <row r="5097">
      <c r="A5097" s="6"/>
      <c r="C5097" s="6"/>
      <c r="L5097" s="7"/>
      <c r="M5097" s="5"/>
      <c r="N5097" s="5"/>
      <c r="O5097" s="5"/>
    </row>
    <row r="5098">
      <c r="A5098" s="6"/>
      <c r="C5098" s="6"/>
      <c r="L5098" s="7"/>
      <c r="M5098" s="5"/>
      <c r="N5098" s="5"/>
      <c r="O5098" s="5"/>
    </row>
    <row r="5099">
      <c r="A5099" s="6"/>
      <c r="C5099" s="6"/>
      <c r="L5099" s="7"/>
      <c r="M5099" s="5"/>
      <c r="N5099" s="5"/>
      <c r="O5099" s="5"/>
    </row>
    <row r="5100">
      <c r="A5100" s="6"/>
      <c r="C5100" s="6"/>
      <c r="L5100" s="7"/>
      <c r="M5100" s="5"/>
      <c r="N5100" s="5"/>
      <c r="O5100" s="5"/>
    </row>
    <row r="5101">
      <c r="A5101" s="6"/>
      <c r="C5101" s="6"/>
      <c r="L5101" s="7"/>
      <c r="M5101" s="5"/>
      <c r="N5101" s="5"/>
      <c r="O5101" s="5"/>
    </row>
    <row r="5102">
      <c r="A5102" s="6"/>
      <c r="C5102" s="6"/>
      <c r="L5102" s="7"/>
      <c r="M5102" s="5"/>
      <c r="N5102" s="5"/>
      <c r="O5102" s="5"/>
    </row>
    <row r="5103">
      <c r="A5103" s="6"/>
      <c r="C5103" s="6"/>
      <c r="L5103" s="7"/>
      <c r="M5103" s="5"/>
      <c r="N5103" s="5"/>
      <c r="O5103" s="5"/>
    </row>
    <row r="5104">
      <c r="A5104" s="6"/>
      <c r="C5104" s="6"/>
      <c r="L5104" s="7"/>
      <c r="M5104" s="5"/>
      <c r="N5104" s="5"/>
      <c r="O5104" s="5"/>
    </row>
    <row r="5105">
      <c r="A5105" s="6"/>
      <c r="C5105" s="6"/>
      <c r="L5105" s="7"/>
      <c r="M5105" s="5"/>
      <c r="N5105" s="5"/>
      <c r="O5105" s="5"/>
    </row>
    <row r="5106">
      <c r="A5106" s="6"/>
      <c r="C5106" s="6"/>
      <c r="L5106" s="7"/>
      <c r="M5106" s="5"/>
      <c r="N5106" s="5"/>
      <c r="O5106" s="5"/>
    </row>
    <row r="5107">
      <c r="A5107" s="6"/>
      <c r="C5107" s="6"/>
      <c r="L5107" s="7"/>
      <c r="M5107" s="5"/>
      <c r="N5107" s="5"/>
      <c r="O5107" s="5"/>
    </row>
    <row r="5108">
      <c r="A5108" s="6"/>
      <c r="C5108" s="6"/>
      <c r="L5108" s="7"/>
      <c r="M5108" s="5"/>
      <c r="N5108" s="5"/>
      <c r="O5108" s="5"/>
    </row>
    <row r="5109">
      <c r="A5109" s="6"/>
      <c r="C5109" s="6"/>
      <c r="L5109" s="7"/>
      <c r="M5109" s="5"/>
      <c r="N5109" s="5"/>
      <c r="O5109" s="5"/>
    </row>
    <row r="5110">
      <c r="A5110" s="6"/>
      <c r="C5110" s="6"/>
      <c r="L5110" s="7"/>
      <c r="M5110" s="5"/>
      <c r="N5110" s="5"/>
      <c r="O5110" s="5"/>
    </row>
    <row r="5111">
      <c r="A5111" s="6"/>
      <c r="C5111" s="6"/>
      <c r="L5111" s="7"/>
      <c r="M5111" s="5"/>
      <c r="N5111" s="5"/>
      <c r="O5111" s="5"/>
    </row>
    <row r="5112">
      <c r="A5112" s="6"/>
      <c r="C5112" s="6"/>
      <c r="L5112" s="7"/>
      <c r="M5112" s="5"/>
      <c r="N5112" s="5"/>
      <c r="O5112" s="5"/>
    </row>
    <row r="5113">
      <c r="A5113" s="6"/>
      <c r="C5113" s="6"/>
      <c r="L5113" s="7"/>
      <c r="M5113" s="5"/>
      <c r="N5113" s="5"/>
      <c r="O5113" s="5"/>
    </row>
    <row r="5114">
      <c r="A5114" s="6"/>
      <c r="C5114" s="6"/>
      <c r="L5114" s="7"/>
      <c r="M5114" s="5"/>
      <c r="N5114" s="5"/>
      <c r="O5114" s="5"/>
    </row>
    <row r="5115">
      <c r="A5115" s="6"/>
      <c r="C5115" s="6"/>
      <c r="L5115" s="7"/>
      <c r="M5115" s="5"/>
      <c r="N5115" s="5"/>
      <c r="O5115" s="5"/>
    </row>
    <row r="5116">
      <c r="A5116" s="6"/>
      <c r="C5116" s="6"/>
      <c r="L5116" s="7"/>
      <c r="M5116" s="5"/>
      <c r="N5116" s="5"/>
      <c r="O5116" s="5"/>
    </row>
    <row r="5117">
      <c r="A5117" s="6"/>
      <c r="C5117" s="6"/>
      <c r="L5117" s="7"/>
      <c r="M5117" s="5"/>
      <c r="N5117" s="5"/>
      <c r="O5117" s="5"/>
    </row>
    <row r="5118">
      <c r="A5118" s="6"/>
      <c r="C5118" s="6"/>
      <c r="L5118" s="7"/>
      <c r="M5118" s="5"/>
      <c r="N5118" s="5"/>
      <c r="O5118" s="5"/>
    </row>
    <row r="5119">
      <c r="A5119" s="6"/>
      <c r="C5119" s="6"/>
      <c r="L5119" s="7"/>
      <c r="M5119" s="5"/>
      <c r="N5119" s="5"/>
      <c r="O5119" s="5"/>
    </row>
    <row r="5120">
      <c r="A5120" s="6"/>
      <c r="C5120" s="6"/>
      <c r="L5120" s="7"/>
      <c r="M5120" s="5"/>
      <c r="N5120" s="5"/>
      <c r="O5120" s="5"/>
    </row>
    <row r="5121">
      <c r="A5121" s="6"/>
      <c r="C5121" s="6"/>
      <c r="L5121" s="7"/>
      <c r="M5121" s="5"/>
      <c r="N5121" s="5"/>
      <c r="O5121" s="5"/>
    </row>
    <row r="5122">
      <c r="A5122" s="6"/>
      <c r="C5122" s="6"/>
      <c r="L5122" s="7"/>
      <c r="M5122" s="5"/>
      <c r="N5122" s="5"/>
      <c r="O5122" s="5"/>
    </row>
    <row r="5123">
      <c r="A5123" s="6"/>
      <c r="C5123" s="6"/>
      <c r="L5123" s="7"/>
      <c r="M5123" s="5"/>
      <c r="N5123" s="5"/>
      <c r="O5123" s="5"/>
    </row>
    <row r="5124">
      <c r="A5124" s="6"/>
      <c r="C5124" s="6"/>
      <c r="L5124" s="7"/>
      <c r="M5124" s="5"/>
      <c r="N5124" s="5"/>
      <c r="O5124" s="5"/>
    </row>
    <row r="5125">
      <c r="A5125" s="6"/>
      <c r="C5125" s="6"/>
      <c r="L5125" s="7"/>
      <c r="M5125" s="5"/>
      <c r="N5125" s="5"/>
      <c r="O5125" s="5"/>
    </row>
    <row r="5126">
      <c r="A5126" s="6"/>
      <c r="C5126" s="6"/>
      <c r="L5126" s="7"/>
      <c r="M5126" s="5"/>
      <c r="N5126" s="5"/>
      <c r="O5126" s="5"/>
    </row>
    <row r="5127">
      <c r="A5127" s="6"/>
      <c r="C5127" s="6"/>
      <c r="L5127" s="7"/>
      <c r="M5127" s="5"/>
      <c r="N5127" s="5"/>
      <c r="O5127" s="5"/>
    </row>
    <row r="5128">
      <c r="A5128" s="6"/>
      <c r="C5128" s="6"/>
      <c r="L5128" s="7"/>
      <c r="M5128" s="5"/>
      <c r="N5128" s="5"/>
      <c r="O5128" s="5"/>
    </row>
    <row r="5129">
      <c r="A5129" s="6"/>
      <c r="C5129" s="6"/>
      <c r="L5129" s="7"/>
      <c r="M5129" s="5"/>
      <c r="N5129" s="5"/>
      <c r="O5129" s="5"/>
    </row>
    <row r="5130">
      <c r="A5130" s="6"/>
      <c r="C5130" s="6"/>
      <c r="L5130" s="7"/>
      <c r="M5130" s="5"/>
      <c r="N5130" s="5"/>
      <c r="O5130" s="5"/>
    </row>
    <row r="5131">
      <c r="A5131" s="6"/>
      <c r="C5131" s="6"/>
      <c r="L5131" s="7"/>
      <c r="M5131" s="5"/>
      <c r="N5131" s="5"/>
      <c r="O5131" s="5"/>
    </row>
    <row r="5132">
      <c r="A5132" s="6"/>
      <c r="C5132" s="6"/>
      <c r="L5132" s="7"/>
      <c r="M5132" s="5"/>
      <c r="N5132" s="5"/>
      <c r="O5132" s="5"/>
    </row>
    <row r="5133">
      <c r="A5133" s="6"/>
      <c r="C5133" s="6"/>
      <c r="L5133" s="7"/>
      <c r="M5133" s="5"/>
      <c r="N5133" s="5"/>
      <c r="O5133" s="5"/>
    </row>
    <row r="5134">
      <c r="A5134" s="6"/>
      <c r="C5134" s="6"/>
      <c r="L5134" s="7"/>
      <c r="M5134" s="5"/>
      <c r="N5134" s="5"/>
      <c r="O5134" s="5"/>
    </row>
    <row r="5135">
      <c r="A5135" s="6"/>
      <c r="C5135" s="6"/>
      <c r="L5135" s="7"/>
      <c r="M5135" s="5"/>
      <c r="N5135" s="5"/>
      <c r="O5135" s="5"/>
    </row>
    <row r="5136">
      <c r="A5136" s="6"/>
      <c r="C5136" s="6"/>
      <c r="L5136" s="7"/>
      <c r="M5136" s="5"/>
      <c r="N5136" s="5"/>
      <c r="O5136" s="5"/>
    </row>
    <row r="5137">
      <c r="A5137" s="6"/>
      <c r="C5137" s="6"/>
      <c r="L5137" s="7"/>
      <c r="M5137" s="5"/>
      <c r="N5137" s="5"/>
      <c r="O5137" s="5"/>
    </row>
    <row r="5138">
      <c r="A5138" s="6"/>
      <c r="C5138" s="6"/>
      <c r="L5138" s="7"/>
      <c r="M5138" s="5"/>
      <c r="N5138" s="5"/>
      <c r="O5138" s="5"/>
    </row>
    <row r="5139">
      <c r="A5139" s="6"/>
      <c r="C5139" s="6"/>
      <c r="L5139" s="7"/>
      <c r="M5139" s="5"/>
      <c r="N5139" s="5"/>
      <c r="O5139" s="5"/>
    </row>
    <row r="5140">
      <c r="A5140" s="6"/>
      <c r="C5140" s="6"/>
      <c r="L5140" s="7"/>
      <c r="M5140" s="5"/>
      <c r="N5140" s="5"/>
      <c r="O5140" s="5"/>
    </row>
    <row r="5141">
      <c r="A5141" s="6"/>
      <c r="C5141" s="6"/>
      <c r="L5141" s="7"/>
      <c r="M5141" s="5"/>
      <c r="N5141" s="5"/>
      <c r="O5141" s="5"/>
    </row>
    <row r="5142">
      <c r="A5142" s="6"/>
      <c r="C5142" s="6"/>
      <c r="L5142" s="7"/>
      <c r="M5142" s="5"/>
      <c r="N5142" s="5"/>
      <c r="O5142" s="5"/>
    </row>
    <row r="5143">
      <c r="A5143" s="6"/>
      <c r="C5143" s="6"/>
      <c r="L5143" s="7"/>
      <c r="M5143" s="5"/>
      <c r="N5143" s="5"/>
      <c r="O5143" s="5"/>
    </row>
    <row r="5144">
      <c r="A5144" s="6"/>
      <c r="C5144" s="6"/>
      <c r="L5144" s="7"/>
      <c r="M5144" s="5"/>
      <c r="N5144" s="5"/>
      <c r="O5144" s="5"/>
    </row>
    <row r="5145">
      <c r="A5145" s="6"/>
      <c r="C5145" s="6"/>
      <c r="L5145" s="7"/>
      <c r="M5145" s="5"/>
      <c r="N5145" s="5"/>
      <c r="O5145" s="5"/>
    </row>
    <row r="5146">
      <c r="A5146" s="6"/>
      <c r="C5146" s="6"/>
      <c r="L5146" s="7"/>
      <c r="M5146" s="5"/>
      <c r="N5146" s="5"/>
      <c r="O5146" s="5"/>
    </row>
    <row r="5147">
      <c r="A5147" s="6"/>
      <c r="C5147" s="6"/>
      <c r="L5147" s="7"/>
      <c r="M5147" s="5"/>
      <c r="N5147" s="5"/>
      <c r="O5147" s="5"/>
    </row>
    <row r="5148">
      <c r="A5148" s="6"/>
      <c r="C5148" s="6"/>
      <c r="L5148" s="7"/>
      <c r="M5148" s="5"/>
      <c r="N5148" s="5"/>
      <c r="O5148" s="5"/>
    </row>
    <row r="5149">
      <c r="A5149" s="6"/>
      <c r="C5149" s="6"/>
      <c r="L5149" s="7"/>
      <c r="M5149" s="5"/>
      <c r="N5149" s="5"/>
      <c r="O5149" s="5"/>
    </row>
    <row r="5150">
      <c r="A5150" s="6"/>
      <c r="C5150" s="6"/>
      <c r="L5150" s="7"/>
      <c r="M5150" s="5"/>
      <c r="N5150" s="5"/>
      <c r="O5150" s="5"/>
    </row>
    <row r="5151">
      <c r="A5151" s="6"/>
      <c r="C5151" s="6"/>
      <c r="L5151" s="7"/>
      <c r="M5151" s="5"/>
      <c r="N5151" s="5"/>
      <c r="O5151" s="5"/>
    </row>
    <row r="5152">
      <c r="A5152" s="6"/>
      <c r="C5152" s="6"/>
      <c r="L5152" s="7"/>
      <c r="M5152" s="5"/>
      <c r="N5152" s="5"/>
      <c r="O5152" s="5"/>
    </row>
    <row r="5153">
      <c r="A5153" s="6"/>
      <c r="C5153" s="6"/>
      <c r="L5153" s="7"/>
      <c r="M5153" s="5"/>
      <c r="N5153" s="5"/>
      <c r="O5153" s="5"/>
    </row>
    <row r="5154">
      <c r="A5154" s="6"/>
      <c r="C5154" s="6"/>
      <c r="L5154" s="7"/>
      <c r="M5154" s="5"/>
      <c r="N5154" s="5"/>
      <c r="O5154" s="5"/>
    </row>
    <row r="5155">
      <c r="A5155" s="6"/>
      <c r="C5155" s="6"/>
      <c r="L5155" s="7"/>
      <c r="M5155" s="5"/>
      <c r="N5155" s="5"/>
      <c r="O5155" s="5"/>
    </row>
    <row r="5156">
      <c r="A5156" s="6"/>
      <c r="C5156" s="6"/>
      <c r="L5156" s="7"/>
      <c r="M5156" s="5"/>
      <c r="N5156" s="5"/>
      <c r="O5156" s="5"/>
    </row>
    <row r="5157">
      <c r="A5157" s="6"/>
      <c r="C5157" s="6"/>
      <c r="L5157" s="7"/>
      <c r="M5157" s="5"/>
      <c r="N5157" s="5"/>
      <c r="O5157" s="5"/>
    </row>
    <row r="5158">
      <c r="A5158" s="6"/>
      <c r="C5158" s="6"/>
      <c r="L5158" s="7"/>
      <c r="M5158" s="5"/>
      <c r="N5158" s="5"/>
      <c r="O5158" s="5"/>
    </row>
    <row r="5159">
      <c r="A5159" s="6"/>
      <c r="C5159" s="6"/>
      <c r="L5159" s="7"/>
      <c r="M5159" s="5"/>
      <c r="N5159" s="5"/>
      <c r="O5159" s="5"/>
    </row>
    <row r="5160">
      <c r="A5160" s="6"/>
      <c r="C5160" s="6"/>
      <c r="L5160" s="7"/>
      <c r="M5160" s="5"/>
      <c r="N5160" s="5"/>
      <c r="O5160" s="5"/>
    </row>
    <row r="5161">
      <c r="A5161" s="6"/>
      <c r="C5161" s="6"/>
      <c r="L5161" s="7"/>
      <c r="M5161" s="5"/>
      <c r="N5161" s="5"/>
      <c r="O5161" s="5"/>
    </row>
    <row r="5162">
      <c r="A5162" s="6"/>
      <c r="C5162" s="6"/>
      <c r="L5162" s="7"/>
      <c r="M5162" s="5"/>
      <c r="N5162" s="5"/>
      <c r="O5162" s="5"/>
    </row>
    <row r="5163">
      <c r="A5163" s="6"/>
      <c r="C5163" s="6"/>
      <c r="L5163" s="7"/>
      <c r="M5163" s="5"/>
      <c r="N5163" s="5"/>
      <c r="O5163" s="5"/>
    </row>
    <row r="5164">
      <c r="A5164" s="6"/>
      <c r="C5164" s="6"/>
      <c r="L5164" s="7"/>
      <c r="M5164" s="5"/>
      <c r="N5164" s="5"/>
      <c r="O5164" s="5"/>
    </row>
    <row r="5165">
      <c r="A5165" s="6"/>
      <c r="C5165" s="6"/>
      <c r="L5165" s="7"/>
      <c r="M5165" s="5"/>
      <c r="N5165" s="5"/>
      <c r="O5165" s="5"/>
    </row>
    <row r="5166">
      <c r="A5166" s="6"/>
      <c r="C5166" s="6"/>
      <c r="L5166" s="7"/>
      <c r="M5166" s="5"/>
      <c r="N5166" s="5"/>
      <c r="O5166" s="5"/>
    </row>
    <row r="5167">
      <c r="A5167" s="6"/>
      <c r="C5167" s="6"/>
      <c r="L5167" s="7"/>
      <c r="M5167" s="5"/>
      <c r="N5167" s="5"/>
      <c r="O5167" s="5"/>
    </row>
    <row r="5168">
      <c r="A5168" s="6"/>
      <c r="C5168" s="6"/>
      <c r="L5168" s="7"/>
      <c r="M5168" s="5"/>
      <c r="N5168" s="5"/>
      <c r="O5168" s="5"/>
    </row>
    <row r="5169">
      <c r="A5169" s="6"/>
      <c r="C5169" s="6"/>
      <c r="L5169" s="7"/>
      <c r="M5169" s="5"/>
      <c r="N5169" s="5"/>
      <c r="O5169" s="5"/>
    </row>
    <row r="5170">
      <c r="A5170" s="6"/>
      <c r="C5170" s="6"/>
      <c r="L5170" s="7"/>
      <c r="M5170" s="5"/>
      <c r="N5170" s="5"/>
      <c r="O5170" s="5"/>
    </row>
    <row r="5171">
      <c r="A5171" s="6"/>
      <c r="C5171" s="6"/>
      <c r="L5171" s="7"/>
      <c r="M5171" s="5"/>
      <c r="N5171" s="5"/>
      <c r="O5171" s="5"/>
    </row>
    <row r="5172">
      <c r="A5172" s="6"/>
      <c r="C5172" s="6"/>
      <c r="L5172" s="7"/>
      <c r="M5172" s="5"/>
      <c r="N5172" s="5"/>
      <c r="O5172" s="5"/>
    </row>
    <row r="5173">
      <c r="A5173" s="6"/>
      <c r="C5173" s="6"/>
      <c r="L5173" s="7"/>
      <c r="M5173" s="5"/>
      <c r="N5173" s="5"/>
      <c r="O5173" s="5"/>
    </row>
    <row r="5174">
      <c r="A5174" s="6"/>
      <c r="C5174" s="6"/>
      <c r="L5174" s="7"/>
      <c r="M5174" s="5"/>
      <c r="N5174" s="5"/>
      <c r="O5174" s="5"/>
    </row>
    <row r="5175">
      <c r="A5175" s="6"/>
      <c r="C5175" s="6"/>
      <c r="L5175" s="7"/>
      <c r="M5175" s="5"/>
      <c r="N5175" s="5"/>
      <c r="O5175" s="5"/>
    </row>
    <row r="5176">
      <c r="A5176" s="6"/>
      <c r="C5176" s="6"/>
      <c r="L5176" s="7"/>
      <c r="M5176" s="5"/>
      <c r="N5176" s="5"/>
      <c r="O5176" s="5"/>
    </row>
    <row r="5177">
      <c r="A5177" s="6"/>
      <c r="C5177" s="6"/>
      <c r="L5177" s="7"/>
      <c r="M5177" s="5"/>
      <c r="N5177" s="5"/>
      <c r="O5177" s="5"/>
    </row>
    <row r="5178">
      <c r="A5178" s="6"/>
      <c r="C5178" s="6"/>
      <c r="L5178" s="7"/>
      <c r="M5178" s="5"/>
      <c r="N5178" s="5"/>
      <c r="O5178" s="5"/>
    </row>
    <row r="5179">
      <c r="A5179" s="6"/>
      <c r="C5179" s="6"/>
      <c r="L5179" s="7"/>
      <c r="M5179" s="5"/>
      <c r="N5179" s="5"/>
      <c r="O5179" s="5"/>
    </row>
    <row r="5180">
      <c r="A5180" s="6"/>
      <c r="C5180" s="6"/>
      <c r="L5180" s="7"/>
      <c r="M5180" s="5"/>
      <c r="N5180" s="5"/>
      <c r="O5180" s="5"/>
    </row>
    <row r="5181">
      <c r="A5181" s="6"/>
      <c r="C5181" s="6"/>
      <c r="L5181" s="7"/>
      <c r="M5181" s="5"/>
      <c r="N5181" s="5"/>
      <c r="O5181" s="5"/>
    </row>
    <row r="5182">
      <c r="A5182" s="6"/>
      <c r="C5182" s="6"/>
      <c r="L5182" s="7"/>
      <c r="M5182" s="5"/>
      <c r="N5182" s="5"/>
      <c r="O5182" s="5"/>
    </row>
    <row r="5183">
      <c r="A5183" s="6"/>
      <c r="C5183" s="6"/>
      <c r="L5183" s="7"/>
      <c r="M5183" s="5"/>
      <c r="N5183" s="5"/>
      <c r="O5183" s="5"/>
    </row>
    <row r="5184">
      <c r="A5184" s="6"/>
      <c r="C5184" s="6"/>
      <c r="L5184" s="7"/>
      <c r="M5184" s="5"/>
      <c r="N5184" s="5"/>
      <c r="O5184" s="5"/>
    </row>
    <row r="5185">
      <c r="A5185" s="6"/>
      <c r="C5185" s="6"/>
      <c r="L5185" s="7"/>
      <c r="M5185" s="5"/>
      <c r="N5185" s="5"/>
      <c r="O5185" s="5"/>
    </row>
    <row r="5186">
      <c r="A5186" s="6"/>
      <c r="C5186" s="6"/>
      <c r="L5186" s="7"/>
      <c r="M5186" s="5"/>
      <c r="N5186" s="5"/>
      <c r="O5186" s="5"/>
    </row>
    <row r="5187">
      <c r="A5187" s="6"/>
      <c r="C5187" s="6"/>
      <c r="L5187" s="7"/>
      <c r="M5187" s="5"/>
      <c r="N5187" s="5"/>
      <c r="O5187" s="5"/>
    </row>
    <row r="5188">
      <c r="A5188" s="6"/>
      <c r="C5188" s="6"/>
      <c r="L5188" s="7"/>
      <c r="M5188" s="5"/>
      <c r="N5188" s="5"/>
      <c r="O5188" s="5"/>
    </row>
    <row r="5189">
      <c r="A5189" s="6"/>
      <c r="C5189" s="6"/>
      <c r="L5189" s="7"/>
      <c r="M5189" s="5"/>
      <c r="N5189" s="5"/>
      <c r="O5189" s="5"/>
    </row>
    <row r="5190">
      <c r="A5190" s="6"/>
      <c r="C5190" s="6"/>
      <c r="L5190" s="7"/>
      <c r="M5190" s="5"/>
      <c r="N5190" s="5"/>
      <c r="O5190" s="5"/>
    </row>
    <row r="5191">
      <c r="A5191" s="6"/>
      <c r="C5191" s="6"/>
      <c r="L5191" s="7"/>
      <c r="M5191" s="5"/>
      <c r="N5191" s="5"/>
      <c r="O5191" s="5"/>
    </row>
    <row r="5192">
      <c r="A5192" s="6"/>
      <c r="C5192" s="6"/>
      <c r="L5192" s="7"/>
      <c r="M5192" s="5"/>
      <c r="N5192" s="5"/>
      <c r="O5192" s="5"/>
    </row>
    <row r="5193">
      <c r="A5193" s="6"/>
      <c r="C5193" s="6"/>
      <c r="L5193" s="7"/>
      <c r="M5193" s="5"/>
      <c r="N5193" s="5"/>
      <c r="O5193" s="5"/>
    </row>
    <row r="5194">
      <c r="A5194" s="6"/>
      <c r="C5194" s="6"/>
      <c r="L5194" s="7"/>
      <c r="M5194" s="5"/>
      <c r="N5194" s="5"/>
      <c r="O5194" s="5"/>
    </row>
    <row r="5195">
      <c r="A5195" s="6"/>
      <c r="C5195" s="6"/>
      <c r="L5195" s="7"/>
      <c r="M5195" s="5"/>
      <c r="N5195" s="5"/>
      <c r="O5195" s="5"/>
    </row>
    <row r="5196">
      <c r="A5196" s="6"/>
      <c r="C5196" s="6"/>
      <c r="L5196" s="7"/>
      <c r="M5196" s="5"/>
      <c r="N5196" s="5"/>
      <c r="O5196" s="5"/>
    </row>
    <row r="5197">
      <c r="A5197" s="6"/>
      <c r="C5197" s="6"/>
      <c r="L5197" s="7"/>
      <c r="M5197" s="5"/>
      <c r="N5197" s="5"/>
      <c r="O5197" s="5"/>
    </row>
    <row r="5198">
      <c r="A5198" s="6"/>
      <c r="C5198" s="6"/>
      <c r="L5198" s="7"/>
      <c r="M5198" s="5"/>
      <c r="N5198" s="5"/>
      <c r="O5198" s="5"/>
    </row>
    <row r="5199">
      <c r="A5199" s="6"/>
      <c r="C5199" s="6"/>
      <c r="L5199" s="7"/>
      <c r="M5199" s="5"/>
      <c r="N5199" s="5"/>
      <c r="O5199" s="5"/>
    </row>
    <row r="5200">
      <c r="A5200" s="6"/>
      <c r="C5200" s="6"/>
      <c r="L5200" s="7"/>
      <c r="M5200" s="5"/>
      <c r="N5200" s="5"/>
      <c r="O5200" s="5"/>
    </row>
    <row r="5201">
      <c r="A5201" s="6"/>
      <c r="C5201" s="6"/>
      <c r="L5201" s="7"/>
      <c r="M5201" s="5"/>
      <c r="N5201" s="5"/>
      <c r="O5201" s="5"/>
    </row>
    <row r="5202">
      <c r="A5202" s="6"/>
      <c r="C5202" s="6"/>
      <c r="L5202" s="7"/>
      <c r="M5202" s="5"/>
      <c r="N5202" s="5"/>
      <c r="O5202" s="5"/>
    </row>
    <row r="5203">
      <c r="A5203" s="6"/>
      <c r="C5203" s="6"/>
      <c r="L5203" s="7"/>
      <c r="M5203" s="5"/>
      <c r="N5203" s="5"/>
      <c r="O5203" s="5"/>
    </row>
    <row r="5204">
      <c r="A5204" s="6"/>
      <c r="C5204" s="6"/>
      <c r="L5204" s="7"/>
      <c r="M5204" s="5"/>
      <c r="N5204" s="5"/>
      <c r="O5204" s="5"/>
    </row>
    <row r="5205">
      <c r="A5205" s="6"/>
      <c r="C5205" s="6"/>
      <c r="L5205" s="7"/>
      <c r="M5205" s="5"/>
      <c r="N5205" s="5"/>
      <c r="O5205" s="5"/>
    </row>
    <row r="5206">
      <c r="A5206" s="6"/>
      <c r="C5206" s="6"/>
      <c r="L5206" s="7"/>
      <c r="M5206" s="5"/>
      <c r="N5206" s="5"/>
      <c r="O5206" s="5"/>
    </row>
    <row r="5207">
      <c r="A5207" s="6"/>
      <c r="C5207" s="6"/>
      <c r="L5207" s="7"/>
      <c r="M5207" s="5"/>
      <c r="N5207" s="5"/>
      <c r="O5207" s="5"/>
    </row>
    <row r="5208">
      <c r="A5208" s="6"/>
      <c r="C5208" s="6"/>
      <c r="L5208" s="7"/>
      <c r="M5208" s="5"/>
      <c r="N5208" s="5"/>
      <c r="O5208" s="5"/>
    </row>
    <row r="5209">
      <c r="A5209" s="6"/>
      <c r="C5209" s="6"/>
      <c r="L5209" s="7"/>
      <c r="M5209" s="5"/>
      <c r="N5209" s="5"/>
      <c r="O5209" s="5"/>
    </row>
    <row r="5210">
      <c r="A5210" s="6"/>
      <c r="C5210" s="6"/>
      <c r="L5210" s="7"/>
      <c r="M5210" s="5"/>
      <c r="N5210" s="5"/>
      <c r="O5210" s="5"/>
    </row>
    <row r="5211">
      <c r="A5211" s="6"/>
      <c r="C5211" s="6"/>
      <c r="L5211" s="7"/>
      <c r="M5211" s="5"/>
      <c r="N5211" s="5"/>
      <c r="O5211" s="5"/>
    </row>
    <row r="5212">
      <c r="A5212" s="6"/>
      <c r="C5212" s="6"/>
      <c r="L5212" s="7"/>
      <c r="M5212" s="5"/>
      <c r="N5212" s="5"/>
      <c r="O5212" s="5"/>
    </row>
    <row r="5213">
      <c r="A5213" s="6"/>
      <c r="C5213" s="6"/>
      <c r="L5213" s="7"/>
      <c r="M5213" s="5"/>
      <c r="N5213" s="5"/>
      <c r="O5213" s="5"/>
    </row>
    <row r="5214">
      <c r="A5214" s="6"/>
      <c r="C5214" s="6"/>
      <c r="L5214" s="7"/>
      <c r="M5214" s="5"/>
      <c r="N5214" s="5"/>
      <c r="O5214" s="5"/>
    </row>
    <row r="5215">
      <c r="A5215" s="6"/>
      <c r="C5215" s="6"/>
      <c r="L5215" s="7"/>
      <c r="M5215" s="5"/>
      <c r="N5215" s="5"/>
      <c r="O5215" s="5"/>
    </row>
    <row r="5216">
      <c r="A5216" s="6"/>
      <c r="C5216" s="6"/>
      <c r="L5216" s="7"/>
      <c r="M5216" s="5"/>
      <c r="N5216" s="5"/>
      <c r="O5216" s="5"/>
    </row>
    <row r="5217">
      <c r="A5217" s="6"/>
      <c r="C5217" s="6"/>
      <c r="L5217" s="7"/>
      <c r="M5217" s="5"/>
      <c r="N5217" s="5"/>
      <c r="O5217" s="5"/>
    </row>
    <row r="5218">
      <c r="A5218" s="6"/>
      <c r="C5218" s="6"/>
      <c r="L5218" s="7"/>
      <c r="M5218" s="5"/>
      <c r="N5218" s="5"/>
      <c r="O5218" s="5"/>
    </row>
    <row r="5219">
      <c r="A5219" s="6"/>
      <c r="C5219" s="6"/>
      <c r="L5219" s="7"/>
      <c r="M5219" s="5"/>
      <c r="N5219" s="5"/>
      <c r="O5219" s="5"/>
    </row>
    <row r="5220">
      <c r="A5220" s="6"/>
      <c r="C5220" s="6"/>
      <c r="L5220" s="7"/>
      <c r="M5220" s="5"/>
      <c r="N5220" s="5"/>
      <c r="O5220" s="5"/>
    </row>
    <row r="5221">
      <c r="A5221" s="6"/>
      <c r="C5221" s="6"/>
      <c r="L5221" s="7"/>
      <c r="M5221" s="5"/>
      <c r="N5221" s="5"/>
      <c r="O5221" s="5"/>
    </row>
    <row r="5222">
      <c r="A5222" s="6"/>
      <c r="C5222" s="6"/>
      <c r="L5222" s="7"/>
      <c r="M5222" s="5"/>
      <c r="N5222" s="5"/>
      <c r="O5222" s="5"/>
    </row>
    <row r="5223">
      <c r="A5223" s="6"/>
      <c r="C5223" s="6"/>
      <c r="L5223" s="7"/>
      <c r="M5223" s="5"/>
      <c r="N5223" s="5"/>
      <c r="O5223" s="5"/>
    </row>
    <row r="5224">
      <c r="A5224" s="6"/>
      <c r="C5224" s="6"/>
      <c r="L5224" s="7"/>
      <c r="M5224" s="5"/>
      <c r="N5224" s="5"/>
      <c r="O5224" s="5"/>
    </row>
    <row r="5225">
      <c r="A5225" s="6"/>
      <c r="C5225" s="6"/>
      <c r="L5225" s="7"/>
      <c r="M5225" s="5"/>
      <c r="N5225" s="5"/>
      <c r="O5225" s="5"/>
    </row>
    <row r="5226">
      <c r="A5226" s="6"/>
      <c r="C5226" s="6"/>
      <c r="L5226" s="7"/>
      <c r="M5226" s="5"/>
      <c r="N5226" s="5"/>
      <c r="O5226" s="5"/>
    </row>
    <row r="5227">
      <c r="A5227" s="6"/>
      <c r="C5227" s="6"/>
      <c r="L5227" s="7"/>
      <c r="M5227" s="5"/>
      <c r="N5227" s="5"/>
      <c r="O5227" s="5"/>
    </row>
    <row r="5228">
      <c r="A5228" s="6"/>
      <c r="C5228" s="6"/>
      <c r="L5228" s="7"/>
      <c r="M5228" s="5"/>
      <c r="N5228" s="5"/>
      <c r="O5228" s="5"/>
    </row>
    <row r="5229">
      <c r="A5229" s="6"/>
      <c r="C5229" s="6"/>
      <c r="L5229" s="7"/>
      <c r="M5229" s="5"/>
      <c r="N5229" s="5"/>
      <c r="O5229" s="5"/>
    </row>
    <row r="5230">
      <c r="A5230" s="6"/>
      <c r="C5230" s="6"/>
      <c r="L5230" s="7"/>
      <c r="M5230" s="5"/>
      <c r="N5230" s="5"/>
      <c r="O5230" s="5"/>
    </row>
    <row r="5231">
      <c r="A5231" s="6"/>
      <c r="C5231" s="6"/>
      <c r="L5231" s="7"/>
      <c r="M5231" s="5"/>
      <c r="N5231" s="5"/>
      <c r="O5231" s="5"/>
    </row>
    <row r="5232">
      <c r="A5232" s="6"/>
      <c r="C5232" s="6"/>
      <c r="L5232" s="7"/>
      <c r="M5232" s="5"/>
      <c r="N5232" s="5"/>
      <c r="O5232" s="5"/>
    </row>
    <row r="5233">
      <c r="A5233" s="6"/>
      <c r="C5233" s="6"/>
      <c r="L5233" s="7"/>
      <c r="M5233" s="5"/>
      <c r="N5233" s="5"/>
      <c r="O5233" s="5"/>
    </row>
    <row r="5234">
      <c r="A5234" s="6"/>
      <c r="C5234" s="6"/>
      <c r="L5234" s="7"/>
      <c r="M5234" s="5"/>
      <c r="N5234" s="5"/>
      <c r="O5234" s="5"/>
    </row>
    <row r="5235">
      <c r="A5235" s="6"/>
      <c r="C5235" s="6"/>
      <c r="L5235" s="7"/>
      <c r="M5235" s="5"/>
      <c r="N5235" s="5"/>
      <c r="O5235" s="5"/>
    </row>
    <row r="5236">
      <c r="A5236" s="6"/>
      <c r="C5236" s="6"/>
      <c r="L5236" s="7"/>
      <c r="M5236" s="5"/>
      <c r="N5236" s="5"/>
      <c r="O5236" s="5"/>
    </row>
    <row r="5237">
      <c r="A5237" s="6"/>
      <c r="C5237" s="6"/>
      <c r="L5237" s="7"/>
      <c r="M5237" s="5"/>
      <c r="N5237" s="5"/>
      <c r="O5237" s="5"/>
    </row>
    <row r="5238">
      <c r="A5238" s="6"/>
      <c r="C5238" s="6"/>
      <c r="L5238" s="7"/>
      <c r="M5238" s="5"/>
      <c r="N5238" s="5"/>
      <c r="O5238" s="5"/>
    </row>
    <row r="5239">
      <c r="A5239" s="6"/>
      <c r="C5239" s="6"/>
      <c r="L5239" s="7"/>
      <c r="M5239" s="5"/>
      <c r="N5239" s="5"/>
      <c r="O5239" s="5"/>
    </row>
    <row r="5240">
      <c r="A5240" s="6"/>
      <c r="C5240" s="6"/>
      <c r="L5240" s="7"/>
      <c r="M5240" s="5"/>
      <c r="N5240" s="5"/>
      <c r="O5240" s="5"/>
    </row>
    <row r="5241">
      <c r="A5241" s="6"/>
      <c r="C5241" s="6"/>
      <c r="L5241" s="7"/>
      <c r="M5241" s="5"/>
      <c r="N5241" s="5"/>
      <c r="O5241" s="5"/>
    </row>
    <row r="5242">
      <c r="A5242" s="6"/>
      <c r="C5242" s="6"/>
      <c r="L5242" s="7"/>
      <c r="M5242" s="5"/>
      <c r="N5242" s="5"/>
      <c r="O5242" s="5"/>
    </row>
    <row r="5243">
      <c r="A5243" s="6"/>
      <c r="C5243" s="6"/>
      <c r="L5243" s="7"/>
      <c r="M5243" s="5"/>
      <c r="N5243" s="5"/>
      <c r="O5243" s="5"/>
    </row>
    <row r="5244">
      <c r="A5244" s="6"/>
      <c r="C5244" s="6"/>
      <c r="L5244" s="7"/>
      <c r="M5244" s="5"/>
      <c r="N5244" s="5"/>
      <c r="O5244" s="5"/>
    </row>
    <row r="5245">
      <c r="A5245" s="6"/>
      <c r="C5245" s="6"/>
      <c r="L5245" s="7"/>
      <c r="M5245" s="5"/>
      <c r="N5245" s="5"/>
      <c r="O5245" s="5"/>
    </row>
    <row r="5246">
      <c r="A5246" s="6"/>
      <c r="C5246" s="6"/>
      <c r="L5246" s="7"/>
      <c r="M5246" s="5"/>
      <c r="N5246" s="5"/>
      <c r="O5246" s="5"/>
    </row>
    <row r="5247">
      <c r="A5247" s="6"/>
      <c r="C5247" s="6"/>
      <c r="L5247" s="7"/>
      <c r="M5247" s="5"/>
      <c r="N5247" s="5"/>
      <c r="O5247" s="5"/>
    </row>
    <row r="5248">
      <c r="A5248" s="6"/>
      <c r="C5248" s="6"/>
      <c r="L5248" s="7"/>
      <c r="M5248" s="5"/>
      <c r="N5248" s="5"/>
      <c r="O5248" s="5"/>
    </row>
    <row r="5249">
      <c r="A5249" s="6"/>
      <c r="C5249" s="6"/>
      <c r="L5249" s="7"/>
      <c r="M5249" s="5"/>
      <c r="N5249" s="5"/>
      <c r="O5249" s="5"/>
    </row>
    <row r="5250">
      <c r="A5250" s="6"/>
      <c r="C5250" s="6"/>
      <c r="L5250" s="7"/>
      <c r="M5250" s="5"/>
      <c r="N5250" s="5"/>
      <c r="O5250" s="5"/>
    </row>
    <row r="5251">
      <c r="A5251" s="6"/>
      <c r="C5251" s="6"/>
      <c r="L5251" s="7"/>
      <c r="M5251" s="5"/>
      <c r="N5251" s="5"/>
      <c r="O5251" s="5"/>
    </row>
    <row r="5252">
      <c r="A5252" s="6"/>
      <c r="C5252" s="6"/>
      <c r="L5252" s="7"/>
      <c r="M5252" s="5"/>
      <c r="N5252" s="5"/>
      <c r="O5252" s="5"/>
    </row>
    <row r="5253">
      <c r="A5253" s="6"/>
      <c r="C5253" s="6"/>
      <c r="L5253" s="7"/>
      <c r="M5253" s="5"/>
      <c r="N5253" s="5"/>
      <c r="O5253" s="5"/>
    </row>
    <row r="5254">
      <c r="A5254" s="6"/>
      <c r="C5254" s="6"/>
      <c r="L5254" s="7"/>
      <c r="M5254" s="5"/>
      <c r="N5254" s="5"/>
      <c r="O5254" s="5"/>
    </row>
    <row r="5255">
      <c r="A5255" s="6"/>
      <c r="C5255" s="6"/>
      <c r="L5255" s="7"/>
      <c r="M5255" s="5"/>
      <c r="N5255" s="5"/>
      <c r="O5255" s="5"/>
    </row>
    <row r="5256">
      <c r="A5256" s="6"/>
      <c r="C5256" s="6"/>
      <c r="L5256" s="7"/>
      <c r="M5256" s="5"/>
      <c r="N5256" s="5"/>
      <c r="O5256" s="5"/>
    </row>
    <row r="5257">
      <c r="A5257" s="6"/>
      <c r="C5257" s="6"/>
      <c r="L5257" s="7"/>
      <c r="M5257" s="5"/>
      <c r="N5257" s="5"/>
      <c r="O5257" s="5"/>
    </row>
    <row r="5258">
      <c r="A5258" s="6"/>
      <c r="C5258" s="6"/>
      <c r="L5258" s="7"/>
      <c r="M5258" s="5"/>
      <c r="N5258" s="5"/>
      <c r="O5258" s="5"/>
    </row>
    <row r="5259">
      <c r="A5259" s="6"/>
      <c r="C5259" s="6"/>
      <c r="L5259" s="7"/>
      <c r="M5259" s="5"/>
      <c r="N5259" s="5"/>
      <c r="O5259" s="5"/>
    </row>
    <row r="5260">
      <c r="A5260" s="6"/>
      <c r="C5260" s="6"/>
      <c r="L5260" s="7"/>
      <c r="M5260" s="5"/>
      <c r="N5260" s="5"/>
      <c r="O5260" s="5"/>
    </row>
    <row r="5261">
      <c r="A5261" s="6"/>
      <c r="C5261" s="6"/>
      <c r="L5261" s="7"/>
      <c r="M5261" s="5"/>
      <c r="N5261" s="5"/>
      <c r="O5261" s="5"/>
    </row>
    <row r="5262">
      <c r="A5262" s="6"/>
      <c r="C5262" s="6"/>
      <c r="L5262" s="7"/>
      <c r="M5262" s="5"/>
      <c r="N5262" s="5"/>
      <c r="O5262" s="5"/>
    </row>
    <row r="5263">
      <c r="A5263" s="6"/>
      <c r="C5263" s="6"/>
      <c r="L5263" s="7"/>
      <c r="M5263" s="5"/>
      <c r="N5263" s="5"/>
      <c r="O5263" s="5"/>
    </row>
    <row r="5264">
      <c r="A5264" s="6"/>
      <c r="C5264" s="6"/>
      <c r="L5264" s="7"/>
      <c r="M5264" s="5"/>
      <c r="N5264" s="5"/>
      <c r="O5264" s="5"/>
    </row>
    <row r="5265">
      <c r="A5265" s="6"/>
      <c r="C5265" s="6"/>
      <c r="L5265" s="7"/>
      <c r="M5265" s="5"/>
      <c r="N5265" s="5"/>
      <c r="O5265" s="5"/>
    </row>
    <row r="5266">
      <c r="A5266" s="6"/>
      <c r="C5266" s="6"/>
      <c r="L5266" s="7"/>
      <c r="M5266" s="5"/>
      <c r="N5266" s="5"/>
      <c r="O5266" s="5"/>
    </row>
    <row r="5267">
      <c r="A5267" s="6"/>
      <c r="C5267" s="6"/>
      <c r="L5267" s="7"/>
      <c r="M5267" s="5"/>
      <c r="N5267" s="5"/>
      <c r="O5267" s="5"/>
    </row>
    <row r="5268">
      <c r="A5268" s="6"/>
      <c r="C5268" s="6"/>
      <c r="L5268" s="7"/>
      <c r="M5268" s="5"/>
      <c r="N5268" s="5"/>
      <c r="O5268" s="5"/>
    </row>
    <row r="5269">
      <c r="A5269" s="6"/>
      <c r="C5269" s="6"/>
      <c r="L5269" s="7"/>
      <c r="M5269" s="5"/>
      <c r="N5269" s="5"/>
      <c r="O5269" s="5"/>
    </row>
    <row r="5270">
      <c r="A5270" s="6"/>
      <c r="C5270" s="6"/>
      <c r="L5270" s="7"/>
      <c r="M5270" s="5"/>
      <c r="N5270" s="5"/>
      <c r="O5270" s="5"/>
    </row>
    <row r="5271">
      <c r="A5271" s="6"/>
      <c r="C5271" s="6"/>
      <c r="L5271" s="7"/>
      <c r="M5271" s="5"/>
      <c r="N5271" s="5"/>
      <c r="O5271" s="5"/>
    </row>
    <row r="5272">
      <c r="A5272" s="6"/>
      <c r="C5272" s="6"/>
      <c r="L5272" s="7"/>
      <c r="M5272" s="5"/>
      <c r="N5272" s="5"/>
      <c r="O5272" s="5"/>
    </row>
    <row r="5273">
      <c r="A5273" s="6"/>
      <c r="C5273" s="6"/>
      <c r="L5273" s="7"/>
      <c r="M5273" s="5"/>
      <c r="N5273" s="5"/>
      <c r="O5273" s="5"/>
    </row>
    <row r="5274">
      <c r="A5274" s="6"/>
      <c r="C5274" s="6"/>
      <c r="L5274" s="7"/>
      <c r="M5274" s="5"/>
      <c r="N5274" s="5"/>
      <c r="O5274" s="5"/>
    </row>
    <row r="5275">
      <c r="A5275" s="6"/>
      <c r="C5275" s="6"/>
      <c r="L5275" s="7"/>
      <c r="M5275" s="5"/>
      <c r="N5275" s="5"/>
      <c r="O5275" s="5"/>
    </row>
    <row r="5276">
      <c r="A5276" s="6"/>
      <c r="C5276" s="6"/>
      <c r="L5276" s="7"/>
      <c r="M5276" s="5"/>
      <c r="N5276" s="5"/>
      <c r="O5276" s="5"/>
    </row>
    <row r="5277">
      <c r="A5277" s="6"/>
      <c r="C5277" s="6"/>
      <c r="L5277" s="7"/>
      <c r="M5277" s="5"/>
      <c r="N5277" s="5"/>
      <c r="O5277" s="5"/>
    </row>
    <row r="5278">
      <c r="A5278" s="6"/>
      <c r="C5278" s="6"/>
      <c r="L5278" s="7"/>
      <c r="M5278" s="5"/>
      <c r="N5278" s="5"/>
      <c r="O5278" s="5"/>
    </row>
    <row r="5279">
      <c r="A5279" s="6"/>
      <c r="C5279" s="6"/>
      <c r="L5279" s="7"/>
      <c r="M5279" s="5"/>
      <c r="N5279" s="5"/>
      <c r="O5279" s="5"/>
    </row>
    <row r="5280">
      <c r="A5280" s="6"/>
      <c r="C5280" s="6"/>
      <c r="L5280" s="7"/>
      <c r="M5280" s="5"/>
      <c r="N5280" s="5"/>
      <c r="O5280" s="5"/>
    </row>
    <row r="5281">
      <c r="A5281" s="6"/>
      <c r="C5281" s="6"/>
      <c r="L5281" s="7"/>
      <c r="M5281" s="5"/>
      <c r="N5281" s="5"/>
      <c r="O5281" s="5"/>
    </row>
    <row r="5282">
      <c r="A5282" s="6"/>
      <c r="C5282" s="6"/>
      <c r="L5282" s="7"/>
      <c r="M5282" s="5"/>
      <c r="N5282" s="5"/>
      <c r="O5282" s="5"/>
    </row>
    <row r="5283">
      <c r="A5283" s="6"/>
      <c r="C5283" s="6"/>
      <c r="L5283" s="7"/>
      <c r="M5283" s="5"/>
      <c r="N5283" s="5"/>
      <c r="O5283" s="5"/>
    </row>
    <row r="5284">
      <c r="A5284" s="6"/>
      <c r="C5284" s="6"/>
      <c r="L5284" s="7"/>
      <c r="M5284" s="5"/>
      <c r="N5284" s="5"/>
      <c r="O5284" s="5"/>
    </row>
    <row r="5285">
      <c r="A5285" s="6"/>
      <c r="C5285" s="6"/>
      <c r="L5285" s="7"/>
      <c r="M5285" s="5"/>
      <c r="N5285" s="5"/>
      <c r="O5285" s="5"/>
    </row>
    <row r="5286">
      <c r="A5286" s="6"/>
      <c r="C5286" s="6"/>
      <c r="L5286" s="7"/>
      <c r="M5286" s="5"/>
      <c r="N5286" s="5"/>
      <c r="O5286" s="5"/>
    </row>
    <row r="5287">
      <c r="A5287" s="6"/>
      <c r="C5287" s="6"/>
      <c r="L5287" s="7"/>
      <c r="M5287" s="5"/>
      <c r="N5287" s="5"/>
      <c r="O5287" s="5"/>
    </row>
    <row r="5288">
      <c r="A5288" s="6"/>
      <c r="C5288" s="6"/>
      <c r="L5288" s="7"/>
      <c r="M5288" s="5"/>
      <c r="N5288" s="5"/>
      <c r="O5288" s="5"/>
    </row>
    <row r="5289">
      <c r="A5289" s="6"/>
      <c r="C5289" s="6"/>
      <c r="L5289" s="7"/>
      <c r="M5289" s="5"/>
      <c r="N5289" s="5"/>
      <c r="O5289" s="5"/>
    </row>
    <row r="5290">
      <c r="A5290" s="6"/>
      <c r="C5290" s="6"/>
      <c r="L5290" s="7"/>
      <c r="M5290" s="5"/>
      <c r="N5290" s="5"/>
      <c r="O5290" s="5"/>
    </row>
    <row r="5291">
      <c r="A5291" s="6"/>
      <c r="C5291" s="6"/>
      <c r="L5291" s="7"/>
      <c r="M5291" s="5"/>
      <c r="N5291" s="5"/>
      <c r="O5291" s="5"/>
    </row>
    <row r="5292">
      <c r="A5292" s="6"/>
      <c r="C5292" s="6"/>
      <c r="L5292" s="7"/>
      <c r="M5292" s="5"/>
      <c r="N5292" s="5"/>
      <c r="O5292" s="5"/>
    </row>
    <row r="5293">
      <c r="A5293" s="6"/>
      <c r="C5293" s="6"/>
      <c r="L5293" s="7"/>
      <c r="M5293" s="5"/>
      <c r="N5293" s="5"/>
      <c r="O5293" s="5"/>
    </row>
    <row r="5294">
      <c r="A5294" s="6"/>
      <c r="C5294" s="6"/>
      <c r="L5294" s="7"/>
      <c r="M5294" s="5"/>
      <c r="N5294" s="5"/>
      <c r="O5294" s="5"/>
    </row>
    <row r="5295">
      <c r="A5295" s="6"/>
      <c r="C5295" s="6"/>
      <c r="L5295" s="7"/>
      <c r="M5295" s="5"/>
      <c r="N5295" s="5"/>
      <c r="O5295" s="5"/>
    </row>
    <row r="5296">
      <c r="A5296" s="6"/>
      <c r="C5296" s="6"/>
      <c r="L5296" s="7"/>
      <c r="M5296" s="5"/>
      <c r="N5296" s="5"/>
      <c r="O5296" s="5"/>
    </row>
    <row r="5297">
      <c r="A5297" s="6"/>
      <c r="C5297" s="6"/>
      <c r="L5297" s="7"/>
      <c r="M5297" s="5"/>
      <c r="N5297" s="5"/>
      <c r="O5297" s="5"/>
    </row>
    <row r="5298">
      <c r="A5298" s="6"/>
      <c r="C5298" s="6"/>
      <c r="L5298" s="7"/>
      <c r="M5298" s="5"/>
      <c r="N5298" s="5"/>
      <c r="O5298" s="5"/>
    </row>
    <row r="5299">
      <c r="A5299" s="6"/>
      <c r="C5299" s="6"/>
      <c r="L5299" s="7"/>
      <c r="M5299" s="5"/>
      <c r="N5299" s="5"/>
      <c r="O5299" s="5"/>
    </row>
    <row r="5300">
      <c r="A5300" s="6"/>
      <c r="C5300" s="6"/>
      <c r="L5300" s="7"/>
      <c r="M5300" s="5"/>
      <c r="N5300" s="5"/>
      <c r="O5300" s="5"/>
    </row>
    <row r="5301">
      <c r="A5301" s="6"/>
      <c r="C5301" s="6"/>
      <c r="L5301" s="7"/>
      <c r="M5301" s="5"/>
      <c r="N5301" s="5"/>
      <c r="O5301" s="5"/>
    </row>
    <row r="5302">
      <c r="A5302" s="6"/>
      <c r="C5302" s="6"/>
      <c r="L5302" s="7"/>
      <c r="M5302" s="5"/>
      <c r="N5302" s="5"/>
      <c r="O5302" s="5"/>
    </row>
    <row r="5303">
      <c r="A5303" s="6"/>
      <c r="C5303" s="6"/>
      <c r="L5303" s="7"/>
      <c r="M5303" s="5"/>
      <c r="N5303" s="5"/>
      <c r="O5303" s="5"/>
    </row>
    <row r="5304">
      <c r="A5304" s="6"/>
      <c r="C5304" s="6"/>
      <c r="L5304" s="7"/>
      <c r="M5304" s="5"/>
      <c r="N5304" s="5"/>
      <c r="O5304" s="5"/>
    </row>
    <row r="5305">
      <c r="A5305" s="6"/>
      <c r="C5305" s="6"/>
      <c r="L5305" s="7"/>
      <c r="M5305" s="5"/>
      <c r="N5305" s="5"/>
      <c r="O5305" s="5"/>
    </row>
    <row r="5306">
      <c r="A5306" s="6"/>
      <c r="C5306" s="6"/>
      <c r="L5306" s="7"/>
      <c r="M5306" s="5"/>
      <c r="N5306" s="5"/>
      <c r="O5306" s="5"/>
    </row>
    <row r="5307">
      <c r="A5307" s="6"/>
      <c r="C5307" s="6"/>
      <c r="L5307" s="7"/>
      <c r="M5307" s="5"/>
      <c r="N5307" s="5"/>
      <c r="O5307" s="5"/>
    </row>
    <row r="5308">
      <c r="A5308" s="6"/>
      <c r="C5308" s="6"/>
      <c r="L5308" s="7"/>
      <c r="M5308" s="5"/>
      <c r="N5308" s="5"/>
      <c r="O5308" s="5"/>
    </row>
    <row r="5309">
      <c r="A5309" s="6"/>
      <c r="C5309" s="6"/>
      <c r="L5309" s="7"/>
      <c r="M5309" s="5"/>
      <c r="N5309" s="5"/>
      <c r="O5309" s="5"/>
    </row>
    <row r="5310">
      <c r="A5310" s="6"/>
      <c r="C5310" s="6"/>
      <c r="L5310" s="7"/>
      <c r="M5310" s="5"/>
      <c r="N5310" s="5"/>
      <c r="O5310" s="5"/>
    </row>
    <row r="5311">
      <c r="A5311" s="6"/>
      <c r="C5311" s="6"/>
      <c r="L5311" s="7"/>
      <c r="M5311" s="5"/>
      <c r="N5311" s="5"/>
      <c r="O5311" s="5"/>
    </row>
    <row r="5312">
      <c r="A5312" s="6"/>
      <c r="C5312" s="6"/>
      <c r="L5312" s="7"/>
      <c r="M5312" s="5"/>
      <c r="N5312" s="5"/>
      <c r="O5312" s="5"/>
    </row>
    <row r="5313">
      <c r="A5313" s="6"/>
      <c r="C5313" s="6"/>
      <c r="L5313" s="7"/>
      <c r="M5313" s="5"/>
      <c r="N5313" s="5"/>
      <c r="O5313" s="5"/>
    </row>
    <row r="5314">
      <c r="A5314" s="6"/>
      <c r="C5314" s="6"/>
      <c r="L5314" s="7"/>
      <c r="M5314" s="5"/>
      <c r="N5314" s="5"/>
      <c r="O5314" s="5"/>
    </row>
    <row r="5315">
      <c r="A5315" s="6"/>
      <c r="C5315" s="6"/>
      <c r="L5315" s="7"/>
      <c r="M5315" s="5"/>
      <c r="N5315" s="5"/>
      <c r="O5315" s="5"/>
    </row>
    <row r="5316">
      <c r="A5316" s="6"/>
      <c r="C5316" s="6"/>
      <c r="L5316" s="7"/>
      <c r="M5316" s="5"/>
      <c r="N5316" s="5"/>
      <c r="O5316" s="5"/>
    </row>
    <row r="5317">
      <c r="A5317" s="6"/>
      <c r="C5317" s="6"/>
      <c r="L5317" s="7"/>
      <c r="M5317" s="5"/>
      <c r="N5317" s="5"/>
      <c r="O5317" s="5"/>
    </row>
    <row r="5318">
      <c r="A5318" s="6"/>
      <c r="C5318" s="6"/>
      <c r="L5318" s="7"/>
      <c r="M5318" s="5"/>
      <c r="N5318" s="5"/>
      <c r="O5318" s="5"/>
    </row>
    <row r="5319">
      <c r="A5319" s="6"/>
      <c r="C5319" s="6"/>
      <c r="L5319" s="7"/>
      <c r="M5319" s="5"/>
      <c r="N5319" s="5"/>
      <c r="O5319" s="5"/>
    </row>
    <row r="5320">
      <c r="A5320" s="6"/>
      <c r="C5320" s="6"/>
      <c r="L5320" s="7"/>
      <c r="M5320" s="5"/>
      <c r="N5320" s="5"/>
      <c r="O5320" s="5"/>
    </row>
    <row r="5321">
      <c r="A5321" s="6"/>
      <c r="C5321" s="6"/>
      <c r="L5321" s="7"/>
      <c r="M5321" s="5"/>
      <c r="N5321" s="5"/>
      <c r="O5321" s="5"/>
    </row>
    <row r="5322">
      <c r="A5322" s="6"/>
      <c r="C5322" s="6"/>
      <c r="L5322" s="7"/>
      <c r="M5322" s="5"/>
      <c r="N5322" s="5"/>
      <c r="O5322" s="5"/>
    </row>
    <row r="5323">
      <c r="A5323" s="6"/>
      <c r="C5323" s="6"/>
      <c r="L5323" s="7"/>
      <c r="M5323" s="5"/>
      <c r="N5323" s="5"/>
      <c r="O5323" s="5"/>
    </row>
    <row r="5324">
      <c r="A5324" s="6"/>
      <c r="C5324" s="6"/>
      <c r="L5324" s="7"/>
      <c r="M5324" s="5"/>
      <c r="N5324" s="5"/>
      <c r="O5324" s="5"/>
    </row>
    <row r="5325">
      <c r="A5325" s="6"/>
      <c r="C5325" s="6"/>
      <c r="L5325" s="7"/>
      <c r="M5325" s="5"/>
      <c r="N5325" s="5"/>
      <c r="O5325" s="5"/>
    </row>
    <row r="5326">
      <c r="A5326" s="6"/>
      <c r="C5326" s="6"/>
      <c r="L5326" s="7"/>
      <c r="M5326" s="5"/>
      <c r="N5326" s="5"/>
      <c r="O5326" s="5"/>
    </row>
    <row r="5327">
      <c r="A5327" s="6"/>
      <c r="C5327" s="6"/>
      <c r="L5327" s="7"/>
      <c r="M5327" s="5"/>
      <c r="N5327" s="5"/>
      <c r="O5327" s="5"/>
    </row>
    <row r="5328">
      <c r="A5328" s="6"/>
      <c r="C5328" s="6"/>
      <c r="L5328" s="7"/>
      <c r="M5328" s="5"/>
      <c r="N5328" s="5"/>
      <c r="O5328" s="5"/>
    </row>
    <row r="5329">
      <c r="A5329" s="6"/>
      <c r="C5329" s="6"/>
      <c r="L5329" s="7"/>
      <c r="M5329" s="5"/>
      <c r="N5329" s="5"/>
      <c r="O5329" s="5"/>
    </row>
    <row r="5330">
      <c r="A5330" s="6"/>
      <c r="C5330" s="6"/>
      <c r="L5330" s="7"/>
      <c r="M5330" s="5"/>
      <c r="N5330" s="5"/>
      <c r="O5330" s="5"/>
    </row>
    <row r="5331">
      <c r="A5331" s="6"/>
      <c r="C5331" s="6"/>
      <c r="L5331" s="7"/>
      <c r="M5331" s="5"/>
      <c r="N5331" s="5"/>
      <c r="O5331" s="5"/>
    </row>
    <row r="5332">
      <c r="A5332" s="6"/>
      <c r="C5332" s="6"/>
      <c r="L5332" s="7"/>
      <c r="M5332" s="5"/>
      <c r="N5332" s="5"/>
      <c r="O5332" s="5"/>
    </row>
    <row r="5333">
      <c r="A5333" s="6"/>
      <c r="C5333" s="6"/>
      <c r="L5333" s="7"/>
      <c r="M5333" s="5"/>
      <c r="N5333" s="5"/>
      <c r="O5333" s="5"/>
    </row>
    <row r="5334">
      <c r="A5334" s="6"/>
      <c r="C5334" s="6"/>
      <c r="L5334" s="7"/>
      <c r="M5334" s="5"/>
      <c r="N5334" s="5"/>
      <c r="O5334" s="5"/>
    </row>
    <row r="5335">
      <c r="A5335" s="6"/>
      <c r="C5335" s="6"/>
      <c r="L5335" s="7"/>
      <c r="M5335" s="5"/>
      <c r="N5335" s="5"/>
      <c r="O5335" s="5"/>
    </row>
    <row r="5336">
      <c r="A5336" s="6"/>
      <c r="C5336" s="6"/>
      <c r="L5336" s="7"/>
      <c r="M5336" s="5"/>
      <c r="N5336" s="5"/>
      <c r="O5336" s="5"/>
    </row>
    <row r="5337">
      <c r="A5337" s="6"/>
      <c r="C5337" s="6"/>
      <c r="L5337" s="7"/>
      <c r="M5337" s="5"/>
      <c r="N5337" s="5"/>
      <c r="O5337" s="5"/>
    </row>
    <row r="5338">
      <c r="A5338" s="6"/>
      <c r="C5338" s="6"/>
      <c r="L5338" s="7"/>
      <c r="M5338" s="5"/>
      <c r="N5338" s="5"/>
      <c r="O5338" s="5"/>
    </row>
    <row r="5339">
      <c r="A5339" s="6"/>
      <c r="C5339" s="6"/>
      <c r="L5339" s="7"/>
      <c r="M5339" s="5"/>
      <c r="N5339" s="5"/>
      <c r="O5339" s="5"/>
    </row>
    <row r="5340">
      <c r="A5340" s="6"/>
      <c r="C5340" s="6"/>
      <c r="L5340" s="7"/>
      <c r="M5340" s="5"/>
      <c r="N5340" s="5"/>
      <c r="O5340" s="5"/>
    </row>
    <row r="5341">
      <c r="A5341" s="6"/>
      <c r="C5341" s="6"/>
      <c r="L5341" s="7"/>
      <c r="M5341" s="5"/>
      <c r="N5341" s="5"/>
      <c r="O5341" s="5"/>
    </row>
    <row r="5342">
      <c r="A5342" s="6"/>
      <c r="C5342" s="6"/>
      <c r="L5342" s="7"/>
      <c r="M5342" s="5"/>
      <c r="N5342" s="5"/>
      <c r="O5342" s="5"/>
    </row>
    <row r="5343">
      <c r="A5343" s="6"/>
      <c r="C5343" s="6"/>
      <c r="L5343" s="7"/>
      <c r="M5343" s="5"/>
      <c r="N5343" s="5"/>
      <c r="O5343" s="5"/>
    </row>
    <row r="5344">
      <c r="A5344" s="6"/>
      <c r="C5344" s="6"/>
      <c r="L5344" s="7"/>
      <c r="M5344" s="5"/>
      <c r="N5344" s="5"/>
      <c r="O5344" s="5"/>
    </row>
    <row r="5345">
      <c r="A5345" s="6"/>
      <c r="C5345" s="6"/>
      <c r="L5345" s="7"/>
      <c r="M5345" s="5"/>
      <c r="N5345" s="5"/>
      <c r="O5345" s="5"/>
    </row>
    <row r="5346">
      <c r="A5346" s="6"/>
      <c r="C5346" s="6"/>
      <c r="L5346" s="7"/>
      <c r="M5346" s="5"/>
      <c r="N5346" s="5"/>
      <c r="O5346" s="5"/>
    </row>
    <row r="5347">
      <c r="A5347" s="6"/>
      <c r="C5347" s="6"/>
      <c r="L5347" s="7"/>
      <c r="M5347" s="5"/>
      <c r="N5347" s="5"/>
      <c r="O5347" s="5"/>
    </row>
    <row r="5348">
      <c r="A5348" s="6"/>
      <c r="C5348" s="6"/>
      <c r="L5348" s="7"/>
      <c r="M5348" s="5"/>
      <c r="N5348" s="5"/>
      <c r="O5348" s="5"/>
    </row>
    <row r="5349">
      <c r="A5349" s="6"/>
      <c r="C5349" s="6"/>
      <c r="L5349" s="7"/>
      <c r="M5349" s="5"/>
      <c r="N5349" s="5"/>
      <c r="O5349" s="5"/>
    </row>
    <row r="5350">
      <c r="A5350" s="6"/>
      <c r="C5350" s="6"/>
      <c r="L5350" s="7"/>
      <c r="M5350" s="5"/>
      <c r="N5350" s="5"/>
      <c r="O5350" s="5"/>
    </row>
    <row r="5351">
      <c r="A5351" s="6"/>
      <c r="C5351" s="6"/>
      <c r="L5351" s="7"/>
      <c r="M5351" s="5"/>
      <c r="N5351" s="5"/>
      <c r="O5351" s="5"/>
    </row>
    <row r="5352">
      <c r="A5352" s="6"/>
      <c r="C5352" s="6"/>
      <c r="L5352" s="7"/>
      <c r="M5352" s="5"/>
      <c r="N5352" s="5"/>
      <c r="O5352" s="5"/>
    </row>
    <row r="5353">
      <c r="A5353" s="6"/>
      <c r="C5353" s="6"/>
      <c r="L5353" s="7"/>
      <c r="M5353" s="5"/>
      <c r="N5353" s="5"/>
      <c r="O5353" s="5"/>
    </row>
    <row r="5354">
      <c r="A5354" s="6"/>
      <c r="C5354" s="6"/>
      <c r="L5354" s="7"/>
      <c r="M5354" s="5"/>
      <c r="N5354" s="5"/>
      <c r="O5354" s="5"/>
    </row>
    <row r="5355">
      <c r="A5355" s="6"/>
      <c r="C5355" s="6"/>
      <c r="L5355" s="7"/>
      <c r="M5355" s="5"/>
      <c r="N5355" s="5"/>
      <c r="O5355" s="5"/>
    </row>
    <row r="5356">
      <c r="A5356" s="6"/>
      <c r="C5356" s="6"/>
      <c r="L5356" s="7"/>
      <c r="M5356" s="5"/>
      <c r="N5356" s="5"/>
      <c r="O5356" s="5"/>
    </row>
    <row r="5357">
      <c r="A5357" s="6"/>
      <c r="C5357" s="6"/>
      <c r="L5357" s="7"/>
      <c r="M5357" s="5"/>
      <c r="N5357" s="5"/>
      <c r="O5357" s="5"/>
    </row>
    <row r="5358">
      <c r="A5358" s="6"/>
      <c r="C5358" s="6"/>
      <c r="L5358" s="7"/>
      <c r="M5358" s="5"/>
      <c r="N5358" s="5"/>
      <c r="O5358" s="5"/>
    </row>
    <row r="5359">
      <c r="A5359" s="6"/>
      <c r="C5359" s="6"/>
      <c r="L5359" s="7"/>
      <c r="M5359" s="5"/>
      <c r="N5359" s="5"/>
      <c r="O5359" s="5"/>
    </row>
    <row r="5360">
      <c r="A5360" s="6"/>
      <c r="C5360" s="6"/>
      <c r="L5360" s="7"/>
      <c r="M5360" s="5"/>
      <c r="N5360" s="5"/>
      <c r="O5360" s="5"/>
    </row>
    <row r="5361">
      <c r="A5361" s="6"/>
      <c r="C5361" s="6"/>
      <c r="L5361" s="7"/>
      <c r="M5361" s="5"/>
      <c r="N5361" s="5"/>
      <c r="O5361" s="5"/>
    </row>
    <row r="5362">
      <c r="A5362" s="6"/>
      <c r="C5362" s="6"/>
      <c r="L5362" s="7"/>
      <c r="M5362" s="5"/>
      <c r="N5362" s="5"/>
      <c r="O5362" s="5"/>
    </row>
    <row r="5363">
      <c r="A5363" s="6"/>
      <c r="C5363" s="6"/>
      <c r="L5363" s="7"/>
      <c r="M5363" s="5"/>
      <c r="N5363" s="5"/>
      <c r="O5363" s="5"/>
    </row>
    <row r="5364">
      <c r="A5364" s="6"/>
      <c r="C5364" s="6"/>
      <c r="L5364" s="7"/>
      <c r="M5364" s="5"/>
      <c r="N5364" s="5"/>
      <c r="O5364" s="5"/>
    </row>
    <row r="5365">
      <c r="A5365" s="6"/>
      <c r="C5365" s="6"/>
      <c r="L5365" s="7"/>
      <c r="M5365" s="5"/>
      <c r="N5365" s="5"/>
      <c r="O5365" s="5"/>
    </row>
    <row r="5366">
      <c r="A5366" s="6"/>
      <c r="C5366" s="6"/>
      <c r="L5366" s="7"/>
      <c r="M5366" s="5"/>
      <c r="N5366" s="5"/>
      <c r="O5366" s="5"/>
    </row>
    <row r="5367">
      <c r="A5367" s="6"/>
      <c r="C5367" s="6"/>
      <c r="L5367" s="7"/>
      <c r="M5367" s="5"/>
      <c r="N5367" s="5"/>
      <c r="O5367" s="5"/>
    </row>
    <row r="5368">
      <c r="A5368" s="6"/>
      <c r="C5368" s="6"/>
      <c r="L5368" s="7"/>
      <c r="M5368" s="5"/>
      <c r="N5368" s="5"/>
      <c r="O5368" s="5"/>
    </row>
    <row r="5369">
      <c r="A5369" s="6"/>
      <c r="C5369" s="6"/>
      <c r="L5369" s="7"/>
      <c r="M5369" s="5"/>
      <c r="N5369" s="5"/>
      <c r="O5369" s="5"/>
    </row>
    <row r="5370">
      <c r="A5370" s="6"/>
      <c r="C5370" s="6"/>
      <c r="L5370" s="7"/>
      <c r="M5370" s="5"/>
      <c r="N5370" s="5"/>
      <c r="O5370" s="5"/>
    </row>
    <row r="5371">
      <c r="A5371" s="6"/>
      <c r="C5371" s="6"/>
      <c r="L5371" s="7"/>
      <c r="M5371" s="5"/>
      <c r="N5371" s="5"/>
      <c r="O5371" s="5"/>
    </row>
    <row r="5372">
      <c r="A5372" s="6"/>
      <c r="C5372" s="6"/>
      <c r="L5372" s="7"/>
      <c r="M5372" s="5"/>
      <c r="N5372" s="5"/>
      <c r="O5372" s="5"/>
    </row>
    <row r="5373">
      <c r="A5373" s="6"/>
      <c r="C5373" s="6"/>
      <c r="L5373" s="7"/>
      <c r="M5373" s="5"/>
      <c r="N5373" s="5"/>
      <c r="O5373" s="5"/>
    </row>
    <row r="5374">
      <c r="A5374" s="6"/>
      <c r="C5374" s="6"/>
      <c r="L5374" s="7"/>
      <c r="M5374" s="5"/>
      <c r="N5374" s="5"/>
      <c r="O5374" s="5"/>
    </row>
    <row r="5375">
      <c r="A5375" s="6"/>
      <c r="C5375" s="6"/>
      <c r="L5375" s="7"/>
      <c r="M5375" s="5"/>
      <c r="N5375" s="5"/>
      <c r="O5375" s="5"/>
    </row>
    <row r="5376">
      <c r="A5376" s="6"/>
      <c r="C5376" s="6"/>
      <c r="L5376" s="7"/>
      <c r="M5376" s="5"/>
      <c r="N5376" s="5"/>
      <c r="O5376" s="5"/>
    </row>
    <row r="5377">
      <c r="A5377" s="6"/>
      <c r="C5377" s="6"/>
      <c r="L5377" s="7"/>
      <c r="M5377" s="5"/>
      <c r="N5377" s="5"/>
      <c r="O5377" s="5"/>
    </row>
    <row r="5378">
      <c r="A5378" s="6"/>
      <c r="C5378" s="6"/>
      <c r="L5378" s="7"/>
      <c r="M5378" s="5"/>
      <c r="N5378" s="5"/>
      <c r="O5378" s="5"/>
    </row>
    <row r="5379">
      <c r="A5379" s="6"/>
      <c r="C5379" s="6"/>
      <c r="L5379" s="7"/>
      <c r="M5379" s="5"/>
      <c r="N5379" s="5"/>
      <c r="O5379" s="5"/>
    </row>
    <row r="5380">
      <c r="A5380" s="6"/>
      <c r="C5380" s="6"/>
      <c r="L5380" s="7"/>
      <c r="M5380" s="5"/>
      <c r="N5380" s="5"/>
      <c r="O5380" s="5"/>
    </row>
    <row r="5381">
      <c r="A5381" s="6"/>
      <c r="C5381" s="6"/>
      <c r="L5381" s="7"/>
      <c r="M5381" s="5"/>
      <c r="N5381" s="5"/>
      <c r="O5381" s="5"/>
    </row>
    <row r="5382">
      <c r="A5382" s="6"/>
      <c r="C5382" s="6"/>
      <c r="L5382" s="7"/>
      <c r="M5382" s="5"/>
      <c r="N5382" s="5"/>
      <c r="O5382" s="5"/>
    </row>
    <row r="5383">
      <c r="A5383" s="6"/>
      <c r="C5383" s="6"/>
      <c r="L5383" s="7"/>
      <c r="M5383" s="5"/>
      <c r="N5383" s="5"/>
      <c r="O5383" s="5"/>
    </row>
    <row r="5384">
      <c r="A5384" s="6"/>
      <c r="C5384" s="6"/>
      <c r="L5384" s="7"/>
      <c r="M5384" s="5"/>
      <c r="N5384" s="5"/>
      <c r="O5384" s="5"/>
    </row>
    <row r="5385">
      <c r="A5385" s="6"/>
      <c r="C5385" s="6"/>
      <c r="L5385" s="7"/>
      <c r="M5385" s="5"/>
      <c r="N5385" s="5"/>
      <c r="O5385" s="5"/>
    </row>
    <row r="5386">
      <c r="A5386" s="6"/>
      <c r="C5386" s="6"/>
      <c r="L5386" s="7"/>
      <c r="M5386" s="5"/>
      <c r="N5386" s="5"/>
      <c r="O5386" s="5"/>
    </row>
    <row r="5387">
      <c r="A5387" s="6"/>
      <c r="C5387" s="6"/>
      <c r="L5387" s="7"/>
      <c r="M5387" s="5"/>
      <c r="N5387" s="5"/>
      <c r="O5387" s="5"/>
    </row>
    <row r="5388">
      <c r="A5388" s="6"/>
      <c r="C5388" s="6"/>
      <c r="L5388" s="7"/>
      <c r="M5388" s="5"/>
      <c r="N5388" s="5"/>
      <c r="O5388" s="5"/>
    </row>
    <row r="5389">
      <c r="A5389" s="6"/>
      <c r="C5389" s="6"/>
      <c r="L5389" s="7"/>
      <c r="M5389" s="5"/>
      <c r="N5389" s="5"/>
      <c r="O5389" s="5"/>
    </row>
    <row r="5390">
      <c r="A5390" s="6"/>
      <c r="C5390" s="6"/>
      <c r="L5390" s="7"/>
      <c r="M5390" s="5"/>
      <c r="N5390" s="5"/>
      <c r="O5390" s="5"/>
    </row>
    <row r="5391">
      <c r="A5391" s="6"/>
      <c r="C5391" s="6"/>
      <c r="L5391" s="7"/>
      <c r="M5391" s="5"/>
      <c r="N5391" s="5"/>
      <c r="O5391" s="5"/>
    </row>
    <row r="5392">
      <c r="A5392" s="6"/>
      <c r="C5392" s="6"/>
      <c r="L5392" s="7"/>
      <c r="M5392" s="5"/>
      <c r="N5392" s="5"/>
      <c r="O5392" s="5"/>
    </row>
    <row r="5393">
      <c r="A5393" s="6"/>
      <c r="C5393" s="6"/>
      <c r="L5393" s="7"/>
      <c r="M5393" s="5"/>
      <c r="N5393" s="5"/>
      <c r="O5393" s="5"/>
    </row>
    <row r="5394">
      <c r="A5394" s="6"/>
      <c r="C5394" s="6"/>
      <c r="L5394" s="7"/>
      <c r="M5394" s="5"/>
      <c r="N5394" s="5"/>
      <c r="O5394" s="5"/>
    </row>
    <row r="5395">
      <c r="A5395" s="6"/>
      <c r="C5395" s="6"/>
      <c r="L5395" s="7"/>
      <c r="M5395" s="5"/>
      <c r="N5395" s="5"/>
      <c r="O5395" s="5"/>
    </row>
    <row r="5396">
      <c r="A5396" s="6"/>
      <c r="C5396" s="6"/>
      <c r="L5396" s="7"/>
      <c r="M5396" s="5"/>
      <c r="N5396" s="5"/>
      <c r="O5396" s="5"/>
    </row>
    <row r="5397">
      <c r="A5397" s="6"/>
      <c r="C5397" s="6"/>
      <c r="L5397" s="7"/>
      <c r="M5397" s="5"/>
      <c r="N5397" s="5"/>
      <c r="O5397" s="5"/>
    </row>
    <row r="5398">
      <c r="A5398" s="6"/>
      <c r="C5398" s="6"/>
      <c r="L5398" s="7"/>
      <c r="M5398" s="5"/>
      <c r="N5398" s="5"/>
      <c r="O5398" s="5"/>
    </row>
    <row r="5399">
      <c r="A5399" s="6"/>
      <c r="C5399" s="6"/>
      <c r="L5399" s="7"/>
      <c r="M5399" s="5"/>
      <c r="N5399" s="5"/>
      <c r="O5399" s="5"/>
    </row>
    <row r="5400">
      <c r="A5400" s="6"/>
      <c r="C5400" s="6"/>
      <c r="L5400" s="7"/>
      <c r="M5400" s="5"/>
      <c r="N5400" s="5"/>
      <c r="O5400" s="5"/>
    </row>
    <row r="5401">
      <c r="A5401" s="6"/>
      <c r="C5401" s="6"/>
      <c r="L5401" s="7"/>
      <c r="M5401" s="5"/>
      <c r="N5401" s="5"/>
      <c r="O5401" s="5"/>
    </row>
    <row r="5402">
      <c r="A5402" s="6"/>
      <c r="C5402" s="6"/>
      <c r="L5402" s="7"/>
      <c r="M5402" s="5"/>
      <c r="N5402" s="5"/>
      <c r="O5402" s="5"/>
    </row>
    <row r="5403">
      <c r="A5403" s="6"/>
      <c r="C5403" s="6"/>
      <c r="L5403" s="7"/>
      <c r="M5403" s="5"/>
      <c r="N5403" s="5"/>
      <c r="O5403" s="5"/>
    </row>
    <row r="5404">
      <c r="A5404" s="6"/>
      <c r="C5404" s="6"/>
      <c r="L5404" s="7"/>
      <c r="M5404" s="5"/>
      <c r="N5404" s="5"/>
      <c r="O5404" s="5"/>
    </row>
    <row r="5405">
      <c r="A5405" s="6"/>
      <c r="C5405" s="6"/>
      <c r="L5405" s="7"/>
      <c r="M5405" s="5"/>
      <c r="N5405" s="5"/>
      <c r="O5405" s="5"/>
    </row>
    <row r="5406">
      <c r="A5406" s="6"/>
      <c r="C5406" s="6"/>
      <c r="L5406" s="7"/>
      <c r="M5406" s="5"/>
      <c r="N5406" s="5"/>
      <c r="O5406" s="5"/>
    </row>
    <row r="5407">
      <c r="A5407" s="6"/>
      <c r="C5407" s="6"/>
      <c r="L5407" s="7"/>
      <c r="M5407" s="5"/>
      <c r="N5407" s="5"/>
      <c r="O5407" s="5"/>
    </row>
    <row r="5408">
      <c r="A5408" s="6"/>
      <c r="C5408" s="6"/>
      <c r="L5408" s="7"/>
      <c r="M5408" s="5"/>
      <c r="N5408" s="5"/>
      <c r="O5408" s="5"/>
    </row>
    <row r="5409">
      <c r="A5409" s="6"/>
      <c r="C5409" s="6"/>
      <c r="L5409" s="7"/>
      <c r="M5409" s="5"/>
      <c r="N5409" s="5"/>
      <c r="O5409" s="5"/>
    </row>
    <row r="5410">
      <c r="A5410" s="6"/>
      <c r="C5410" s="6"/>
      <c r="L5410" s="7"/>
      <c r="M5410" s="5"/>
      <c r="N5410" s="5"/>
      <c r="O5410" s="5"/>
    </row>
    <row r="5411">
      <c r="A5411" s="6"/>
      <c r="C5411" s="6"/>
      <c r="L5411" s="7"/>
      <c r="M5411" s="5"/>
      <c r="N5411" s="5"/>
      <c r="O5411" s="5"/>
    </row>
    <row r="5412">
      <c r="A5412" s="6"/>
      <c r="C5412" s="6"/>
      <c r="L5412" s="7"/>
      <c r="M5412" s="5"/>
      <c r="N5412" s="5"/>
      <c r="O5412" s="5"/>
    </row>
    <row r="5413">
      <c r="A5413" s="6"/>
      <c r="C5413" s="6"/>
      <c r="L5413" s="7"/>
      <c r="M5413" s="5"/>
      <c r="N5413" s="5"/>
      <c r="O5413" s="5"/>
    </row>
    <row r="5414">
      <c r="A5414" s="6"/>
      <c r="C5414" s="6"/>
      <c r="L5414" s="7"/>
      <c r="M5414" s="5"/>
      <c r="N5414" s="5"/>
      <c r="O5414" s="5"/>
    </row>
    <row r="5415">
      <c r="A5415" s="6"/>
      <c r="C5415" s="6"/>
      <c r="L5415" s="7"/>
      <c r="M5415" s="5"/>
      <c r="N5415" s="5"/>
      <c r="O5415" s="5"/>
    </row>
    <row r="5416">
      <c r="A5416" s="6"/>
      <c r="C5416" s="6"/>
      <c r="L5416" s="7"/>
      <c r="M5416" s="5"/>
      <c r="N5416" s="5"/>
      <c r="O5416" s="5"/>
    </row>
    <row r="5417">
      <c r="A5417" s="6"/>
      <c r="C5417" s="6"/>
      <c r="L5417" s="7"/>
      <c r="M5417" s="5"/>
      <c r="N5417" s="5"/>
      <c r="O5417" s="5"/>
    </row>
    <row r="5418">
      <c r="A5418" s="6"/>
      <c r="C5418" s="6"/>
      <c r="L5418" s="7"/>
      <c r="M5418" s="5"/>
      <c r="N5418" s="5"/>
      <c r="O5418" s="5"/>
    </row>
    <row r="5419">
      <c r="A5419" s="6"/>
      <c r="C5419" s="6"/>
      <c r="L5419" s="7"/>
      <c r="M5419" s="5"/>
      <c r="N5419" s="5"/>
      <c r="O5419" s="5"/>
    </row>
    <row r="5420">
      <c r="A5420" s="6"/>
      <c r="C5420" s="6"/>
      <c r="L5420" s="7"/>
      <c r="M5420" s="5"/>
      <c r="N5420" s="5"/>
      <c r="O5420" s="5"/>
    </row>
    <row r="5421">
      <c r="A5421" s="6"/>
      <c r="C5421" s="6"/>
      <c r="L5421" s="7"/>
      <c r="M5421" s="5"/>
      <c r="N5421" s="5"/>
      <c r="O5421" s="5"/>
    </row>
    <row r="5422">
      <c r="A5422" s="6"/>
      <c r="C5422" s="6"/>
      <c r="L5422" s="7"/>
      <c r="M5422" s="5"/>
      <c r="N5422" s="5"/>
      <c r="O5422" s="5"/>
    </row>
    <row r="5423">
      <c r="A5423" s="6"/>
      <c r="C5423" s="6"/>
      <c r="L5423" s="7"/>
      <c r="M5423" s="5"/>
      <c r="N5423" s="5"/>
      <c r="O5423" s="5"/>
    </row>
    <row r="5424">
      <c r="A5424" s="6"/>
      <c r="C5424" s="6"/>
      <c r="L5424" s="7"/>
      <c r="M5424" s="5"/>
      <c r="N5424" s="5"/>
      <c r="O5424" s="5"/>
    </row>
    <row r="5425">
      <c r="A5425" s="6"/>
      <c r="C5425" s="6"/>
      <c r="L5425" s="7"/>
      <c r="M5425" s="5"/>
      <c r="N5425" s="5"/>
      <c r="O5425" s="5"/>
    </row>
    <row r="5426">
      <c r="A5426" s="6"/>
      <c r="C5426" s="6"/>
      <c r="L5426" s="7"/>
      <c r="M5426" s="5"/>
      <c r="N5426" s="5"/>
      <c r="O5426" s="5"/>
    </row>
    <row r="5427">
      <c r="A5427" s="6"/>
      <c r="C5427" s="6"/>
      <c r="L5427" s="7"/>
      <c r="M5427" s="5"/>
      <c r="N5427" s="5"/>
      <c r="O5427" s="5"/>
    </row>
    <row r="5428">
      <c r="A5428" s="6"/>
      <c r="C5428" s="6"/>
      <c r="L5428" s="7"/>
      <c r="M5428" s="5"/>
      <c r="N5428" s="5"/>
      <c r="O5428" s="5"/>
    </row>
    <row r="5429">
      <c r="A5429" s="6"/>
      <c r="C5429" s="6"/>
      <c r="L5429" s="7"/>
      <c r="M5429" s="5"/>
      <c r="N5429" s="5"/>
      <c r="O5429" s="5"/>
    </row>
    <row r="5430">
      <c r="A5430" s="6"/>
      <c r="C5430" s="6"/>
      <c r="L5430" s="7"/>
      <c r="M5430" s="5"/>
      <c r="N5430" s="5"/>
      <c r="O5430" s="5"/>
    </row>
    <row r="5431">
      <c r="A5431" s="6"/>
      <c r="C5431" s="6"/>
      <c r="L5431" s="7"/>
      <c r="M5431" s="5"/>
      <c r="N5431" s="5"/>
      <c r="O5431" s="5"/>
    </row>
    <row r="5432">
      <c r="A5432" s="6"/>
      <c r="C5432" s="6"/>
      <c r="L5432" s="7"/>
      <c r="M5432" s="5"/>
      <c r="N5432" s="5"/>
      <c r="O5432" s="5"/>
    </row>
    <row r="5433">
      <c r="A5433" s="6"/>
      <c r="C5433" s="6"/>
      <c r="L5433" s="7"/>
      <c r="M5433" s="5"/>
      <c r="N5433" s="5"/>
      <c r="O5433" s="5"/>
    </row>
    <row r="5434">
      <c r="A5434" s="6"/>
      <c r="C5434" s="6"/>
      <c r="L5434" s="7"/>
      <c r="M5434" s="5"/>
      <c r="N5434" s="5"/>
      <c r="O5434" s="5"/>
    </row>
    <row r="5435">
      <c r="A5435" s="6"/>
      <c r="C5435" s="6"/>
      <c r="L5435" s="7"/>
      <c r="M5435" s="5"/>
      <c r="N5435" s="5"/>
      <c r="O5435" s="5"/>
    </row>
    <row r="5436">
      <c r="A5436" s="6"/>
      <c r="C5436" s="6"/>
      <c r="L5436" s="7"/>
      <c r="M5436" s="5"/>
      <c r="N5436" s="5"/>
      <c r="O5436" s="5"/>
    </row>
    <row r="5437">
      <c r="A5437" s="6"/>
      <c r="C5437" s="6"/>
      <c r="L5437" s="7"/>
      <c r="M5437" s="5"/>
      <c r="N5437" s="5"/>
      <c r="O5437" s="5"/>
    </row>
    <row r="5438">
      <c r="A5438" s="6"/>
      <c r="C5438" s="6"/>
      <c r="L5438" s="7"/>
      <c r="M5438" s="5"/>
      <c r="N5438" s="5"/>
      <c r="O5438" s="5"/>
    </row>
    <row r="5439">
      <c r="A5439" s="6"/>
      <c r="C5439" s="6"/>
      <c r="L5439" s="7"/>
      <c r="M5439" s="5"/>
      <c r="N5439" s="5"/>
      <c r="O5439" s="5"/>
    </row>
    <row r="5440">
      <c r="A5440" s="6"/>
      <c r="C5440" s="6"/>
      <c r="L5440" s="7"/>
      <c r="M5440" s="5"/>
      <c r="N5440" s="5"/>
      <c r="O5440" s="5"/>
    </row>
    <row r="5441">
      <c r="A5441" s="6"/>
      <c r="C5441" s="6"/>
      <c r="L5441" s="7"/>
      <c r="M5441" s="5"/>
      <c r="N5441" s="5"/>
      <c r="O5441" s="5"/>
    </row>
    <row r="5442">
      <c r="A5442" s="6"/>
      <c r="C5442" s="6"/>
      <c r="L5442" s="7"/>
      <c r="M5442" s="5"/>
      <c r="N5442" s="5"/>
      <c r="O5442" s="5"/>
    </row>
    <row r="5443">
      <c r="A5443" s="6"/>
      <c r="C5443" s="6"/>
      <c r="L5443" s="7"/>
      <c r="M5443" s="5"/>
      <c r="N5443" s="5"/>
      <c r="O5443" s="5"/>
    </row>
    <row r="5444">
      <c r="A5444" s="6"/>
      <c r="C5444" s="6"/>
      <c r="L5444" s="7"/>
      <c r="M5444" s="5"/>
      <c r="N5444" s="5"/>
      <c r="O5444" s="5"/>
    </row>
    <row r="5445">
      <c r="A5445" s="6"/>
      <c r="C5445" s="6"/>
      <c r="L5445" s="7"/>
      <c r="M5445" s="5"/>
      <c r="N5445" s="5"/>
      <c r="O5445" s="5"/>
    </row>
    <row r="5446">
      <c r="A5446" s="6"/>
      <c r="C5446" s="6"/>
      <c r="L5446" s="7"/>
      <c r="M5446" s="5"/>
      <c r="N5446" s="5"/>
      <c r="O5446" s="5"/>
    </row>
    <row r="5447">
      <c r="A5447" s="6"/>
      <c r="C5447" s="6"/>
      <c r="L5447" s="7"/>
      <c r="M5447" s="5"/>
      <c r="N5447" s="5"/>
      <c r="O5447" s="5"/>
    </row>
    <row r="5448">
      <c r="A5448" s="6"/>
      <c r="C5448" s="6"/>
      <c r="L5448" s="7"/>
      <c r="M5448" s="5"/>
      <c r="N5448" s="5"/>
      <c r="O5448" s="5"/>
    </row>
    <row r="5449">
      <c r="A5449" s="6"/>
      <c r="C5449" s="6"/>
      <c r="L5449" s="7"/>
      <c r="M5449" s="5"/>
      <c r="N5449" s="5"/>
      <c r="O5449" s="5"/>
    </row>
    <row r="5450">
      <c r="A5450" s="6"/>
      <c r="C5450" s="6"/>
      <c r="L5450" s="7"/>
      <c r="M5450" s="5"/>
      <c r="N5450" s="5"/>
      <c r="O5450" s="5"/>
    </row>
    <row r="5451">
      <c r="A5451" s="6"/>
      <c r="C5451" s="6"/>
      <c r="L5451" s="7"/>
      <c r="M5451" s="5"/>
      <c r="N5451" s="5"/>
      <c r="O5451" s="5"/>
    </row>
    <row r="5452">
      <c r="A5452" s="6"/>
      <c r="C5452" s="6"/>
      <c r="L5452" s="7"/>
      <c r="M5452" s="5"/>
      <c r="N5452" s="5"/>
      <c r="O5452" s="5"/>
    </row>
    <row r="5453">
      <c r="A5453" s="6"/>
      <c r="C5453" s="6"/>
      <c r="L5453" s="7"/>
      <c r="M5453" s="5"/>
      <c r="N5453" s="5"/>
      <c r="O5453" s="5"/>
    </row>
    <row r="5454">
      <c r="A5454" s="6"/>
      <c r="C5454" s="6"/>
      <c r="L5454" s="7"/>
      <c r="M5454" s="5"/>
      <c r="N5454" s="5"/>
      <c r="O5454" s="5"/>
    </row>
    <row r="5455">
      <c r="A5455" s="6"/>
      <c r="C5455" s="6"/>
      <c r="L5455" s="7"/>
      <c r="M5455" s="5"/>
      <c r="N5455" s="5"/>
      <c r="O5455" s="5"/>
    </row>
    <row r="5456">
      <c r="A5456" s="6"/>
      <c r="C5456" s="6"/>
      <c r="L5456" s="7"/>
      <c r="M5456" s="5"/>
      <c r="N5456" s="5"/>
      <c r="O5456" s="5"/>
    </row>
    <row r="5457">
      <c r="A5457" s="6"/>
      <c r="C5457" s="6"/>
      <c r="L5457" s="7"/>
      <c r="M5457" s="5"/>
      <c r="N5457" s="5"/>
      <c r="O5457" s="5"/>
    </row>
    <row r="5458">
      <c r="A5458" s="6"/>
      <c r="C5458" s="6"/>
      <c r="L5458" s="7"/>
      <c r="M5458" s="5"/>
      <c r="N5458" s="5"/>
      <c r="O5458" s="5"/>
    </row>
    <row r="5459">
      <c r="A5459" s="6"/>
      <c r="C5459" s="6"/>
      <c r="L5459" s="7"/>
      <c r="M5459" s="5"/>
      <c r="N5459" s="5"/>
      <c r="O5459" s="5"/>
    </row>
    <row r="5460">
      <c r="A5460" s="6"/>
      <c r="C5460" s="6"/>
      <c r="L5460" s="7"/>
      <c r="M5460" s="5"/>
      <c r="N5460" s="5"/>
      <c r="O5460" s="5"/>
    </row>
    <row r="5461">
      <c r="A5461" s="6"/>
      <c r="C5461" s="6"/>
      <c r="L5461" s="7"/>
      <c r="M5461" s="5"/>
      <c r="N5461" s="5"/>
      <c r="O5461" s="5"/>
    </row>
    <row r="5462">
      <c r="A5462" s="6"/>
      <c r="C5462" s="6"/>
      <c r="L5462" s="7"/>
      <c r="M5462" s="5"/>
      <c r="N5462" s="5"/>
      <c r="O5462" s="5"/>
    </row>
    <row r="5463">
      <c r="A5463" s="6"/>
      <c r="C5463" s="6"/>
      <c r="L5463" s="7"/>
      <c r="M5463" s="5"/>
      <c r="N5463" s="5"/>
      <c r="O5463" s="5"/>
    </row>
    <row r="5464">
      <c r="A5464" s="6"/>
      <c r="C5464" s="6"/>
      <c r="L5464" s="7"/>
      <c r="M5464" s="5"/>
      <c r="N5464" s="5"/>
      <c r="O5464" s="5"/>
    </row>
    <row r="5465">
      <c r="A5465" s="6"/>
      <c r="C5465" s="6"/>
      <c r="L5465" s="7"/>
      <c r="M5465" s="5"/>
      <c r="N5465" s="5"/>
      <c r="O5465" s="5"/>
    </row>
    <row r="5466">
      <c r="A5466" s="6"/>
      <c r="C5466" s="6"/>
      <c r="L5466" s="7"/>
      <c r="M5466" s="5"/>
      <c r="N5466" s="5"/>
      <c r="O5466" s="5"/>
    </row>
    <row r="5467">
      <c r="A5467" s="6"/>
      <c r="C5467" s="6"/>
      <c r="L5467" s="7"/>
      <c r="M5467" s="5"/>
      <c r="N5467" s="5"/>
      <c r="O5467" s="5"/>
    </row>
    <row r="5468">
      <c r="A5468" s="6"/>
      <c r="C5468" s="6"/>
      <c r="L5468" s="7"/>
      <c r="M5468" s="5"/>
      <c r="N5468" s="5"/>
      <c r="O5468" s="5"/>
    </row>
    <row r="5469">
      <c r="A5469" s="6"/>
      <c r="C5469" s="6"/>
      <c r="L5469" s="7"/>
      <c r="M5469" s="5"/>
      <c r="N5469" s="5"/>
      <c r="O5469" s="5"/>
    </row>
    <row r="5470">
      <c r="A5470" s="6"/>
      <c r="C5470" s="6"/>
      <c r="L5470" s="7"/>
      <c r="M5470" s="5"/>
      <c r="N5470" s="5"/>
      <c r="O5470" s="5"/>
    </row>
    <row r="5471">
      <c r="A5471" s="6"/>
      <c r="C5471" s="6"/>
      <c r="L5471" s="7"/>
      <c r="M5471" s="5"/>
      <c r="N5471" s="5"/>
      <c r="O5471" s="5"/>
    </row>
    <row r="5472">
      <c r="A5472" s="6"/>
      <c r="C5472" s="6"/>
      <c r="L5472" s="7"/>
      <c r="M5472" s="5"/>
      <c r="N5472" s="5"/>
      <c r="O5472" s="5"/>
    </row>
    <row r="5473">
      <c r="A5473" s="6"/>
      <c r="C5473" s="6"/>
      <c r="L5473" s="7"/>
      <c r="M5473" s="5"/>
      <c r="N5473" s="5"/>
      <c r="O5473" s="5"/>
    </row>
    <row r="5474">
      <c r="A5474" s="6"/>
      <c r="C5474" s="6"/>
      <c r="L5474" s="7"/>
      <c r="M5474" s="5"/>
      <c r="N5474" s="5"/>
      <c r="O5474" s="5"/>
    </row>
    <row r="5475">
      <c r="A5475" s="6"/>
      <c r="C5475" s="6"/>
      <c r="L5475" s="7"/>
      <c r="M5475" s="5"/>
      <c r="N5475" s="5"/>
      <c r="O5475" s="5"/>
    </row>
    <row r="5476">
      <c r="A5476" s="6"/>
      <c r="C5476" s="6"/>
      <c r="L5476" s="7"/>
      <c r="M5476" s="5"/>
      <c r="N5476" s="5"/>
      <c r="O5476" s="5"/>
    </row>
    <row r="5477">
      <c r="A5477" s="6"/>
      <c r="C5477" s="6"/>
      <c r="L5477" s="7"/>
      <c r="M5477" s="5"/>
      <c r="N5477" s="5"/>
      <c r="O5477" s="5"/>
    </row>
    <row r="5478">
      <c r="A5478" s="6"/>
      <c r="C5478" s="6"/>
      <c r="L5478" s="7"/>
      <c r="M5478" s="5"/>
      <c r="N5478" s="5"/>
      <c r="O5478" s="5"/>
    </row>
    <row r="5479">
      <c r="A5479" s="6"/>
      <c r="C5479" s="6"/>
      <c r="L5479" s="7"/>
      <c r="M5479" s="5"/>
      <c r="N5479" s="5"/>
      <c r="O5479" s="5"/>
    </row>
    <row r="5480">
      <c r="A5480" s="6"/>
      <c r="C5480" s="6"/>
      <c r="L5480" s="7"/>
      <c r="M5480" s="5"/>
      <c r="N5480" s="5"/>
      <c r="O5480" s="5"/>
    </row>
    <row r="5481">
      <c r="A5481" s="6"/>
      <c r="C5481" s="6"/>
      <c r="L5481" s="7"/>
      <c r="M5481" s="5"/>
      <c r="N5481" s="5"/>
      <c r="O5481" s="5"/>
    </row>
    <row r="5482">
      <c r="A5482" s="6"/>
      <c r="C5482" s="6"/>
      <c r="L5482" s="7"/>
      <c r="M5482" s="5"/>
      <c r="N5482" s="5"/>
      <c r="O5482" s="5"/>
    </row>
    <row r="5483">
      <c r="A5483" s="6"/>
      <c r="C5483" s="6"/>
      <c r="L5483" s="7"/>
      <c r="M5483" s="5"/>
      <c r="N5483" s="5"/>
      <c r="O5483" s="5"/>
    </row>
    <row r="5484">
      <c r="A5484" s="6"/>
      <c r="C5484" s="6"/>
      <c r="L5484" s="7"/>
      <c r="M5484" s="5"/>
      <c r="N5484" s="5"/>
      <c r="O5484" s="5"/>
    </row>
    <row r="5485">
      <c r="A5485" s="6"/>
      <c r="C5485" s="6"/>
      <c r="L5485" s="7"/>
      <c r="M5485" s="5"/>
      <c r="N5485" s="5"/>
      <c r="O5485" s="5"/>
    </row>
    <row r="5486">
      <c r="A5486" s="6"/>
      <c r="C5486" s="6"/>
      <c r="L5486" s="7"/>
      <c r="M5486" s="5"/>
      <c r="N5486" s="5"/>
      <c r="O5486" s="5"/>
    </row>
    <row r="5487">
      <c r="A5487" s="6"/>
      <c r="C5487" s="6"/>
      <c r="L5487" s="7"/>
      <c r="M5487" s="5"/>
      <c r="N5487" s="5"/>
      <c r="O5487" s="5"/>
    </row>
    <row r="5488">
      <c r="A5488" s="6"/>
      <c r="C5488" s="6"/>
      <c r="L5488" s="7"/>
      <c r="M5488" s="5"/>
      <c r="N5488" s="5"/>
      <c r="O5488" s="5"/>
    </row>
    <row r="5489">
      <c r="A5489" s="6"/>
      <c r="C5489" s="6"/>
      <c r="L5489" s="7"/>
      <c r="M5489" s="5"/>
      <c r="N5489" s="5"/>
      <c r="O5489" s="5"/>
    </row>
    <row r="5490">
      <c r="A5490" s="6"/>
      <c r="C5490" s="6"/>
      <c r="L5490" s="7"/>
      <c r="M5490" s="5"/>
      <c r="N5490" s="5"/>
      <c r="O5490" s="5"/>
    </row>
    <row r="5491">
      <c r="A5491" s="6"/>
      <c r="C5491" s="6"/>
      <c r="L5491" s="7"/>
      <c r="M5491" s="5"/>
      <c r="N5491" s="5"/>
      <c r="O5491" s="5"/>
    </row>
    <row r="5492">
      <c r="A5492" s="6"/>
      <c r="C5492" s="6"/>
      <c r="L5492" s="7"/>
      <c r="M5492" s="5"/>
      <c r="N5492" s="5"/>
      <c r="O5492" s="5"/>
    </row>
    <row r="5493">
      <c r="A5493" s="6"/>
      <c r="C5493" s="6"/>
      <c r="L5493" s="7"/>
      <c r="M5493" s="5"/>
      <c r="N5493" s="5"/>
      <c r="O5493" s="5"/>
    </row>
    <row r="5494">
      <c r="A5494" s="6"/>
      <c r="C5494" s="6"/>
      <c r="L5494" s="7"/>
      <c r="M5494" s="5"/>
      <c r="N5494" s="5"/>
      <c r="O5494" s="5"/>
    </row>
    <row r="5495">
      <c r="A5495" s="6"/>
      <c r="C5495" s="6"/>
      <c r="L5495" s="7"/>
      <c r="M5495" s="5"/>
      <c r="N5495" s="5"/>
      <c r="O5495" s="5"/>
    </row>
    <row r="5496">
      <c r="A5496" s="6"/>
      <c r="C5496" s="6"/>
      <c r="L5496" s="7"/>
      <c r="M5496" s="5"/>
      <c r="N5496" s="5"/>
      <c r="O5496" s="5"/>
    </row>
    <row r="5497">
      <c r="A5497" s="6"/>
      <c r="C5497" s="6"/>
      <c r="L5497" s="7"/>
      <c r="M5497" s="5"/>
      <c r="N5497" s="5"/>
      <c r="O5497" s="5"/>
    </row>
    <row r="5498">
      <c r="A5498" s="6"/>
      <c r="C5498" s="6"/>
      <c r="L5498" s="7"/>
      <c r="M5498" s="5"/>
      <c r="N5498" s="5"/>
      <c r="O5498" s="5"/>
    </row>
    <row r="5499">
      <c r="A5499" s="6"/>
      <c r="C5499" s="6"/>
      <c r="L5499" s="7"/>
      <c r="M5499" s="5"/>
      <c r="N5499" s="5"/>
      <c r="O5499" s="5"/>
    </row>
    <row r="5500">
      <c r="A5500" s="6"/>
      <c r="C5500" s="6"/>
      <c r="L5500" s="7"/>
      <c r="M5500" s="5"/>
      <c r="N5500" s="5"/>
      <c r="O5500" s="5"/>
    </row>
    <row r="5501">
      <c r="A5501" s="6"/>
      <c r="C5501" s="6"/>
      <c r="L5501" s="7"/>
      <c r="M5501" s="5"/>
      <c r="N5501" s="5"/>
      <c r="O5501" s="5"/>
    </row>
    <row r="5502">
      <c r="A5502" s="6"/>
      <c r="C5502" s="6"/>
      <c r="L5502" s="7"/>
      <c r="M5502" s="5"/>
      <c r="N5502" s="5"/>
      <c r="O5502" s="5"/>
    </row>
    <row r="5503">
      <c r="A5503" s="6"/>
      <c r="C5503" s="6"/>
      <c r="L5503" s="7"/>
      <c r="M5503" s="5"/>
      <c r="N5503" s="5"/>
      <c r="O5503" s="5"/>
    </row>
    <row r="5504">
      <c r="A5504" s="6"/>
      <c r="C5504" s="6"/>
      <c r="L5504" s="7"/>
      <c r="M5504" s="5"/>
      <c r="N5504" s="5"/>
      <c r="O5504" s="5"/>
    </row>
    <row r="5505">
      <c r="A5505" s="6"/>
      <c r="C5505" s="6"/>
      <c r="L5505" s="7"/>
      <c r="M5505" s="5"/>
      <c r="N5505" s="5"/>
      <c r="O5505" s="5"/>
    </row>
    <row r="5506">
      <c r="A5506" s="6"/>
      <c r="C5506" s="6"/>
      <c r="L5506" s="7"/>
      <c r="M5506" s="5"/>
      <c r="N5506" s="5"/>
      <c r="O5506" s="5"/>
    </row>
    <row r="5507">
      <c r="A5507" s="6"/>
      <c r="C5507" s="6"/>
      <c r="L5507" s="7"/>
      <c r="M5507" s="5"/>
      <c r="N5507" s="5"/>
      <c r="O5507" s="5"/>
    </row>
    <row r="5508">
      <c r="A5508" s="6"/>
      <c r="C5508" s="6"/>
      <c r="L5508" s="7"/>
      <c r="M5508" s="5"/>
      <c r="N5508" s="5"/>
      <c r="O5508" s="5"/>
    </row>
    <row r="5509">
      <c r="A5509" s="6"/>
      <c r="C5509" s="6"/>
      <c r="L5509" s="7"/>
      <c r="M5509" s="5"/>
      <c r="N5509" s="5"/>
      <c r="O5509" s="5"/>
    </row>
    <row r="5510">
      <c r="A5510" s="6"/>
      <c r="C5510" s="6"/>
      <c r="L5510" s="7"/>
      <c r="M5510" s="5"/>
      <c r="N5510" s="5"/>
      <c r="O5510" s="5"/>
    </row>
    <row r="5511">
      <c r="A5511" s="6"/>
      <c r="C5511" s="6"/>
      <c r="L5511" s="7"/>
      <c r="M5511" s="5"/>
      <c r="N5511" s="5"/>
      <c r="O5511" s="5"/>
    </row>
    <row r="5512">
      <c r="A5512" s="6"/>
      <c r="C5512" s="6"/>
      <c r="L5512" s="7"/>
      <c r="M5512" s="5"/>
      <c r="N5512" s="5"/>
      <c r="O5512" s="5"/>
    </row>
    <row r="5513">
      <c r="A5513" s="6"/>
      <c r="C5513" s="6"/>
      <c r="L5513" s="7"/>
      <c r="M5513" s="5"/>
      <c r="N5513" s="5"/>
      <c r="O5513" s="5"/>
    </row>
    <row r="5514">
      <c r="A5514" s="6"/>
      <c r="C5514" s="6"/>
      <c r="L5514" s="7"/>
      <c r="M5514" s="5"/>
      <c r="N5514" s="5"/>
      <c r="O5514" s="5"/>
    </row>
    <row r="5515">
      <c r="A5515" s="6"/>
      <c r="C5515" s="6"/>
      <c r="L5515" s="7"/>
      <c r="M5515" s="5"/>
      <c r="N5515" s="5"/>
      <c r="O5515" s="5"/>
    </row>
    <row r="5516">
      <c r="A5516" s="6"/>
      <c r="C5516" s="6"/>
      <c r="L5516" s="7"/>
      <c r="M5516" s="5"/>
      <c r="N5516" s="5"/>
      <c r="O5516" s="5"/>
    </row>
    <row r="5517">
      <c r="A5517" s="6"/>
      <c r="C5517" s="6"/>
      <c r="L5517" s="7"/>
      <c r="M5517" s="5"/>
      <c r="N5517" s="5"/>
      <c r="O5517" s="5"/>
    </row>
    <row r="5518">
      <c r="A5518" s="6"/>
      <c r="C5518" s="6"/>
      <c r="L5518" s="7"/>
      <c r="M5518" s="5"/>
      <c r="N5518" s="5"/>
      <c r="O5518" s="5"/>
    </row>
    <row r="5519">
      <c r="A5519" s="6"/>
      <c r="C5519" s="6"/>
      <c r="L5519" s="7"/>
      <c r="M5519" s="5"/>
      <c r="N5519" s="5"/>
      <c r="O5519" s="5"/>
    </row>
    <row r="5520">
      <c r="A5520" s="6"/>
      <c r="C5520" s="6"/>
      <c r="L5520" s="7"/>
      <c r="M5520" s="5"/>
      <c r="N5520" s="5"/>
      <c r="O5520" s="5"/>
    </row>
    <row r="5521">
      <c r="A5521" s="6"/>
      <c r="C5521" s="6"/>
      <c r="L5521" s="7"/>
      <c r="M5521" s="5"/>
      <c r="N5521" s="5"/>
      <c r="O5521" s="5"/>
    </row>
    <row r="5522">
      <c r="A5522" s="6"/>
      <c r="C5522" s="6"/>
      <c r="L5522" s="7"/>
      <c r="M5522" s="5"/>
      <c r="N5522" s="5"/>
      <c r="O5522" s="5"/>
    </row>
    <row r="5523">
      <c r="A5523" s="6"/>
      <c r="C5523" s="6"/>
      <c r="L5523" s="7"/>
      <c r="M5523" s="5"/>
      <c r="N5523" s="5"/>
      <c r="O5523" s="5"/>
    </row>
    <row r="5524">
      <c r="A5524" s="6"/>
      <c r="C5524" s="6"/>
      <c r="L5524" s="7"/>
      <c r="M5524" s="5"/>
      <c r="N5524" s="5"/>
      <c r="O5524" s="5"/>
    </row>
    <row r="5525">
      <c r="A5525" s="6"/>
      <c r="C5525" s="6"/>
      <c r="L5525" s="7"/>
      <c r="M5525" s="5"/>
      <c r="N5525" s="5"/>
      <c r="O5525" s="5"/>
    </row>
    <row r="5526">
      <c r="A5526" s="6"/>
      <c r="C5526" s="6"/>
      <c r="L5526" s="7"/>
      <c r="M5526" s="5"/>
      <c r="N5526" s="5"/>
      <c r="O5526" s="5"/>
    </row>
    <row r="5527">
      <c r="A5527" s="6"/>
      <c r="C5527" s="6"/>
      <c r="L5527" s="7"/>
      <c r="M5527" s="5"/>
      <c r="N5527" s="5"/>
      <c r="O5527" s="5"/>
    </row>
    <row r="5528">
      <c r="A5528" s="6"/>
      <c r="C5528" s="6"/>
      <c r="L5528" s="7"/>
      <c r="M5528" s="5"/>
      <c r="N5528" s="5"/>
      <c r="O5528" s="5"/>
    </row>
    <row r="5529">
      <c r="A5529" s="6"/>
      <c r="C5529" s="6"/>
      <c r="L5529" s="7"/>
      <c r="M5529" s="5"/>
      <c r="N5529" s="5"/>
      <c r="O5529" s="5"/>
    </row>
    <row r="5530">
      <c r="A5530" s="6"/>
      <c r="C5530" s="6"/>
      <c r="L5530" s="7"/>
      <c r="M5530" s="5"/>
      <c r="N5530" s="5"/>
      <c r="O5530" s="5"/>
    </row>
    <row r="5531">
      <c r="A5531" s="6"/>
      <c r="C5531" s="6"/>
      <c r="L5531" s="7"/>
      <c r="M5531" s="5"/>
      <c r="N5531" s="5"/>
      <c r="O5531" s="5"/>
    </row>
    <row r="5532">
      <c r="A5532" s="6"/>
      <c r="C5532" s="6"/>
      <c r="L5532" s="7"/>
      <c r="M5532" s="5"/>
      <c r="N5532" s="5"/>
      <c r="O5532" s="5"/>
    </row>
    <row r="5533">
      <c r="A5533" s="6"/>
      <c r="C5533" s="6"/>
      <c r="L5533" s="7"/>
      <c r="M5533" s="5"/>
      <c r="N5533" s="5"/>
      <c r="O5533" s="5"/>
    </row>
    <row r="5534">
      <c r="A5534" s="6"/>
      <c r="C5534" s="6"/>
      <c r="L5534" s="7"/>
      <c r="M5534" s="5"/>
      <c r="N5534" s="5"/>
      <c r="O5534" s="5"/>
    </row>
    <row r="5535">
      <c r="A5535" s="6"/>
      <c r="C5535" s="6"/>
      <c r="L5535" s="7"/>
      <c r="M5535" s="5"/>
      <c r="N5535" s="5"/>
      <c r="O5535" s="5"/>
    </row>
    <row r="5536">
      <c r="A5536" s="6"/>
      <c r="C5536" s="6"/>
      <c r="L5536" s="7"/>
      <c r="M5536" s="5"/>
      <c r="N5536" s="5"/>
      <c r="O5536" s="5"/>
    </row>
    <row r="5537">
      <c r="A5537" s="6"/>
      <c r="C5537" s="6"/>
      <c r="L5537" s="7"/>
      <c r="M5537" s="5"/>
      <c r="N5537" s="5"/>
      <c r="O5537" s="5"/>
    </row>
    <row r="5538">
      <c r="A5538" s="6"/>
      <c r="C5538" s="6"/>
      <c r="L5538" s="7"/>
      <c r="M5538" s="5"/>
      <c r="N5538" s="5"/>
      <c r="O5538" s="5"/>
    </row>
    <row r="5539">
      <c r="A5539" s="6"/>
      <c r="C5539" s="6"/>
      <c r="L5539" s="7"/>
      <c r="M5539" s="5"/>
      <c r="N5539" s="5"/>
      <c r="O5539" s="5"/>
    </row>
    <row r="5540">
      <c r="A5540" s="6"/>
      <c r="C5540" s="6"/>
      <c r="L5540" s="7"/>
      <c r="M5540" s="5"/>
      <c r="N5540" s="5"/>
      <c r="O5540" s="5"/>
    </row>
    <row r="5541">
      <c r="A5541" s="6"/>
      <c r="C5541" s="6"/>
      <c r="L5541" s="7"/>
      <c r="M5541" s="5"/>
      <c r="N5541" s="5"/>
      <c r="O5541" s="5"/>
    </row>
    <row r="5542">
      <c r="A5542" s="6"/>
      <c r="C5542" s="6"/>
      <c r="L5542" s="7"/>
      <c r="M5542" s="5"/>
      <c r="N5542" s="5"/>
      <c r="O5542" s="5"/>
    </row>
    <row r="5543">
      <c r="A5543" s="6"/>
      <c r="C5543" s="6"/>
      <c r="L5543" s="7"/>
      <c r="M5543" s="5"/>
      <c r="N5543" s="5"/>
      <c r="O5543" s="5"/>
    </row>
    <row r="5544">
      <c r="A5544" s="6"/>
      <c r="C5544" s="6"/>
      <c r="L5544" s="7"/>
      <c r="M5544" s="5"/>
      <c r="N5544" s="5"/>
      <c r="O5544" s="5"/>
    </row>
    <row r="5545">
      <c r="A5545" s="6"/>
      <c r="C5545" s="6"/>
      <c r="L5545" s="7"/>
      <c r="M5545" s="5"/>
      <c r="N5545" s="5"/>
      <c r="O5545" s="5"/>
    </row>
    <row r="5546">
      <c r="A5546" s="6"/>
      <c r="C5546" s="6"/>
      <c r="L5546" s="7"/>
      <c r="M5546" s="5"/>
      <c r="N5546" s="5"/>
      <c r="O5546" s="5"/>
    </row>
    <row r="5547">
      <c r="A5547" s="6"/>
      <c r="C5547" s="6"/>
      <c r="L5547" s="7"/>
      <c r="M5547" s="5"/>
      <c r="N5547" s="5"/>
      <c r="O5547" s="5"/>
    </row>
    <row r="5548">
      <c r="A5548" s="6"/>
      <c r="C5548" s="6"/>
      <c r="L5548" s="7"/>
      <c r="M5548" s="5"/>
      <c r="N5548" s="5"/>
      <c r="O5548" s="5"/>
    </row>
    <row r="5549">
      <c r="A5549" s="6"/>
      <c r="C5549" s="6"/>
      <c r="L5549" s="7"/>
      <c r="M5549" s="5"/>
      <c r="N5549" s="5"/>
      <c r="O5549" s="5"/>
    </row>
    <row r="5550">
      <c r="A5550" s="6"/>
      <c r="C5550" s="6"/>
      <c r="L5550" s="7"/>
      <c r="M5550" s="5"/>
      <c r="N5550" s="5"/>
      <c r="O5550" s="5"/>
    </row>
    <row r="5551">
      <c r="A5551" s="6"/>
      <c r="C5551" s="6"/>
      <c r="L5551" s="7"/>
      <c r="M5551" s="5"/>
      <c r="N5551" s="5"/>
      <c r="O5551" s="5"/>
    </row>
    <row r="5552">
      <c r="A5552" s="6"/>
      <c r="C5552" s="6"/>
      <c r="L5552" s="7"/>
      <c r="M5552" s="5"/>
      <c r="N5552" s="5"/>
      <c r="O5552" s="5"/>
    </row>
    <row r="5553">
      <c r="A5553" s="6"/>
      <c r="C5553" s="6"/>
      <c r="L5553" s="7"/>
      <c r="M5553" s="5"/>
      <c r="N5553" s="5"/>
      <c r="O5553" s="5"/>
    </row>
    <row r="5554">
      <c r="A5554" s="6"/>
      <c r="C5554" s="6"/>
      <c r="L5554" s="7"/>
      <c r="M5554" s="5"/>
      <c r="N5554" s="5"/>
      <c r="O5554" s="5"/>
    </row>
    <row r="5555">
      <c r="A5555" s="6"/>
      <c r="C5555" s="6"/>
      <c r="L5555" s="7"/>
      <c r="M5555" s="5"/>
      <c r="N5555" s="5"/>
      <c r="O5555" s="5"/>
    </row>
    <row r="5556">
      <c r="A5556" s="6"/>
      <c r="C5556" s="6"/>
      <c r="L5556" s="7"/>
      <c r="M5556" s="5"/>
      <c r="N5556" s="5"/>
      <c r="O5556" s="5"/>
    </row>
    <row r="5557">
      <c r="A5557" s="6"/>
      <c r="C5557" s="6"/>
      <c r="L5557" s="7"/>
      <c r="M5557" s="5"/>
      <c r="N5557" s="5"/>
      <c r="O5557" s="5"/>
    </row>
    <row r="5558">
      <c r="A5558" s="6"/>
      <c r="C5558" s="6"/>
      <c r="L5558" s="7"/>
      <c r="M5558" s="5"/>
      <c r="N5558" s="5"/>
      <c r="O5558" s="5"/>
    </row>
    <row r="5559">
      <c r="A5559" s="6"/>
      <c r="C5559" s="6"/>
      <c r="L5559" s="7"/>
      <c r="M5559" s="5"/>
      <c r="N5559" s="5"/>
      <c r="O5559" s="5"/>
    </row>
    <row r="5560">
      <c r="A5560" s="6"/>
      <c r="C5560" s="6"/>
      <c r="L5560" s="7"/>
      <c r="M5560" s="5"/>
      <c r="N5560" s="5"/>
      <c r="O5560" s="5"/>
    </row>
    <row r="5561">
      <c r="A5561" s="6"/>
      <c r="C5561" s="6"/>
      <c r="L5561" s="7"/>
      <c r="M5561" s="5"/>
      <c r="N5561" s="5"/>
      <c r="O5561" s="5"/>
    </row>
    <row r="5562">
      <c r="A5562" s="6"/>
      <c r="C5562" s="6"/>
      <c r="L5562" s="7"/>
      <c r="M5562" s="5"/>
      <c r="N5562" s="5"/>
      <c r="O5562" s="5"/>
    </row>
    <row r="5563">
      <c r="A5563" s="6"/>
      <c r="C5563" s="6"/>
      <c r="L5563" s="7"/>
      <c r="M5563" s="5"/>
      <c r="N5563" s="5"/>
      <c r="O5563" s="5"/>
    </row>
    <row r="5564">
      <c r="A5564" s="6"/>
      <c r="C5564" s="6"/>
      <c r="L5564" s="7"/>
      <c r="M5564" s="5"/>
      <c r="N5564" s="5"/>
      <c r="O5564" s="5"/>
    </row>
    <row r="5565">
      <c r="A5565" s="6"/>
      <c r="C5565" s="6"/>
      <c r="L5565" s="7"/>
      <c r="M5565" s="5"/>
      <c r="N5565" s="5"/>
      <c r="O5565" s="5"/>
    </row>
    <row r="5566">
      <c r="A5566" s="6"/>
      <c r="C5566" s="6"/>
      <c r="L5566" s="7"/>
      <c r="M5566" s="5"/>
      <c r="N5566" s="5"/>
      <c r="O5566" s="5"/>
    </row>
    <row r="5567">
      <c r="A5567" s="6"/>
      <c r="C5567" s="6"/>
      <c r="L5567" s="7"/>
      <c r="M5567" s="5"/>
      <c r="N5567" s="5"/>
      <c r="O5567" s="5"/>
    </row>
    <row r="5568">
      <c r="A5568" s="6"/>
      <c r="C5568" s="6"/>
      <c r="L5568" s="7"/>
      <c r="M5568" s="5"/>
      <c r="N5568" s="5"/>
      <c r="O5568" s="5"/>
    </row>
    <row r="5569">
      <c r="A5569" s="6"/>
      <c r="C5569" s="6"/>
      <c r="L5569" s="7"/>
      <c r="M5569" s="5"/>
      <c r="N5569" s="5"/>
      <c r="O5569" s="5"/>
    </row>
    <row r="5570">
      <c r="A5570" s="6"/>
      <c r="C5570" s="6"/>
      <c r="L5570" s="7"/>
      <c r="M5570" s="5"/>
      <c r="N5570" s="5"/>
      <c r="O5570" s="5"/>
    </row>
    <row r="5571">
      <c r="A5571" s="6"/>
      <c r="C5571" s="6"/>
      <c r="L5571" s="7"/>
      <c r="M5571" s="5"/>
      <c r="N5571" s="5"/>
      <c r="O5571" s="5"/>
    </row>
    <row r="5572">
      <c r="A5572" s="6"/>
      <c r="C5572" s="6"/>
      <c r="L5572" s="7"/>
      <c r="M5572" s="5"/>
      <c r="N5572" s="5"/>
      <c r="O5572" s="5"/>
    </row>
    <row r="5573">
      <c r="A5573" s="6"/>
      <c r="C5573" s="6"/>
      <c r="L5573" s="7"/>
      <c r="M5573" s="5"/>
      <c r="N5573" s="5"/>
      <c r="O5573" s="5"/>
    </row>
    <row r="5574">
      <c r="A5574" s="6"/>
      <c r="C5574" s="6"/>
      <c r="L5574" s="7"/>
      <c r="M5574" s="5"/>
      <c r="N5574" s="5"/>
      <c r="O5574" s="5"/>
    </row>
    <row r="5575">
      <c r="A5575" s="6"/>
      <c r="C5575" s="6"/>
      <c r="L5575" s="7"/>
      <c r="M5575" s="5"/>
      <c r="N5575" s="5"/>
      <c r="O5575" s="5"/>
    </row>
    <row r="5576">
      <c r="A5576" s="6"/>
      <c r="C5576" s="6"/>
      <c r="L5576" s="7"/>
      <c r="M5576" s="5"/>
      <c r="N5576" s="5"/>
      <c r="O5576" s="5"/>
    </row>
    <row r="5577">
      <c r="A5577" s="6"/>
      <c r="C5577" s="6"/>
      <c r="L5577" s="7"/>
      <c r="M5577" s="5"/>
      <c r="N5577" s="5"/>
      <c r="O5577" s="5"/>
    </row>
    <row r="5578">
      <c r="A5578" s="6"/>
      <c r="C5578" s="6"/>
      <c r="L5578" s="7"/>
      <c r="M5578" s="5"/>
      <c r="N5578" s="5"/>
      <c r="O5578" s="5"/>
    </row>
    <row r="5579">
      <c r="A5579" s="6"/>
      <c r="C5579" s="6"/>
      <c r="L5579" s="7"/>
      <c r="M5579" s="5"/>
      <c r="N5579" s="5"/>
      <c r="O5579" s="5"/>
    </row>
    <row r="5580">
      <c r="A5580" s="6"/>
      <c r="C5580" s="6"/>
      <c r="L5580" s="7"/>
      <c r="M5580" s="5"/>
      <c r="N5580" s="5"/>
      <c r="O5580" s="5"/>
    </row>
    <row r="5581">
      <c r="A5581" s="6"/>
      <c r="C5581" s="6"/>
      <c r="L5581" s="7"/>
      <c r="M5581" s="5"/>
      <c r="N5581" s="5"/>
      <c r="O5581" s="5"/>
    </row>
    <row r="5582">
      <c r="A5582" s="6"/>
      <c r="C5582" s="6"/>
      <c r="L5582" s="7"/>
      <c r="M5582" s="5"/>
      <c r="N5582" s="5"/>
      <c r="O5582" s="5"/>
    </row>
    <row r="5583">
      <c r="A5583" s="6"/>
      <c r="C5583" s="6"/>
      <c r="L5583" s="7"/>
      <c r="M5583" s="5"/>
      <c r="N5583" s="5"/>
      <c r="O5583" s="5"/>
    </row>
    <row r="5584">
      <c r="A5584" s="6"/>
      <c r="C5584" s="6"/>
      <c r="L5584" s="7"/>
      <c r="M5584" s="5"/>
      <c r="N5584" s="5"/>
      <c r="O5584" s="5"/>
    </row>
    <row r="5585">
      <c r="A5585" s="6"/>
      <c r="C5585" s="6"/>
      <c r="L5585" s="7"/>
      <c r="M5585" s="5"/>
      <c r="N5585" s="5"/>
      <c r="O5585" s="5"/>
    </row>
    <row r="5586">
      <c r="A5586" s="6"/>
      <c r="C5586" s="6"/>
      <c r="L5586" s="7"/>
      <c r="M5586" s="5"/>
      <c r="N5586" s="5"/>
      <c r="O5586" s="5"/>
    </row>
    <row r="5587">
      <c r="A5587" s="6"/>
      <c r="C5587" s="6"/>
      <c r="L5587" s="7"/>
      <c r="M5587" s="5"/>
      <c r="N5587" s="5"/>
      <c r="O5587" s="5"/>
    </row>
    <row r="5588">
      <c r="A5588" s="6"/>
      <c r="C5588" s="6"/>
      <c r="L5588" s="7"/>
      <c r="M5588" s="5"/>
      <c r="N5588" s="5"/>
      <c r="O5588" s="5"/>
    </row>
    <row r="5589">
      <c r="A5589" s="6"/>
      <c r="C5589" s="6"/>
      <c r="L5589" s="7"/>
      <c r="M5589" s="5"/>
      <c r="N5589" s="5"/>
      <c r="O5589" s="5"/>
    </row>
    <row r="5590">
      <c r="A5590" s="6"/>
      <c r="C5590" s="6"/>
      <c r="L5590" s="7"/>
      <c r="M5590" s="5"/>
      <c r="N5590" s="5"/>
      <c r="O5590" s="5"/>
    </row>
    <row r="5591">
      <c r="A5591" s="6"/>
      <c r="C5591" s="6"/>
      <c r="L5591" s="7"/>
      <c r="M5591" s="5"/>
      <c r="N5591" s="5"/>
      <c r="O5591" s="5"/>
    </row>
    <row r="5592">
      <c r="A5592" s="6"/>
      <c r="C5592" s="6"/>
      <c r="L5592" s="7"/>
      <c r="M5592" s="5"/>
      <c r="N5592" s="5"/>
      <c r="O5592" s="5"/>
    </row>
    <row r="5593">
      <c r="A5593" s="6"/>
      <c r="C5593" s="6"/>
      <c r="L5593" s="7"/>
      <c r="M5593" s="5"/>
      <c r="N5593" s="5"/>
      <c r="O5593" s="5"/>
    </row>
    <row r="5594">
      <c r="A5594" s="6"/>
      <c r="C5594" s="6"/>
      <c r="L5594" s="7"/>
      <c r="M5594" s="5"/>
      <c r="N5594" s="5"/>
      <c r="O5594" s="5"/>
    </row>
    <row r="5595">
      <c r="A5595" s="6"/>
      <c r="C5595" s="6"/>
      <c r="L5595" s="7"/>
      <c r="M5595" s="5"/>
      <c r="N5595" s="5"/>
      <c r="O5595" s="5"/>
    </row>
    <row r="5596">
      <c r="A5596" s="6"/>
      <c r="C5596" s="6"/>
      <c r="L5596" s="7"/>
      <c r="M5596" s="5"/>
      <c r="N5596" s="5"/>
      <c r="O5596" s="5"/>
    </row>
    <row r="5597">
      <c r="A5597" s="6"/>
      <c r="C5597" s="6"/>
      <c r="L5597" s="7"/>
      <c r="M5597" s="5"/>
      <c r="N5597" s="5"/>
      <c r="O5597" s="5"/>
    </row>
    <row r="5598">
      <c r="A5598" s="6"/>
      <c r="C5598" s="6"/>
      <c r="L5598" s="7"/>
      <c r="M5598" s="5"/>
      <c r="N5598" s="5"/>
      <c r="O5598" s="5"/>
    </row>
    <row r="5599">
      <c r="A5599" s="6"/>
      <c r="C5599" s="6"/>
      <c r="L5599" s="7"/>
      <c r="M5599" s="5"/>
      <c r="N5599" s="5"/>
      <c r="O5599" s="5"/>
    </row>
    <row r="5600">
      <c r="A5600" s="6"/>
      <c r="C5600" s="6"/>
      <c r="L5600" s="7"/>
      <c r="M5600" s="5"/>
      <c r="N5600" s="5"/>
      <c r="O5600" s="5"/>
    </row>
    <row r="5601">
      <c r="A5601" s="6"/>
      <c r="C5601" s="6"/>
      <c r="L5601" s="7"/>
      <c r="M5601" s="5"/>
      <c r="N5601" s="5"/>
      <c r="O5601" s="5"/>
    </row>
    <row r="5602">
      <c r="A5602" s="6"/>
      <c r="C5602" s="6"/>
      <c r="L5602" s="7"/>
      <c r="M5602" s="5"/>
      <c r="N5602" s="5"/>
      <c r="O5602" s="5"/>
    </row>
    <row r="5603">
      <c r="A5603" s="6"/>
      <c r="C5603" s="6"/>
      <c r="L5603" s="7"/>
      <c r="M5603" s="5"/>
      <c r="N5603" s="5"/>
      <c r="O5603" s="5"/>
    </row>
    <row r="5604">
      <c r="A5604" s="6"/>
      <c r="C5604" s="6"/>
      <c r="L5604" s="7"/>
      <c r="M5604" s="5"/>
      <c r="N5604" s="5"/>
      <c r="O5604" s="5"/>
    </row>
    <row r="5605">
      <c r="A5605" s="6"/>
      <c r="C5605" s="6"/>
      <c r="L5605" s="7"/>
      <c r="M5605" s="5"/>
      <c r="N5605" s="5"/>
      <c r="O5605" s="5"/>
    </row>
    <row r="5606">
      <c r="A5606" s="6"/>
      <c r="C5606" s="6"/>
      <c r="L5606" s="7"/>
      <c r="M5606" s="5"/>
      <c r="N5606" s="5"/>
      <c r="O5606" s="5"/>
    </row>
    <row r="5607">
      <c r="A5607" s="6"/>
      <c r="C5607" s="6"/>
      <c r="L5607" s="7"/>
      <c r="M5607" s="5"/>
      <c r="N5607" s="5"/>
      <c r="O5607" s="5"/>
    </row>
    <row r="5608">
      <c r="A5608" s="6"/>
      <c r="C5608" s="6"/>
      <c r="L5608" s="7"/>
      <c r="M5608" s="5"/>
      <c r="N5608" s="5"/>
      <c r="O5608" s="5"/>
    </row>
    <row r="5609">
      <c r="A5609" s="6"/>
      <c r="C5609" s="6"/>
      <c r="L5609" s="7"/>
      <c r="M5609" s="5"/>
      <c r="N5609" s="5"/>
      <c r="O5609" s="5"/>
    </row>
    <row r="5610">
      <c r="A5610" s="6"/>
      <c r="C5610" s="6"/>
      <c r="L5610" s="7"/>
      <c r="M5610" s="5"/>
      <c r="N5610" s="5"/>
      <c r="O5610" s="5"/>
    </row>
    <row r="5611">
      <c r="A5611" s="6"/>
      <c r="C5611" s="6"/>
      <c r="L5611" s="7"/>
      <c r="M5611" s="5"/>
      <c r="N5611" s="5"/>
      <c r="O5611" s="5"/>
    </row>
    <row r="5612">
      <c r="A5612" s="6"/>
      <c r="C5612" s="6"/>
      <c r="L5612" s="7"/>
      <c r="M5612" s="5"/>
      <c r="N5612" s="5"/>
      <c r="O5612" s="5"/>
    </row>
    <row r="5613">
      <c r="A5613" s="6"/>
      <c r="C5613" s="6"/>
      <c r="L5613" s="7"/>
      <c r="M5613" s="5"/>
      <c r="N5613" s="5"/>
      <c r="O5613" s="5"/>
    </row>
    <row r="5614">
      <c r="A5614" s="6"/>
      <c r="C5614" s="6"/>
      <c r="L5614" s="7"/>
      <c r="M5614" s="5"/>
      <c r="N5614" s="5"/>
      <c r="O5614" s="5"/>
    </row>
    <row r="5615">
      <c r="A5615" s="6"/>
      <c r="C5615" s="6"/>
      <c r="L5615" s="7"/>
      <c r="M5615" s="5"/>
      <c r="N5615" s="5"/>
      <c r="O5615" s="5"/>
    </row>
    <row r="5616">
      <c r="A5616" s="6"/>
      <c r="C5616" s="6"/>
      <c r="L5616" s="7"/>
      <c r="M5616" s="5"/>
      <c r="N5616" s="5"/>
      <c r="O5616" s="5"/>
    </row>
    <row r="5617">
      <c r="A5617" s="6"/>
      <c r="C5617" s="6"/>
      <c r="L5617" s="7"/>
      <c r="M5617" s="5"/>
      <c r="N5617" s="5"/>
      <c r="O5617" s="5"/>
    </row>
    <row r="5618">
      <c r="A5618" s="6"/>
      <c r="C5618" s="6"/>
      <c r="L5618" s="7"/>
      <c r="M5618" s="5"/>
      <c r="N5618" s="5"/>
      <c r="O5618" s="5"/>
    </row>
    <row r="5619">
      <c r="A5619" s="6"/>
      <c r="C5619" s="6"/>
      <c r="L5619" s="7"/>
      <c r="M5619" s="5"/>
      <c r="N5619" s="5"/>
      <c r="O5619" s="5"/>
    </row>
    <row r="5620">
      <c r="A5620" s="6"/>
      <c r="C5620" s="6"/>
      <c r="L5620" s="7"/>
      <c r="M5620" s="5"/>
      <c r="N5620" s="5"/>
      <c r="O5620" s="5"/>
    </row>
    <row r="5621">
      <c r="A5621" s="6"/>
      <c r="C5621" s="6"/>
      <c r="L5621" s="7"/>
      <c r="M5621" s="5"/>
      <c r="N5621" s="5"/>
      <c r="O5621" s="5"/>
    </row>
    <row r="5622">
      <c r="A5622" s="6"/>
      <c r="C5622" s="6"/>
      <c r="L5622" s="7"/>
      <c r="M5622" s="5"/>
      <c r="N5622" s="5"/>
      <c r="O5622" s="5"/>
    </row>
    <row r="5623">
      <c r="A5623" s="6"/>
      <c r="C5623" s="6"/>
      <c r="L5623" s="7"/>
      <c r="M5623" s="5"/>
      <c r="N5623" s="5"/>
      <c r="O5623" s="5"/>
    </row>
    <row r="5624">
      <c r="A5624" s="6"/>
      <c r="C5624" s="6"/>
      <c r="L5624" s="7"/>
      <c r="M5624" s="5"/>
      <c r="N5624" s="5"/>
      <c r="O5624" s="5"/>
    </row>
    <row r="5625">
      <c r="A5625" s="6"/>
      <c r="C5625" s="6"/>
      <c r="L5625" s="7"/>
      <c r="M5625" s="5"/>
      <c r="N5625" s="5"/>
      <c r="O5625" s="5"/>
    </row>
    <row r="5626">
      <c r="A5626" s="6"/>
      <c r="C5626" s="6"/>
      <c r="L5626" s="7"/>
      <c r="M5626" s="5"/>
      <c r="N5626" s="5"/>
      <c r="O5626" s="5"/>
    </row>
    <row r="5627">
      <c r="A5627" s="6"/>
      <c r="C5627" s="6"/>
      <c r="L5627" s="7"/>
      <c r="M5627" s="5"/>
      <c r="N5627" s="5"/>
      <c r="O5627" s="5"/>
    </row>
    <row r="5628">
      <c r="A5628" s="6"/>
      <c r="C5628" s="6"/>
      <c r="L5628" s="7"/>
      <c r="M5628" s="5"/>
      <c r="N5628" s="5"/>
      <c r="O5628" s="5"/>
    </row>
    <row r="5629">
      <c r="A5629" s="6"/>
      <c r="C5629" s="6"/>
      <c r="L5629" s="7"/>
      <c r="M5629" s="5"/>
      <c r="N5629" s="5"/>
      <c r="O5629" s="5"/>
    </row>
    <row r="5630">
      <c r="A5630" s="6"/>
      <c r="C5630" s="6"/>
      <c r="L5630" s="7"/>
      <c r="M5630" s="5"/>
      <c r="N5630" s="5"/>
      <c r="O5630" s="5"/>
    </row>
    <row r="5631">
      <c r="A5631" s="6"/>
      <c r="C5631" s="6"/>
      <c r="L5631" s="7"/>
      <c r="M5631" s="5"/>
      <c r="N5631" s="5"/>
      <c r="O5631" s="5"/>
    </row>
    <row r="5632">
      <c r="A5632" s="6"/>
      <c r="C5632" s="6"/>
      <c r="L5632" s="7"/>
      <c r="M5632" s="5"/>
      <c r="N5632" s="5"/>
      <c r="O5632" s="5"/>
    </row>
    <row r="5633">
      <c r="A5633" s="6"/>
      <c r="C5633" s="6"/>
      <c r="L5633" s="7"/>
      <c r="M5633" s="5"/>
      <c r="N5633" s="5"/>
      <c r="O5633" s="5"/>
    </row>
    <row r="5634">
      <c r="A5634" s="6"/>
      <c r="C5634" s="6"/>
      <c r="L5634" s="7"/>
      <c r="M5634" s="5"/>
      <c r="N5634" s="5"/>
      <c r="O5634" s="5"/>
    </row>
    <row r="5635">
      <c r="A5635" s="6"/>
      <c r="C5635" s="6"/>
      <c r="L5635" s="7"/>
      <c r="M5635" s="5"/>
      <c r="N5635" s="5"/>
      <c r="O5635" s="5"/>
    </row>
    <row r="5636">
      <c r="A5636" s="6"/>
      <c r="C5636" s="6"/>
      <c r="L5636" s="7"/>
      <c r="M5636" s="5"/>
      <c r="N5636" s="5"/>
      <c r="O5636" s="5"/>
    </row>
    <row r="5637">
      <c r="A5637" s="6"/>
      <c r="C5637" s="6"/>
      <c r="L5637" s="7"/>
      <c r="M5637" s="5"/>
      <c r="N5637" s="5"/>
      <c r="O5637" s="5"/>
    </row>
    <row r="5638">
      <c r="A5638" s="6"/>
      <c r="C5638" s="6"/>
      <c r="L5638" s="7"/>
      <c r="M5638" s="5"/>
      <c r="N5638" s="5"/>
      <c r="O5638" s="5"/>
    </row>
    <row r="5639">
      <c r="A5639" s="6"/>
      <c r="C5639" s="6"/>
      <c r="L5639" s="7"/>
      <c r="M5639" s="5"/>
      <c r="N5639" s="5"/>
      <c r="O5639" s="5"/>
    </row>
    <row r="5640">
      <c r="A5640" s="6"/>
      <c r="C5640" s="6"/>
      <c r="L5640" s="7"/>
      <c r="M5640" s="5"/>
      <c r="N5640" s="5"/>
      <c r="O5640" s="5"/>
    </row>
    <row r="5641">
      <c r="A5641" s="6"/>
      <c r="C5641" s="6"/>
      <c r="L5641" s="7"/>
      <c r="M5641" s="5"/>
      <c r="N5641" s="5"/>
      <c r="O5641" s="5"/>
    </row>
    <row r="5642">
      <c r="A5642" s="6"/>
      <c r="C5642" s="6"/>
      <c r="L5642" s="7"/>
      <c r="M5642" s="5"/>
      <c r="N5642" s="5"/>
      <c r="O5642" s="5"/>
    </row>
    <row r="5643">
      <c r="A5643" s="6"/>
      <c r="C5643" s="6"/>
      <c r="L5643" s="7"/>
      <c r="M5643" s="5"/>
      <c r="N5643" s="5"/>
      <c r="O5643" s="5"/>
    </row>
    <row r="5644">
      <c r="A5644" s="6"/>
      <c r="C5644" s="6"/>
      <c r="L5644" s="7"/>
      <c r="M5644" s="5"/>
      <c r="N5644" s="5"/>
      <c r="O5644" s="5"/>
    </row>
    <row r="5645">
      <c r="A5645" s="6"/>
      <c r="C5645" s="6"/>
      <c r="L5645" s="7"/>
      <c r="M5645" s="5"/>
      <c r="N5645" s="5"/>
      <c r="O5645" s="5"/>
    </row>
    <row r="5646">
      <c r="A5646" s="6"/>
      <c r="C5646" s="6"/>
      <c r="L5646" s="7"/>
      <c r="M5646" s="5"/>
      <c r="N5646" s="5"/>
      <c r="O5646" s="5"/>
    </row>
    <row r="5647">
      <c r="A5647" s="6"/>
      <c r="C5647" s="6"/>
      <c r="L5647" s="7"/>
      <c r="M5647" s="5"/>
      <c r="N5647" s="5"/>
      <c r="O5647" s="5"/>
    </row>
    <row r="5648">
      <c r="A5648" s="6"/>
      <c r="C5648" s="6"/>
      <c r="L5648" s="7"/>
      <c r="M5648" s="5"/>
      <c r="N5648" s="5"/>
      <c r="O5648" s="5"/>
    </row>
    <row r="5649">
      <c r="A5649" s="6"/>
      <c r="C5649" s="6"/>
      <c r="L5649" s="7"/>
      <c r="M5649" s="5"/>
      <c r="N5649" s="5"/>
      <c r="O5649" s="5"/>
    </row>
    <row r="5650">
      <c r="A5650" s="6"/>
      <c r="C5650" s="6"/>
      <c r="L5650" s="7"/>
      <c r="M5650" s="5"/>
      <c r="N5650" s="5"/>
      <c r="O5650" s="5"/>
    </row>
    <row r="5651">
      <c r="A5651" s="6"/>
      <c r="C5651" s="6"/>
      <c r="L5651" s="7"/>
      <c r="M5651" s="5"/>
      <c r="N5651" s="5"/>
      <c r="O5651" s="5"/>
    </row>
    <row r="5652">
      <c r="A5652" s="6"/>
      <c r="C5652" s="6"/>
      <c r="L5652" s="7"/>
      <c r="M5652" s="5"/>
      <c r="N5652" s="5"/>
      <c r="O5652" s="5"/>
    </row>
    <row r="5653">
      <c r="A5653" s="6"/>
      <c r="C5653" s="6"/>
      <c r="L5653" s="7"/>
      <c r="M5653" s="5"/>
      <c r="N5653" s="5"/>
      <c r="O5653" s="5"/>
    </row>
    <row r="5654">
      <c r="A5654" s="6"/>
      <c r="C5654" s="6"/>
      <c r="L5654" s="7"/>
      <c r="M5654" s="5"/>
      <c r="N5654" s="5"/>
      <c r="O5654" s="5"/>
    </row>
    <row r="5655">
      <c r="A5655" s="6"/>
      <c r="C5655" s="6"/>
      <c r="L5655" s="7"/>
      <c r="M5655" s="5"/>
      <c r="N5655" s="5"/>
      <c r="O5655" s="5"/>
    </row>
    <row r="5656">
      <c r="A5656" s="6"/>
      <c r="C5656" s="6"/>
      <c r="L5656" s="7"/>
      <c r="M5656" s="5"/>
      <c r="N5656" s="5"/>
      <c r="O5656" s="5"/>
    </row>
    <row r="5657">
      <c r="A5657" s="6"/>
      <c r="C5657" s="6"/>
      <c r="L5657" s="7"/>
      <c r="M5657" s="5"/>
      <c r="N5657" s="5"/>
      <c r="O5657" s="5"/>
    </row>
    <row r="5658">
      <c r="A5658" s="6"/>
      <c r="C5658" s="6"/>
      <c r="L5658" s="7"/>
      <c r="M5658" s="5"/>
      <c r="N5658" s="5"/>
      <c r="O5658" s="5"/>
    </row>
    <row r="5659">
      <c r="A5659" s="6"/>
      <c r="C5659" s="6"/>
      <c r="L5659" s="7"/>
      <c r="M5659" s="5"/>
      <c r="N5659" s="5"/>
      <c r="O5659" s="5"/>
    </row>
    <row r="5660">
      <c r="A5660" s="6"/>
      <c r="C5660" s="6"/>
      <c r="L5660" s="7"/>
      <c r="M5660" s="5"/>
      <c r="N5660" s="5"/>
      <c r="O5660" s="5"/>
    </row>
    <row r="5661">
      <c r="A5661" s="6"/>
      <c r="C5661" s="6"/>
      <c r="L5661" s="7"/>
      <c r="M5661" s="5"/>
      <c r="N5661" s="5"/>
      <c r="O5661" s="5"/>
    </row>
    <row r="5662">
      <c r="A5662" s="6"/>
      <c r="C5662" s="6"/>
      <c r="L5662" s="7"/>
      <c r="M5662" s="5"/>
      <c r="N5662" s="5"/>
      <c r="O5662" s="5"/>
    </row>
    <row r="5663">
      <c r="A5663" s="6"/>
      <c r="C5663" s="6"/>
      <c r="L5663" s="7"/>
      <c r="M5663" s="5"/>
      <c r="N5663" s="5"/>
      <c r="O5663" s="5"/>
    </row>
    <row r="5664">
      <c r="A5664" s="6"/>
      <c r="C5664" s="6"/>
      <c r="L5664" s="7"/>
      <c r="M5664" s="5"/>
      <c r="N5664" s="5"/>
      <c r="O5664" s="5"/>
    </row>
    <row r="5665">
      <c r="A5665" s="6"/>
      <c r="C5665" s="6"/>
      <c r="L5665" s="7"/>
      <c r="M5665" s="5"/>
      <c r="N5665" s="5"/>
      <c r="O5665" s="5"/>
    </row>
    <row r="5666">
      <c r="A5666" s="6"/>
      <c r="C5666" s="6"/>
      <c r="L5666" s="7"/>
      <c r="M5666" s="5"/>
      <c r="N5666" s="5"/>
      <c r="O5666" s="5"/>
    </row>
    <row r="5667">
      <c r="A5667" s="6"/>
      <c r="C5667" s="6"/>
      <c r="L5667" s="7"/>
      <c r="M5667" s="5"/>
      <c r="N5667" s="5"/>
      <c r="O5667" s="5"/>
    </row>
    <row r="5668">
      <c r="A5668" s="6"/>
      <c r="C5668" s="6"/>
      <c r="L5668" s="7"/>
      <c r="M5668" s="5"/>
      <c r="N5668" s="5"/>
      <c r="O5668" s="5"/>
    </row>
    <row r="5669">
      <c r="A5669" s="6"/>
      <c r="C5669" s="6"/>
      <c r="L5669" s="7"/>
      <c r="M5669" s="5"/>
      <c r="N5669" s="5"/>
      <c r="O5669" s="5"/>
    </row>
    <row r="5670">
      <c r="A5670" s="6"/>
      <c r="C5670" s="6"/>
      <c r="L5670" s="7"/>
      <c r="M5670" s="5"/>
      <c r="N5670" s="5"/>
      <c r="O5670" s="5"/>
    </row>
    <row r="5671">
      <c r="A5671" s="6"/>
      <c r="C5671" s="6"/>
      <c r="L5671" s="7"/>
      <c r="M5671" s="5"/>
      <c r="N5671" s="5"/>
      <c r="O5671" s="5"/>
    </row>
    <row r="5672">
      <c r="A5672" s="6"/>
      <c r="C5672" s="6"/>
      <c r="L5672" s="7"/>
      <c r="M5672" s="5"/>
      <c r="N5672" s="5"/>
      <c r="O5672" s="5"/>
    </row>
    <row r="5673">
      <c r="A5673" s="6"/>
      <c r="C5673" s="6"/>
      <c r="L5673" s="7"/>
      <c r="M5673" s="5"/>
      <c r="N5673" s="5"/>
      <c r="O5673" s="5"/>
    </row>
    <row r="5674">
      <c r="A5674" s="6"/>
      <c r="C5674" s="6"/>
      <c r="L5674" s="7"/>
      <c r="M5674" s="5"/>
      <c r="N5674" s="5"/>
      <c r="O5674" s="5"/>
    </row>
    <row r="5675">
      <c r="A5675" s="6"/>
      <c r="C5675" s="6"/>
      <c r="L5675" s="7"/>
      <c r="M5675" s="5"/>
      <c r="N5675" s="5"/>
      <c r="O5675" s="5"/>
    </row>
    <row r="5676">
      <c r="A5676" s="6"/>
      <c r="C5676" s="6"/>
      <c r="L5676" s="7"/>
      <c r="M5676" s="5"/>
      <c r="N5676" s="5"/>
      <c r="O5676" s="5"/>
    </row>
    <row r="5677">
      <c r="A5677" s="6"/>
      <c r="C5677" s="6"/>
      <c r="L5677" s="7"/>
      <c r="M5677" s="5"/>
      <c r="N5677" s="5"/>
      <c r="O5677" s="5"/>
    </row>
    <row r="5678">
      <c r="A5678" s="6"/>
      <c r="C5678" s="6"/>
      <c r="L5678" s="7"/>
      <c r="M5678" s="5"/>
      <c r="N5678" s="5"/>
      <c r="O5678" s="5"/>
    </row>
    <row r="5679">
      <c r="A5679" s="6"/>
      <c r="C5679" s="6"/>
      <c r="L5679" s="7"/>
      <c r="M5679" s="5"/>
      <c r="N5679" s="5"/>
      <c r="O5679" s="5"/>
    </row>
    <row r="5680">
      <c r="A5680" s="6"/>
      <c r="C5680" s="6"/>
      <c r="L5680" s="7"/>
      <c r="M5680" s="5"/>
      <c r="N5680" s="5"/>
      <c r="O5680" s="5"/>
    </row>
    <row r="5681">
      <c r="A5681" s="6"/>
      <c r="C5681" s="6"/>
      <c r="L5681" s="7"/>
      <c r="M5681" s="5"/>
      <c r="N5681" s="5"/>
      <c r="O5681" s="5"/>
    </row>
    <row r="5682">
      <c r="A5682" s="6"/>
      <c r="C5682" s="6"/>
      <c r="L5682" s="7"/>
      <c r="M5682" s="5"/>
      <c r="N5682" s="5"/>
      <c r="O5682" s="5"/>
    </row>
    <row r="5683">
      <c r="A5683" s="6"/>
      <c r="C5683" s="6"/>
      <c r="L5683" s="7"/>
      <c r="M5683" s="5"/>
      <c r="N5683" s="5"/>
      <c r="O5683" s="5"/>
    </row>
    <row r="5684">
      <c r="A5684" s="6"/>
      <c r="C5684" s="6"/>
      <c r="L5684" s="7"/>
      <c r="M5684" s="5"/>
      <c r="N5684" s="5"/>
      <c r="O5684" s="5"/>
    </row>
    <row r="5685">
      <c r="A5685" s="6"/>
      <c r="C5685" s="6"/>
      <c r="L5685" s="7"/>
      <c r="M5685" s="5"/>
      <c r="N5685" s="5"/>
      <c r="O5685" s="5"/>
    </row>
    <row r="5686">
      <c r="A5686" s="6"/>
      <c r="C5686" s="6"/>
      <c r="L5686" s="7"/>
      <c r="M5686" s="5"/>
      <c r="N5686" s="5"/>
      <c r="O5686" s="5"/>
    </row>
    <row r="5687">
      <c r="A5687" s="6"/>
      <c r="C5687" s="6"/>
      <c r="L5687" s="7"/>
      <c r="M5687" s="5"/>
      <c r="N5687" s="5"/>
      <c r="O5687" s="5"/>
    </row>
    <row r="5688">
      <c r="A5688" s="6"/>
      <c r="C5688" s="6"/>
      <c r="L5688" s="7"/>
      <c r="M5688" s="5"/>
      <c r="N5688" s="5"/>
      <c r="O5688" s="5"/>
    </row>
    <row r="5689">
      <c r="A5689" s="6"/>
      <c r="C5689" s="6"/>
      <c r="L5689" s="7"/>
      <c r="M5689" s="5"/>
      <c r="N5689" s="5"/>
      <c r="O5689" s="5"/>
    </row>
    <row r="5690">
      <c r="A5690" s="6"/>
      <c r="C5690" s="6"/>
      <c r="L5690" s="7"/>
      <c r="M5690" s="5"/>
      <c r="N5690" s="5"/>
      <c r="O5690" s="5"/>
    </row>
    <row r="5691">
      <c r="A5691" s="6"/>
      <c r="C5691" s="6"/>
      <c r="L5691" s="7"/>
      <c r="M5691" s="5"/>
      <c r="N5691" s="5"/>
      <c r="O5691" s="5"/>
    </row>
    <row r="5692">
      <c r="A5692" s="6"/>
      <c r="C5692" s="6"/>
      <c r="L5692" s="7"/>
      <c r="M5692" s="5"/>
      <c r="N5692" s="5"/>
      <c r="O5692" s="5"/>
    </row>
    <row r="5693">
      <c r="A5693" s="6"/>
      <c r="C5693" s="6"/>
      <c r="L5693" s="7"/>
      <c r="M5693" s="5"/>
      <c r="N5693" s="5"/>
      <c r="O5693" s="5"/>
    </row>
    <row r="5694">
      <c r="A5694" s="6"/>
      <c r="C5694" s="6"/>
      <c r="L5694" s="7"/>
      <c r="M5694" s="5"/>
      <c r="N5694" s="5"/>
      <c r="O5694" s="5"/>
    </row>
    <row r="5695">
      <c r="A5695" s="6"/>
      <c r="C5695" s="6"/>
      <c r="L5695" s="7"/>
      <c r="M5695" s="5"/>
      <c r="N5695" s="5"/>
      <c r="O5695" s="5"/>
    </row>
    <row r="5696">
      <c r="A5696" s="6"/>
      <c r="C5696" s="6"/>
      <c r="L5696" s="7"/>
      <c r="M5696" s="5"/>
      <c r="N5696" s="5"/>
      <c r="O5696" s="5"/>
    </row>
    <row r="5697">
      <c r="A5697" s="6"/>
      <c r="C5697" s="6"/>
      <c r="L5697" s="7"/>
      <c r="M5697" s="5"/>
      <c r="N5697" s="5"/>
      <c r="O5697" s="5"/>
    </row>
    <row r="5698">
      <c r="A5698" s="6"/>
      <c r="C5698" s="6"/>
      <c r="L5698" s="7"/>
      <c r="M5698" s="5"/>
      <c r="N5698" s="5"/>
      <c r="O5698" s="5"/>
    </row>
    <row r="5699">
      <c r="A5699" s="6"/>
      <c r="C5699" s="6"/>
      <c r="L5699" s="7"/>
      <c r="M5699" s="5"/>
      <c r="N5699" s="5"/>
      <c r="O5699" s="5"/>
    </row>
    <row r="5700">
      <c r="A5700" s="6"/>
      <c r="C5700" s="6"/>
      <c r="L5700" s="7"/>
      <c r="M5700" s="5"/>
      <c r="N5700" s="5"/>
      <c r="O5700" s="5"/>
    </row>
    <row r="5701">
      <c r="A5701" s="6"/>
      <c r="C5701" s="6"/>
      <c r="L5701" s="7"/>
      <c r="M5701" s="5"/>
      <c r="N5701" s="5"/>
      <c r="O5701" s="5"/>
    </row>
    <row r="5702">
      <c r="A5702" s="6"/>
      <c r="C5702" s="6"/>
      <c r="L5702" s="7"/>
      <c r="M5702" s="5"/>
      <c r="N5702" s="5"/>
      <c r="O5702" s="5"/>
    </row>
    <row r="5703">
      <c r="A5703" s="6"/>
      <c r="C5703" s="6"/>
      <c r="L5703" s="7"/>
      <c r="M5703" s="5"/>
      <c r="N5703" s="5"/>
      <c r="O5703" s="5"/>
    </row>
    <row r="5704">
      <c r="A5704" s="6"/>
      <c r="C5704" s="6"/>
      <c r="L5704" s="7"/>
      <c r="M5704" s="5"/>
      <c r="N5704" s="5"/>
      <c r="O5704" s="5"/>
    </row>
    <row r="5705">
      <c r="A5705" s="6"/>
      <c r="C5705" s="6"/>
      <c r="L5705" s="7"/>
      <c r="M5705" s="5"/>
      <c r="N5705" s="5"/>
      <c r="O5705" s="5"/>
    </row>
    <row r="5706">
      <c r="A5706" s="6"/>
      <c r="C5706" s="6"/>
      <c r="L5706" s="7"/>
      <c r="M5706" s="5"/>
      <c r="N5706" s="5"/>
      <c r="O5706" s="5"/>
    </row>
    <row r="5707">
      <c r="A5707" s="6"/>
      <c r="C5707" s="6"/>
      <c r="L5707" s="7"/>
      <c r="M5707" s="5"/>
      <c r="N5707" s="5"/>
      <c r="O5707" s="5"/>
    </row>
    <row r="5708">
      <c r="A5708" s="6"/>
      <c r="C5708" s="6"/>
      <c r="L5708" s="7"/>
      <c r="M5708" s="5"/>
      <c r="N5708" s="5"/>
      <c r="O5708" s="5"/>
    </row>
    <row r="5709">
      <c r="A5709" s="6"/>
      <c r="C5709" s="6"/>
      <c r="L5709" s="7"/>
      <c r="M5709" s="5"/>
      <c r="N5709" s="5"/>
      <c r="O5709" s="5"/>
    </row>
    <row r="5710">
      <c r="A5710" s="6"/>
      <c r="C5710" s="6"/>
      <c r="L5710" s="7"/>
      <c r="M5710" s="5"/>
      <c r="N5710" s="5"/>
      <c r="O5710" s="5"/>
    </row>
    <row r="5711">
      <c r="A5711" s="6"/>
      <c r="C5711" s="6"/>
      <c r="L5711" s="7"/>
      <c r="M5711" s="5"/>
      <c r="N5711" s="5"/>
      <c r="O5711" s="5"/>
    </row>
    <row r="5712">
      <c r="A5712" s="6"/>
      <c r="C5712" s="6"/>
      <c r="L5712" s="7"/>
      <c r="M5712" s="5"/>
      <c r="N5712" s="5"/>
      <c r="O5712" s="5"/>
    </row>
    <row r="5713">
      <c r="A5713" s="6"/>
      <c r="C5713" s="6"/>
      <c r="L5713" s="7"/>
      <c r="M5713" s="5"/>
      <c r="N5713" s="5"/>
      <c r="O5713" s="5"/>
    </row>
    <row r="5714">
      <c r="A5714" s="6"/>
      <c r="C5714" s="6"/>
      <c r="L5714" s="7"/>
      <c r="M5714" s="5"/>
      <c r="N5714" s="5"/>
      <c r="O5714" s="5"/>
    </row>
    <row r="5715">
      <c r="A5715" s="6"/>
      <c r="C5715" s="6"/>
      <c r="L5715" s="7"/>
      <c r="M5715" s="5"/>
      <c r="N5715" s="5"/>
      <c r="O5715" s="5"/>
    </row>
    <row r="5716">
      <c r="A5716" s="6"/>
      <c r="C5716" s="6"/>
      <c r="L5716" s="7"/>
      <c r="M5716" s="5"/>
      <c r="N5716" s="5"/>
      <c r="O5716" s="5"/>
    </row>
    <row r="5717">
      <c r="A5717" s="6"/>
      <c r="C5717" s="6"/>
      <c r="L5717" s="7"/>
      <c r="M5717" s="5"/>
      <c r="N5717" s="5"/>
      <c r="O5717" s="5"/>
    </row>
    <row r="5718">
      <c r="A5718" s="6"/>
      <c r="C5718" s="6"/>
      <c r="L5718" s="7"/>
      <c r="M5718" s="5"/>
      <c r="N5718" s="5"/>
      <c r="O5718" s="5"/>
    </row>
    <row r="5719">
      <c r="A5719" s="6"/>
      <c r="C5719" s="6"/>
      <c r="L5719" s="7"/>
      <c r="M5719" s="5"/>
      <c r="N5719" s="5"/>
      <c r="O5719" s="5"/>
    </row>
    <row r="5720">
      <c r="A5720" s="6"/>
      <c r="C5720" s="6"/>
      <c r="L5720" s="7"/>
      <c r="M5720" s="5"/>
      <c r="N5720" s="5"/>
      <c r="O5720" s="5"/>
    </row>
    <row r="5721">
      <c r="A5721" s="6"/>
      <c r="C5721" s="6"/>
      <c r="L5721" s="7"/>
      <c r="M5721" s="5"/>
      <c r="N5721" s="5"/>
      <c r="O5721" s="5"/>
    </row>
    <row r="5722">
      <c r="A5722" s="6"/>
      <c r="C5722" s="6"/>
      <c r="L5722" s="7"/>
      <c r="M5722" s="5"/>
      <c r="N5722" s="5"/>
      <c r="O5722" s="5"/>
    </row>
    <row r="5723">
      <c r="A5723" s="6"/>
      <c r="C5723" s="6"/>
      <c r="L5723" s="7"/>
      <c r="M5723" s="5"/>
      <c r="N5723" s="5"/>
      <c r="O5723" s="5"/>
    </row>
    <row r="5724">
      <c r="A5724" s="6"/>
      <c r="C5724" s="6"/>
      <c r="L5724" s="7"/>
      <c r="M5724" s="5"/>
      <c r="N5724" s="5"/>
      <c r="O5724" s="5"/>
    </row>
    <row r="5725">
      <c r="A5725" s="6"/>
      <c r="C5725" s="6"/>
      <c r="L5725" s="7"/>
      <c r="M5725" s="5"/>
      <c r="N5725" s="5"/>
      <c r="O5725" s="5"/>
    </row>
    <row r="5726">
      <c r="A5726" s="6"/>
      <c r="C5726" s="6"/>
      <c r="L5726" s="7"/>
      <c r="M5726" s="5"/>
      <c r="N5726" s="5"/>
      <c r="O5726" s="5"/>
    </row>
    <row r="5727">
      <c r="A5727" s="6"/>
      <c r="C5727" s="6"/>
      <c r="L5727" s="7"/>
      <c r="M5727" s="5"/>
      <c r="N5727" s="5"/>
      <c r="O5727" s="5"/>
    </row>
    <row r="5728">
      <c r="A5728" s="6"/>
      <c r="C5728" s="6"/>
      <c r="L5728" s="7"/>
      <c r="M5728" s="5"/>
      <c r="N5728" s="5"/>
      <c r="O5728" s="5"/>
    </row>
    <row r="5729">
      <c r="A5729" s="6"/>
      <c r="C5729" s="6"/>
      <c r="L5729" s="7"/>
      <c r="M5729" s="5"/>
      <c r="N5729" s="5"/>
      <c r="O5729" s="5"/>
    </row>
    <row r="5730">
      <c r="A5730" s="6"/>
      <c r="C5730" s="6"/>
      <c r="L5730" s="7"/>
      <c r="M5730" s="5"/>
      <c r="N5730" s="5"/>
      <c r="O5730" s="5"/>
    </row>
    <row r="5731">
      <c r="A5731" s="6"/>
      <c r="C5731" s="6"/>
      <c r="L5731" s="7"/>
      <c r="M5731" s="5"/>
      <c r="N5731" s="5"/>
      <c r="O5731" s="5"/>
    </row>
    <row r="5732">
      <c r="A5732" s="6"/>
      <c r="C5732" s="6"/>
      <c r="L5732" s="7"/>
      <c r="M5732" s="5"/>
      <c r="N5732" s="5"/>
      <c r="O5732" s="5"/>
    </row>
    <row r="5733">
      <c r="A5733" s="6"/>
      <c r="C5733" s="6"/>
      <c r="L5733" s="7"/>
      <c r="M5733" s="5"/>
      <c r="N5733" s="5"/>
      <c r="O5733" s="5"/>
    </row>
    <row r="5734">
      <c r="A5734" s="6"/>
      <c r="C5734" s="6"/>
      <c r="L5734" s="7"/>
      <c r="M5734" s="5"/>
      <c r="N5734" s="5"/>
      <c r="O5734" s="5"/>
    </row>
    <row r="5735">
      <c r="A5735" s="6"/>
      <c r="C5735" s="6"/>
      <c r="L5735" s="7"/>
      <c r="M5735" s="5"/>
      <c r="N5735" s="5"/>
      <c r="O5735" s="5"/>
    </row>
    <row r="5736">
      <c r="A5736" s="6"/>
      <c r="C5736" s="6"/>
      <c r="L5736" s="7"/>
      <c r="M5736" s="5"/>
      <c r="N5736" s="5"/>
      <c r="O5736" s="5"/>
    </row>
    <row r="5737">
      <c r="A5737" s="6"/>
      <c r="C5737" s="6"/>
      <c r="L5737" s="7"/>
      <c r="M5737" s="5"/>
      <c r="N5737" s="5"/>
      <c r="O5737" s="5"/>
    </row>
    <row r="5738">
      <c r="A5738" s="6"/>
      <c r="C5738" s="6"/>
      <c r="L5738" s="7"/>
      <c r="M5738" s="5"/>
      <c r="N5738" s="5"/>
      <c r="O5738" s="5"/>
    </row>
    <row r="5739">
      <c r="A5739" s="6"/>
      <c r="C5739" s="6"/>
      <c r="L5739" s="7"/>
      <c r="M5739" s="5"/>
      <c r="N5739" s="5"/>
      <c r="O5739" s="5"/>
    </row>
    <row r="5740">
      <c r="A5740" s="6"/>
      <c r="C5740" s="6"/>
      <c r="L5740" s="7"/>
      <c r="M5740" s="5"/>
      <c r="N5740" s="5"/>
      <c r="O5740" s="5"/>
    </row>
    <row r="5741">
      <c r="A5741" s="6"/>
      <c r="C5741" s="6"/>
      <c r="L5741" s="7"/>
      <c r="M5741" s="5"/>
      <c r="N5741" s="5"/>
      <c r="O5741" s="5"/>
    </row>
    <row r="5742">
      <c r="A5742" s="6"/>
      <c r="C5742" s="6"/>
      <c r="L5742" s="7"/>
      <c r="M5742" s="5"/>
      <c r="N5742" s="5"/>
      <c r="O5742" s="5"/>
    </row>
    <row r="5743">
      <c r="A5743" s="6"/>
      <c r="C5743" s="6"/>
      <c r="L5743" s="7"/>
      <c r="M5743" s="5"/>
      <c r="N5743" s="5"/>
      <c r="O5743" s="5"/>
    </row>
    <row r="5744">
      <c r="A5744" s="6"/>
      <c r="C5744" s="6"/>
      <c r="L5744" s="7"/>
      <c r="M5744" s="5"/>
      <c r="N5744" s="5"/>
      <c r="O5744" s="5"/>
    </row>
    <row r="5745">
      <c r="A5745" s="6"/>
      <c r="C5745" s="6"/>
      <c r="L5745" s="7"/>
      <c r="M5745" s="5"/>
      <c r="N5745" s="5"/>
      <c r="O5745" s="5"/>
    </row>
    <row r="5746">
      <c r="A5746" s="6"/>
      <c r="C5746" s="6"/>
      <c r="L5746" s="7"/>
      <c r="M5746" s="5"/>
      <c r="N5746" s="5"/>
      <c r="O5746" s="5"/>
    </row>
    <row r="5747">
      <c r="A5747" s="6"/>
      <c r="C5747" s="6"/>
      <c r="L5747" s="7"/>
      <c r="M5747" s="5"/>
      <c r="N5747" s="5"/>
      <c r="O5747" s="5"/>
    </row>
    <row r="5748">
      <c r="A5748" s="6"/>
      <c r="C5748" s="6"/>
      <c r="L5748" s="7"/>
      <c r="M5748" s="5"/>
      <c r="N5748" s="5"/>
      <c r="O5748" s="5"/>
    </row>
    <row r="5749">
      <c r="A5749" s="6"/>
      <c r="C5749" s="6"/>
      <c r="L5749" s="7"/>
      <c r="M5749" s="5"/>
      <c r="N5749" s="5"/>
      <c r="O5749" s="5"/>
    </row>
    <row r="5750">
      <c r="A5750" s="6"/>
      <c r="C5750" s="6"/>
      <c r="L5750" s="7"/>
      <c r="M5750" s="5"/>
      <c r="N5750" s="5"/>
      <c r="O5750" s="5"/>
    </row>
    <row r="5751">
      <c r="A5751" s="6"/>
      <c r="C5751" s="6"/>
      <c r="L5751" s="7"/>
      <c r="M5751" s="5"/>
      <c r="N5751" s="5"/>
      <c r="O5751" s="5"/>
    </row>
    <row r="5752">
      <c r="A5752" s="6"/>
      <c r="C5752" s="6"/>
      <c r="L5752" s="7"/>
      <c r="M5752" s="5"/>
      <c r="N5752" s="5"/>
      <c r="O5752" s="5"/>
    </row>
    <row r="5753">
      <c r="A5753" s="6"/>
      <c r="C5753" s="6"/>
      <c r="L5753" s="7"/>
      <c r="M5753" s="5"/>
      <c r="N5753" s="5"/>
      <c r="O5753" s="5"/>
    </row>
    <row r="5754">
      <c r="A5754" s="6"/>
      <c r="C5754" s="6"/>
      <c r="L5754" s="7"/>
      <c r="M5754" s="5"/>
      <c r="N5754" s="5"/>
      <c r="O5754" s="5"/>
    </row>
    <row r="5755">
      <c r="A5755" s="6"/>
      <c r="C5755" s="6"/>
      <c r="L5755" s="7"/>
      <c r="M5755" s="5"/>
      <c r="N5755" s="5"/>
      <c r="O5755" s="5"/>
    </row>
    <row r="5756">
      <c r="A5756" s="6"/>
      <c r="C5756" s="6"/>
      <c r="L5756" s="7"/>
      <c r="M5756" s="5"/>
      <c r="N5756" s="5"/>
      <c r="O5756" s="5"/>
    </row>
    <row r="5757">
      <c r="A5757" s="6"/>
      <c r="C5757" s="6"/>
      <c r="L5757" s="7"/>
      <c r="M5757" s="5"/>
      <c r="N5757" s="5"/>
      <c r="O5757" s="5"/>
    </row>
    <row r="5758">
      <c r="A5758" s="6"/>
      <c r="C5758" s="6"/>
      <c r="L5758" s="7"/>
      <c r="M5758" s="5"/>
      <c r="N5758" s="5"/>
      <c r="O5758" s="5"/>
    </row>
    <row r="5759">
      <c r="A5759" s="6"/>
      <c r="C5759" s="6"/>
      <c r="L5759" s="7"/>
      <c r="M5759" s="5"/>
      <c r="N5759" s="5"/>
      <c r="O5759" s="5"/>
    </row>
    <row r="5760">
      <c r="A5760" s="6"/>
      <c r="C5760" s="6"/>
      <c r="L5760" s="7"/>
      <c r="M5760" s="5"/>
      <c r="N5760" s="5"/>
      <c r="O5760" s="5"/>
    </row>
    <row r="5761">
      <c r="A5761" s="6"/>
      <c r="C5761" s="6"/>
      <c r="L5761" s="7"/>
      <c r="M5761" s="5"/>
      <c r="N5761" s="5"/>
      <c r="O5761" s="5"/>
    </row>
    <row r="5762">
      <c r="A5762" s="6"/>
      <c r="C5762" s="6"/>
      <c r="L5762" s="7"/>
      <c r="M5762" s="5"/>
      <c r="N5762" s="5"/>
      <c r="O5762" s="5"/>
    </row>
    <row r="5763">
      <c r="A5763" s="6"/>
      <c r="C5763" s="6"/>
      <c r="L5763" s="7"/>
      <c r="M5763" s="5"/>
      <c r="N5763" s="5"/>
      <c r="O5763" s="5"/>
    </row>
    <row r="5764">
      <c r="A5764" s="6"/>
      <c r="C5764" s="6"/>
      <c r="L5764" s="7"/>
      <c r="M5764" s="5"/>
      <c r="N5764" s="5"/>
      <c r="O5764" s="5"/>
    </row>
    <row r="5765">
      <c r="A5765" s="6"/>
      <c r="C5765" s="6"/>
      <c r="L5765" s="7"/>
      <c r="M5765" s="5"/>
      <c r="N5765" s="5"/>
      <c r="O5765" s="5"/>
    </row>
    <row r="5766">
      <c r="A5766" s="6"/>
      <c r="C5766" s="6"/>
      <c r="L5766" s="7"/>
      <c r="M5766" s="5"/>
      <c r="N5766" s="5"/>
      <c r="O5766" s="5"/>
    </row>
    <row r="5767">
      <c r="A5767" s="6"/>
      <c r="C5767" s="6"/>
      <c r="L5767" s="7"/>
      <c r="M5767" s="5"/>
      <c r="N5767" s="5"/>
      <c r="O5767" s="5"/>
    </row>
    <row r="5768">
      <c r="A5768" s="6"/>
      <c r="C5768" s="6"/>
      <c r="L5768" s="7"/>
      <c r="M5768" s="5"/>
      <c r="N5768" s="5"/>
      <c r="O5768" s="5"/>
    </row>
    <row r="5769">
      <c r="A5769" s="6"/>
      <c r="C5769" s="6"/>
      <c r="L5769" s="7"/>
      <c r="M5769" s="5"/>
      <c r="N5769" s="5"/>
      <c r="O5769" s="5"/>
    </row>
    <row r="5770">
      <c r="A5770" s="6"/>
      <c r="C5770" s="6"/>
      <c r="L5770" s="7"/>
      <c r="M5770" s="5"/>
      <c r="N5770" s="5"/>
      <c r="O5770" s="5"/>
    </row>
    <row r="5771">
      <c r="A5771" s="6"/>
      <c r="C5771" s="6"/>
      <c r="L5771" s="7"/>
      <c r="M5771" s="5"/>
      <c r="N5771" s="5"/>
      <c r="O5771" s="5"/>
    </row>
    <row r="5772">
      <c r="A5772" s="6"/>
      <c r="C5772" s="6"/>
      <c r="L5772" s="7"/>
      <c r="M5772" s="5"/>
      <c r="N5772" s="5"/>
      <c r="O5772" s="5"/>
    </row>
    <row r="5773">
      <c r="A5773" s="6"/>
      <c r="C5773" s="6"/>
      <c r="L5773" s="7"/>
      <c r="M5773" s="5"/>
      <c r="N5773" s="5"/>
      <c r="O5773" s="5"/>
    </row>
    <row r="5774">
      <c r="A5774" s="6"/>
      <c r="C5774" s="6"/>
      <c r="L5774" s="7"/>
      <c r="M5774" s="5"/>
      <c r="N5774" s="5"/>
      <c r="O5774" s="5"/>
    </row>
    <row r="5775">
      <c r="A5775" s="6"/>
      <c r="C5775" s="6"/>
      <c r="L5775" s="7"/>
      <c r="M5775" s="5"/>
      <c r="N5775" s="5"/>
      <c r="O5775" s="5"/>
    </row>
    <row r="5776">
      <c r="A5776" s="6"/>
      <c r="C5776" s="6"/>
      <c r="L5776" s="7"/>
      <c r="M5776" s="5"/>
      <c r="N5776" s="5"/>
      <c r="O5776" s="5"/>
    </row>
    <row r="5777">
      <c r="A5777" s="6"/>
      <c r="C5777" s="6"/>
      <c r="L5777" s="7"/>
      <c r="M5777" s="5"/>
      <c r="N5777" s="5"/>
      <c r="O5777" s="5"/>
    </row>
    <row r="5778">
      <c r="A5778" s="6"/>
      <c r="C5778" s="6"/>
      <c r="L5778" s="7"/>
      <c r="M5778" s="5"/>
      <c r="N5778" s="5"/>
      <c r="O5778" s="5"/>
    </row>
    <row r="5779">
      <c r="A5779" s="6"/>
      <c r="C5779" s="6"/>
      <c r="L5779" s="7"/>
      <c r="M5779" s="5"/>
      <c r="N5779" s="5"/>
      <c r="O5779" s="5"/>
    </row>
    <row r="5780">
      <c r="A5780" s="6"/>
      <c r="C5780" s="6"/>
      <c r="L5780" s="7"/>
      <c r="M5780" s="5"/>
      <c r="N5780" s="5"/>
      <c r="O5780" s="5"/>
    </row>
    <row r="5781">
      <c r="A5781" s="6"/>
      <c r="C5781" s="6"/>
      <c r="L5781" s="7"/>
      <c r="M5781" s="5"/>
      <c r="N5781" s="5"/>
      <c r="O5781" s="5"/>
    </row>
    <row r="5782">
      <c r="A5782" s="6"/>
      <c r="C5782" s="6"/>
      <c r="L5782" s="7"/>
      <c r="M5782" s="5"/>
      <c r="N5782" s="5"/>
      <c r="O5782" s="5"/>
    </row>
    <row r="5783">
      <c r="A5783" s="6"/>
      <c r="C5783" s="6"/>
      <c r="L5783" s="7"/>
      <c r="M5783" s="5"/>
      <c r="N5783" s="5"/>
      <c r="O5783" s="5"/>
    </row>
    <row r="5784">
      <c r="A5784" s="6"/>
      <c r="C5784" s="6"/>
      <c r="L5784" s="7"/>
      <c r="M5784" s="5"/>
      <c r="N5784" s="5"/>
      <c r="O5784" s="5"/>
    </row>
    <row r="5785">
      <c r="A5785" s="6"/>
      <c r="C5785" s="6"/>
      <c r="L5785" s="7"/>
      <c r="M5785" s="5"/>
      <c r="N5785" s="5"/>
      <c r="O5785" s="5"/>
    </row>
    <row r="5786">
      <c r="A5786" s="6"/>
      <c r="C5786" s="6"/>
      <c r="L5786" s="7"/>
      <c r="M5786" s="5"/>
      <c r="N5786" s="5"/>
      <c r="O5786" s="5"/>
    </row>
    <row r="5787">
      <c r="A5787" s="6"/>
      <c r="C5787" s="6"/>
      <c r="L5787" s="7"/>
      <c r="M5787" s="5"/>
      <c r="N5787" s="5"/>
      <c r="O5787" s="5"/>
    </row>
    <row r="5788">
      <c r="A5788" s="6"/>
      <c r="C5788" s="6"/>
      <c r="L5788" s="7"/>
      <c r="M5788" s="5"/>
      <c r="N5788" s="5"/>
      <c r="O5788" s="5"/>
    </row>
    <row r="5789">
      <c r="A5789" s="6"/>
      <c r="C5789" s="6"/>
      <c r="L5789" s="7"/>
      <c r="M5789" s="5"/>
      <c r="N5789" s="5"/>
      <c r="O5789" s="5"/>
    </row>
    <row r="5790">
      <c r="A5790" s="6"/>
      <c r="C5790" s="6"/>
      <c r="L5790" s="7"/>
      <c r="M5790" s="5"/>
      <c r="N5790" s="5"/>
      <c r="O5790" s="5"/>
    </row>
    <row r="5791">
      <c r="A5791" s="6"/>
      <c r="C5791" s="6"/>
      <c r="L5791" s="7"/>
      <c r="M5791" s="5"/>
      <c r="N5791" s="5"/>
      <c r="O5791" s="5"/>
    </row>
    <row r="5792">
      <c r="A5792" s="6"/>
      <c r="C5792" s="6"/>
      <c r="L5792" s="7"/>
      <c r="M5792" s="5"/>
      <c r="N5792" s="5"/>
      <c r="O5792" s="5"/>
    </row>
    <row r="5793">
      <c r="A5793" s="6"/>
      <c r="C5793" s="6"/>
      <c r="L5793" s="7"/>
      <c r="M5793" s="5"/>
      <c r="N5793" s="5"/>
      <c r="O5793" s="5"/>
    </row>
    <row r="5794">
      <c r="A5794" s="6"/>
      <c r="C5794" s="6"/>
      <c r="L5794" s="7"/>
      <c r="M5794" s="5"/>
      <c r="N5794" s="5"/>
      <c r="O5794" s="5"/>
    </row>
    <row r="5795">
      <c r="A5795" s="6"/>
      <c r="C5795" s="6"/>
      <c r="L5795" s="7"/>
      <c r="M5795" s="5"/>
      <c r="N5795" s="5"/>
      <c r="O5795" s="5"/>
    </row>
    <row r="5796">
      <c r="A5796" s="6"/>
      <c r="C5796" s="6"/>
      <c r="L5796" s="7"/>
      <c r="M5796" s="5"/>
      <c r="N5796" s="5"/>
      <c r="O5796" s="5"/>
    </row>
    <row r="5797">
      <c r="A5797" s="6"/>
      <c r="C5797" s="6"/>
      <c r="L5797" s="7"/>
      <c r="M5797" s="5"/>
      <c r="N5797" s="5"/>
      <c r="O5797" s="5"/>
    </row>
    <row r="5798">
      <c r="A5798" s="6"/>
      <c r="C5798" s="6"/>
      <c r="L5798" s="7"/>
      <c r="M5798" s="5"/>
      <c r="N5798" s="5"/>
      <c r="O5798" s="5"/>
    </row>
    <row r="5799">
      <c r="A5799" s="6"/>
      <c r="C5799" s="6"/>
      <c r="L5799" s="7"/>
      <c r="M5799" s="5"/>
      <c r="N5799" s="5"/>
      <c r="O5799" s="5"/>
    </row>
    <row r="5800">
      <c r="A5800" s="6"/>
      <c r="C5800" s="6"/>
      <c r="L5800" s="7"/>
      <c r="M5800" s="5"/>
      <c r="N5800" s="5"/>
      <c r="O5800" s="5"/>
    </row>
    <row r="5801">
      <c r="A5801" s="6"/>
      <c r="C5801" s="6"/>
      <c r="L5801" s="7"/>
      <c r="M5801" s="5"/>
      <c r="N5801" s="5"/>
      <c r="O5801" s="5"/>
    </row>
    <row r="5802">
      <c r="A5802" s="6"/>
      <c r="C5802" s="6"/>
      <c r="L5802" s="7"/>
      <c r="M5802" s="5"/>
      <c r="N5802" s="5"/>
      <c r="O5802" s="5"/>
    </row>
    <row r="5803">
      <c r="A5803" s="6"/>
      <c r="C5803" s="6"/>
      <c r="L5803" s="7"/>
      <c r="M5803" s="5"/>
      <c r="N5803" s="5"/>
      <c r="O5803" s="5"/>
    </row>
    <row r="5804">
      <c r="A5804" s="6"/>
      <c r="C5804" s="6"/>
      <c r="L5804" s="7"/>
      <c r="M5804" s="5"/>
      <c r="N5804" s="5"/>
      <c r="O5804" s="5"/>
    </row>
    <row r="5805">
      <c r="A5805" s="6"/>
      <c r="C5805" s="6"/>
      <c r="L5805" s="7"/>
      <c r="M5805" s="5"/>
      <c r="N5805" s="5"/>
      <c r="O5805" s="5"/>
    </row>
    <row r="5806">
      <c r="A5806" s="6"/>
      <c r="C5806" s="6"/>
      <c r="L5806" s="7"/>
      <c r="M5806" s="5"/>
      <c r="N5806" s="5"/>
      <c r="O5806" s="5"/>
    </row>
    <row r="5807">
      <c r="A5807" s="6"/>
      <c r="C5807" s="6"/>
      <c r="L5807" s="7"/>
      <c r="M5807" s="5"/>
      <c r="N5807" s="5"/>
      <c r="O5807" s="5"/>
    </row>
    <row r="5808">
      <c r="A5808" s="6"/>
      <c r="C5808" s="6"/>
      <c r="L5808" s="7"/>
      <c r="M5808" s="5"/>
      <c r="N5808" s="5"/>
      <c r="O5808" s="5"/>
    </row>
    <row r="5809">
      <c r="A5809" s="6"/>
      <c r="C5809" s="6"/>
      <c r="L5809" s="7"/>
      <c r="M5809" s="5"/>
      <c r="N5809" s="5"/>
      <c r="O5809" s="5"/>
    </row>
    <row r="5810">
      <c r="A5810" s="6"/>
      <c r="C5810" s="6"/>
      <c r="L5810" s="7"/>
      <c r="M5810" s="5"/>
      <c r="N5810" s="5"/>
      <c r="O5810" s="5"/>
    </row>
    <row r="5811">
      <c r="A5811" s="6"/>
      <c r="C5811" s="6"/>
      <c r="L5811" s="7"/>
      <c r="M5811" s="5"/>
      <c r="N5811" s="5"/>
      <c r="O5811" s="5"/>
    </row>
    <row r="5812">
      <c r="A5812" s="6"/>
      <c r="C5812" s="6"/>
      <c r="L5812" s="7"/>
      <c r="M5812" s="5"/>
      <c r="N5812" s="5"/>
      <c r="O5812" s="5"/>
    </row>
    <row r="5813">
      <c r="A5813" s="6"/>
      <c r="C5813" s="6"/>
      <c r="L5813" s="7"/>
      <c r="M5813" s="5"/>
      <c r="N5813" s="5"/>
      <c r="O5813" s="5"/>
    </row>
    <row r="5814">
      <c r="A5814" s="6"/>
      <c r="C5814" s="6"/>
      <c r="L5814" s="7"/>
      <c r="M5814" s="5"/>
      <c r="N5814" s="5"/>
      <c r="O5814" s="5"/>
    </row>
    <row r="5815">
      <c r="A5815" s="6"/>
      <c r="C5815" s="6"/>
      <c r="L5815" s="7"/>
      <c r="M5815" s="5"/>
      <c r="N5815" s="5"/>
      <c r="O5815" s="5"/>
    </row>
    <row r="5816">
      <c r="A5816" s="6"/>
      <c r="C5816" s="6"/>
      <c r="L5816" s="7"/>
      <c r="M5816" s="5"/>
      <c r="N5816" s="5"/>
      <c r="O5816" s="5"/>
    </row>
    <row r="5817">
      <c r="A5817" s="6"/>
      <c r="C5817" s="6"/>
      <c r="L5817" s="7"/>
      <c r="M5817" s="5"/>
      <c r="N5817" s="5"/>
      <c r="O5817" s="5"/>
    </row>
    <row r="5818">
      <c r="A5818" s="6"/>
      <c r="C5818" s="6"/>
      <c r="L5818" s="7"/>
      <c r="M5818" s="5"/>
      <c r="N5818" s="5"/>
      <c r="O5818" s="5"/>
    </row>
    <row r="5819">
      <c r="A5819" s="6"/>
      <c r="C5819" s="6"/>
      <c r="L5819" s="7"/>
      <c r="M5819" s="5"/>
      <c r="N5819" s="5"/>
      <c r="O5819" s="5"/>
    </row>
    <row r="5820">
      <c r="A5820" s="6"/>
      <c r="C5820" s="6"/>
      <c r="L5820" s="7"/>
      <c r="M5820" s="5"/>
      <c r="N5820" s="5"/>
      <c r="O5820" s="5"/>
    </row>
    <row r="5821">
      <c r="A5821" s="6"/>
      <c r="C5821" s="6"/>
      <c r="L5821" s="7"/>
      <c r="M5821" s="5"/>
      <c r="N5821" s="5"/>
      <c r="O5821" s="5"/>
    </row>
    <row r="5822">
      <c r="A5822" s="6"/>
      <c r="C5822" s="6"/>
      <c r="L5822" s="7"/>
      <c r="M5822" s="5"/>
      <c r="N5822" s="5"/>
      <c r="O5822" s="5"/>
    </row>
    <row r="5823">
      <c r="A5823" s="6"/>
      <c r="C5823" s="6"/>
      <c r="L5823" s="7"/>
      <c r="M5823" s="5"/>
      <c r="N5823" s="5"/>
      <c r="O5823" s="5"/>
    </row>
    <row r="5824">
      <c r="A5824" s="6"/>
      <c r="C5824" s="6"/>
      <c r="L5824" s="7"/>
      <c r="M5824" s="5"/>
      <c r="N5824" s="5"/>
      <c r="O5824" s="5"/>
    </row>
    <row r="5825">
      <c r="A5825" s="6"/>
      <c r="C5825" s="6"/>
      <c r="L5825" s="7"/>
      <c r="M5825" s="5"/>
      <c r="N5825" s="5"/>
      <c r="O5825" s="5"/>
    </row>
    <row r="5826">
      <c r="A5826" s="6"/>
      <c r="C5826" s="6"/>
      <c r="L5826" s="7"/>
      <c r="M5826" s="5"/>
      <c r="N5826" s="5"/>
      <c r="O5826" s="5"/>
    </row>
    <row r="5827">
      <c r="A5827" s="6"/>
      <c r="C5827" s="6"/>
      <c r="L5827" s="7"/>
      <c r="M5827" s="5"/>
      <c r="N5827" s="5"/>
      <c r="O5827" s="5"/>
    </row>
    <row r="5828">
      <c r="A5828" s="6"/>
      <c r="C5828" s="6"/>
      <c r="L5828" s="7"/>
      <c r="M5828" s="5"/>
      <c r="N5828" s="5"/>
      <c r="O5828" s="5"/>
    </row>
    <row r="5829">
      <c r="A5829" s="6"/>
      <c r="C5829" s="6"/>
      <c r="L5829" s="7"/>
      <c r="M5829" s="5"/>
      <c r="N5829" s="5"/>
      <c r="O5829" s="5"/>
    </row>
    <row r="5830">
      <c r="A5830" s="6"/>
      <c r="C5830" s="6"/>
      <c r="L5830" s="7"/>
      <c r="M5830" s="5"/>
      <c r="N5830" s="5"/>
      <c r="O5830" s="5"/>
    </row>
    <row r="5831">
      <c r="A5831" s="6"/>
      <c r="C5831" s="6"/>
      <c r="L5831" s="7"/>
      <c r="M5831" s="5"/>
      <c r="N5831" s="5"/>
      <c r="O5831" s="5"/>
    </row>
    <row r="5832">
      <c r="A5832" s="6"/>
      <c r="C5832" s="6"/>
      <c r="L5832" s="7"/>
      <c r="M5832" s="5"/>
      <c r="N5832" s="5"/>
      <c r="O5832" s="5"/>
    </row>
    <row r="5833">
      <c r="A5833" s="6"/>
      <c r="C5833" s="6"/>
      <c r="L5833" s="7"/>
      <c r="M5833" s="5"/>
      <c r="N5833" s="5"/>
      <c r="O5833" s="5"/>
    </row>
    <row r="5834">
      <c r="A5834" s="6"/>
      <c r="C5834" s="6"/>
      <c r="L5834" s="7"/>
      <c r="M5834" s="5"/>
      <c r="N5834" s="5"/>
      <c r="O5834" s="5"/>
    </row>
    <row r="5835">
      <c r="A5835" s="6"/>
      <c r="C5835" s="6"/>
      <c r="L5835" s="7"/>
      <c r="M5835" s="5"/>
      <c r="N5835" s="5"/>
      <c r="O5835" s="5"/>
    </row>
    <row r="5836">
      <c r="A5836" s="6"/>
      <c r="C5836" s="6"/>
      <c r="L5836" s="7"/>
      <c r="M5836" s="5"/>
      <c r="N5836" s="5"/>
      <c r="O5836" s="5"/>
    </row>
    <row r="5837">
      <c r="A5837" s="6"/>
      <c r="C5837" s="6"/>
      <c r="L5837" s="7"/>
      <c r="M5837" s="5"/>
      <c r="N5837" s="5"/>
      <c r="O5837" s="5"/>
    </row>
    <row r="5838">
      <c r="A5838" s="6"/>
      <c r="C5838" s="6"/>
      <c r="L5838" s="7"/>
      <c r="M5838" s="5"/>
      <c r="N5838" s="5"/>
      <c r="O5838" s="5"/>
    </row>
    <row r="5839">
      <c r="A5839" s="6"/>
      <c r="C5839" s="6"/>
      <c r="L5839" s="7"/>
      <c r="M5839" s="5"/>
      <c r="N5839" s="5"/>
      <c r="O5839" s="5"/>
    </row>
    <row r="5840">
      <c r="A5840" s="6"/>
      <c r="C5840" s="6"/>
      <c r="L5840" s="7"/>
      <c r="M5840" s="5"/>
      <c r="N5840" s="5"/>
      <c r="O5840" s="5"/>
    </row>
    <row r="5841">
      <c r="A5841" s="6"/>
      <c r="C5841" s="6"/>
      <c r="L5841" s="7"/>
      <c r="M5841" s="5"/>
      <c r="N5841" s="5"/>
      <c r="O5841" s="5"/>
    </row>
    <row r="5842">
      <c r="A5842" s="6"/>
      <c r="C5842" s="6"/>
      <c r="L5842" s="7"/>
      <c r="M5842" s="5"/>
      <c r="N5842" s="5"/>
      <c r="O5842" s="5"/>
    </row>
    <row r="5843">
      <c r="A5843" s="6"/>
      <c r="C5843" s="6"/>
      <c r="L5843" s="7"/>
      <c r="M5843" s="5"/>
      <c r="N5843" s="5"/>
      <c r="O5843" s="5"/>
    </row>
    <row r="5844">
      <c r="A5844" s="6"/>
      <c r="C5844" s="6"/>
      <c r="L5844" s="7"/>
      <c r="M5844" s="5"/>
      <c r="N5844" s="5"/>
      <c r="O5844" s="5"/>
    </row>
    <row r="5845">
      <c r="A5845" s="6"/>
      <c r="C5845" s="6"/>
      <c r="L5845" s="7"/>
      <c r="M5845" s="5"/>
      <c r="N5845" s="5"/>
      <c r="O5845" s="5"/>
    </row>
    <row r="5846">
      <c r="A5846" s="6"/>
      <c r="C5846" s="6"/>
      <c r="L5846" s="7"/>
      <c r="M5846" s="5"/>
      <c r="N5846" s="5"/>
      <c r="O5846" s="5"/>
    </row>
    <row r="5847">
      <c r="A5847" s="6"/>
      <c r="C5847" s="6"/>
      <c r="L5847" s="7"/>
      <c r="M5847" s="5"/>
      <c r="N5847" s="5"/>
      <c r="O5847" s="5"/>
    </row>
    <row r="5848">
      <c r="A5848" s="6"/>
      <c r="C5848" s="6"/>
      <c r="L5848" s="7"/>
      <c r="M5848" s="5"/>
      <c r="N5848" s="5"/>
      <c r="O5848" s="5"/>
    </row>
    <row r="5849">
      <c r="A5849" s="6"/>
      <c r="C5849" s="6"/>
      <c r="L5849" s="7"/>
      <c r="M5849" s="5"/>
      <c r="N5849" s="5"/>
      <c r="O5849" s="5"/>
    </row>
    <row r="5850">
      <c r="A5850" s="6"/>
      <c r="C5850" s="6"/>
      <c r="L5850" s="7"/>
      <c r="M5850" s="5"/>
      <c r="N5850" s="5"/>
      <c r="O5850" s="5"/>
    </row>
    <row r="5851">
      <c r="A5851" s="6"/>
      <c r="C5851" s="6"/>
      <c r="L5851" s="7"/>
      <c r="M5851" s="5"/>
      <c r="N5851" s="5"/>
      <c r="O5851" s="5"/>
    </row>
    <row r="5852">
      <c r="A5852" s="6"/>
      <c r="C5852" s="6"/>
      <c r="L5852" s="7"/>
      <c r="M5852" s="5"/>
      <c r="N5852" s="5"/>
      <c r="O5852" s="5"/>
    </row>
    <row r="5853">
      <c r="A5853" s="6"/>
      <c r="C5853" s="6"/>
      <c r="L5853" s="7"/>
      <c r="M5853" s="5"/>
      <c r="N5853" s="5"/>
      <c r="O5853" s="5"/>
    </row>
    <row r="5854">
      <c r="A5854" s="6"/>
      <c r="C5854" s="6"/>
      <c r="L5854" s="7"/>
      <c r="M5854" s="5"/>
      <c r="N5854" s="5"/>
      <c r="O5854" s="5"/>
    </row>
    <row r="5855">
      <c r="A5855" s="6"/>
      <c r="C5855" s="6"/>
      <c r="L5855" s="7"/>
      <c r="M5855" s="5"/>
      <c r="N5855" s="5"/>
      <c r="O5855" s="5"/>
    </row>
    <row r="5856">
      <c r="A5856" s="6"/>
      <c r="C5856" s="6"/>
      <c r="L5856" s="7"/>
      <c r="M5856" s="5"/>
      <c r="N5856" s="5"/>
      <c r="O5856" s="5"/>
    </row>
    <row r="5857">
      <c r="A5857" s="6"/>
      <c r="C5857" s="6"/>
      <c r="L5857" s="7"/>
      <c r="M5857" s="5"/>
      <c r="N5857" s="5"/>
      <c r="O5857" s="5"/>
    </row>
    <row r="5858">
      <c r="A5858" s="6"/>
      <c r="C5858" s="6"/>
      <c r="L5858" s="7"/>
      <c r="M5858" s="5"/>
      <c r="N5858" s="5"/>
      <c r="O5858" s="5"/>
    </row>
    <row r="5859">
      <c r="A5859" s="6"/>
      <c r="C5859" s="6"/>
      <c r="L5859" s="7"/>
      <c r="M5859" s="5"/>
      <c r="N5859" s="5"/>
      <c r="O5859" s="5"/>
    </row>
    <row r="5860">
      <c r="A5860" s="6"/>
      <c r="C5860" s="6"/>
      <c r="L5860" s="7"/>
      <c r="M5860" s="5"/>
      <c r="N5860" s="5"/>
      <c r="O5860" s="5"/>
    </row>
    <row r="5861">
      <c r="A5861" s="6"/>
      <c r="C5861" s="6"/>
      <c r="L5861" s="7"/>
      <c r="M5861" s="5"/>
      <c r="N5861" s="5"/>
      <c r="O5861" s="5"/>
    </row>
    <row r="5862">
      <c r="A5862" s="6"/>
      <c r="C5862" s="6"/>
      <c r="L5862" s="7"/>
      <c r="M5862" s="5"/>
      <c r="N5862" s="5"/>
      <c r="O5862" s="5"/>
    </row>
    <row r="5863">
      <c r="A5863" s="6"/>
      <c r="C5863" s="6"/>
      <c r="L5863" s="7"/>
      <c r="M5863" s="5"/>
      <c r="N5863" s="5"/>
      <c r="O5863" s="5"/>
    </row>
    <row r="5864">
      <c r="A5864" s="6"/>
      <c r="C5864" s="6"/>
      <c r="L5864" s="7"/>
      <c r="M5864" s="5"/>
      <c r="N5864" s="5"/>
      <c r="O5864" s="5"/>
    </row>
    <row r="5865">
      <c r="A5865" s="6"/>
      <c r="C5865" s="6"/>
      <c r="L5865" s="7"/>
      <c r="M5865" s="5"/>
      <c r="N5865" s="5"/>
      <c r="O5865" s="5"/>
    </row>
    <row r="5866">
      <c r="A5866" s="6"/>
      <c r="C5866" s="6"/>
      <c r="L5866" s="7"/>
      <c r="M5866" s="5"/>
      <c r="N5866" s="5"/>
      <c r="O5866" s="5"/>
    </row>
    <row r="5867">
      <c r="A5867" s="6"/>
      <c r="C5867" s="6"/>
      <c r="L5867" s="7"/>
      <c r="M5867" s="5"/>
      <c r="N5867" s="5"/>
      <c r="O5867" s="5"/>
    </row>
    <row r="5868">
      <c r="A5868" s="6"/>
      <c r="C5868" s="6"/>
      <c r="L5868" s="7"/>
      <c r="M5868" s="5"/>
      <c r="N5868" s="5"/>
      <c r="O5868" s="5"/>
    </row>
    <row r="5869">
      <c r="A5869" s="6"/>
      <c r="C5869" s="6"/>
      <c r="L5869" s="7"/>
      <c r="M5869" s="5"/>
      <c r="N5869" s="5"/>
      <c r="O5869" s="5"/>
    </row>
    <row r="5870">
      <c r="A5870" s="6"/>
      <c r="C5870" s="6"/>
      <c r="L5870" s="7"/>
      <c r="M5870" s="5"/>
      <c r="N5870" s="5"/>
      <c r="O5870" s="5"/>
    </row>
    <row r="5871">
      <c r="A5871" s="6"/>
      <c r="C5871" s="6"/>
      <c r="L5871" s="7"/>
      <c r="M5871" s="5"/>
      <c r="N5871" s="5"/>
      <c r="O5871" s="5"/>
    </row>
    <row r="5872">
      <c r="A5872" s="6"/>
      <c r="C5872" s="6"/>
      <c r="L5872" s="7"/>
      <c r="M5872" s="5"/>
      <c r="N5872" s="5"/>
      <c r="O5872" s="5"/>
    </row>
    <row r="5873">
      <c r="A5873" s="6"/>
      <c r="C5873" s="6"/>
      <c r="L5873" s="7"/>
      <c r="M5873" s="5"/>
      <c r="N5873" s="5"/>
      <c r="O5873" s="5"/>
    </row>
    <row r="5874">
      <c r="A5874" s="6"/>
      <c r="C5874" s="6"/>
      <c r="L5874" s="7"/>
      <c r="M5874" s="5"/>
      <c r="N5874" s="5"/>
      <c r="O5874" s="5"/>
    </row>
    <row r="5875">
      <c r="A5875" s="6"/>
      <c r="C5875" s="6"/>
      <c r="L5875" s="7"/>
      <c r="M5875" s="5"/>
      <c r="N5875" s="5"/>
      <c r="O5875" s="5"/>
    </row>
    <row r="5876">
      <c r="A5876" s="6"/>
      <c r="C5876" s="6"/>
      <c r="L5876" s="7"/>
      <c r="M5876" s="5"/>
      <c r="N5876" s="5"/>
      <c r="O5876" s="5"/>
    </row>
    <row r="5877">
      <c r="A5877" s="6"/>
      <c r="C5877" s="6"/>
      <c r="L5877" s="7"/>
      <c r="M5877" s="5"/>
      <c r="N5877" s="5"/>
      <c r="O5877" s="5"/>
    </row>
    <row r="5878">
      <c r="A5878" s="6"/>
      <c r="C5878" s="6"/>
      <c r="L5878" s="7"/>
      <c r="M5878" s="5"/>
      <c r="N5878" s="5"/>
      <c r="O5878" s="5"/>
    </row>
    <row r="5879">
      <c r="A5879" s="6"/>
      <c r="C5879" s="6"/>
      <c r="L5879" s="7"/>
      <c r="M5879" s="5"/>
      <c r="N5879" s="5"/>
      <c r="O5879" s="5"/>
    </row>
    <row r="5880">
      <c r="A5880" s="6"/>
      <c r="C5880" s="6"/>
      <c r="L5880" s="7"/>
      <c r="M5880" s="5"/>
      <c r="N5880" s="5"/>
      <c r="O5880" s="5"/>
    </row>
    <row r="5881">
      <c r="A5881" s="6"/>
      <c r="C5881" s="6"/>
      <c r="L5881" s="7"/>
      <c r="M5881" s="5"/>
      <c r="N5881" s="5"/>
      <c r="O5881" s="5"/>
    </row>
    <row r="5882">
      <c r="A5882" s="6"/>
      <c r="C5882" s="6"/>
      <c r="L5882" s="7"/>
      <c r="M5882" s="5"/>
      <c r="N5882" s="5"/>
      <c r="O5882" s="5"/>
    </row>
    <row r="5883">
      <c r="A5883" s="6"/>
      <c r="C5883" s="6"/>
      <c r="L5883" s="7"/>
      <c r="M5883" s="5"/>
      <c r="N5883" s="5"/>
      <c r="O5883" s="5"/>
    </row>
    <row r="5884">
      <c r="A5884" s="6"/>
      <c r="C5884" s="6"/>
      <c r="L5884" s="7"/>
      <c r="M5884" s="5"/>
      <c r="N5884" s="5"/>
      <c r="O5884" s="5"/>
    </row>
    <row r="5885">
      <c r="A5885" s="6"/>
      <c r="C5885" s="6"/>
      <c r="L5885" s="7"/>
      <c r="M5885" s="5"/>
      <c r="N5885" s="5"/>
      <c r="O5885" s="5"/>
    </row>
    <row r="5886">
      <c r="A5886" s="6"/>
      <c r="C5886" s="6"/>
      <c r="L5886" s="7"/>
      <c r="M5886" s="5"/>
      <c r="N5886" s="5"/>
      <c r="O5886" s="5"/>
    </row>
    <row r="5887">
      <c r="A5887" s="6"/>
      <c r="C5887" s="6"/>
      <c r="L5887" s="7"/>
      <c r="M5887" s="5"/>
      <c r="N5887" s="5"/>
      <c r="O5887" s="5"/>
    </row>
    <row r="5888">
      <c r="A5888" s="6"/>
      <c r="C5888" s="6"/>
      <c r="L5888" s="7"/>
      <c r="M5888" s="5"/>
      <c r="N5888" s="5"/>
      <c r="O5888" s="5"/>
    </row>
    <row r="5889">
      <c r="A5889" s="6"/>
      <c r="C5889" s="6"/>
      <c r="L5889" s="7"/>
      <c r="M5889" s="5"/>
      <c r="N5889" s="5"/>
      <c r="O5889" s="5"/>
    </row>
    <row r="5890">
      <c r="A5890" s="6"/>
      <c r="C5890" s="6"/>
      <c r="L5890" s="7"/>
      <c r="M5890" s="5"/>
      <c r="N5890" s="5"/>
      <c r="O5890" s="5"/>
    </row>
    <row r="5891">
      <c r="A5891" s="6"/>
      <c r="C5891" s="6"/>
      <c r="L5891" s="7"/>
      <c r="M5891" s="5"/>
      <c r="N5891" s="5"/>
      <c r="O5891" s="5"/>
    </row>
    <row r="5892">
      <c r="A5892" s="6"/>
      <c r="C5892" s="6"/>
      <c r="L5892" s="7"/>
      <c r="M5892" s="5"/>
      <c r="N5892" s="5"/>
      <c r="O5892" s="5"/>
    </row>
    <row r="5893">
      <c r="A5893" s="6"/>
      <c r="C5893" s="6"/>
      <c r="L5893" s="7"/>
      <c r="M5893" s="5"/>
      <c r="N5893" s="5"/>
      <c r="O5893" s="5"/>
    </row>
    <row r="5894">
      <c r="A5894" s="6"/>
      <c r="C5894" s="6"/>
      <c r="L5894" s="7"/>
      <c r="M5894" s="5"/>
      <c r="N5894" s="5"/>
      <c r="O5894" s="5"/>
    </row>
    <row r="5895">
      <c r="A5895" s="6"/>
      <c r="C5895" s="6"/>
      <c r="L5895" s="7"/>
      <c r="M5895" s="5"/>
      <c r="N5895" s="5"/>
      <c r="O5895" s="5"/>
    </row>
    <row r="5896">
      <c r="A5896" s="6"/>
      <c r="C5896" s="6"/>
      <c r="L5896" s="7"/>
      <c r="M5896" s="5"/>
      <c r="N5896" s="5"/>
      <c r="O5896" s="5"/>
    </row>
    <row r="5897">
      <c r="A5897" s="6"/>
      <c r="C5897" s="6"/>
      <c r="L5897" s="7"/>
      <c r="M5897" s="5"/>
      <c r="N5897" s="5"/>
      <c r="O5897" s="5"/>
    </row>
    <row r="5898">
      <c r="A5898" s="6"/>
      <c r="C5898" s="6"/>
      <c r="L5898" s="7"/>
      <c r="M5898" s="5"/>
      <c r="N5898" s="5"/>
      <c r="O5898" s="5"/>
    </row>
    <row r="5899">
      <c r="A5899" s="6"/>
      <c r="C5899" s="6"/>
      <c r="L5899" s="7"/>
      <c r="M5899" s="5"/>
      <c r="N5899" s="5"/>
      <c r="O5899" s="5"/>
    </row>
    <row r="5900">
      <c r="A5900" s="6"/>
      <c r="C5900" s="6"/>
      <c r="L5900" s="7"/>
      <c r="M5900" s="5"/>
      <c r="N5900" s="5"/>
      <c r="O5900" s="5"/>
    </row>
    <row r="5901">
      <c r="A5901" s="6"/>
      <c r="C5901" s="6"/>
      <c r="L5901" s="7"/>
      <c r="M5901" s="5"/>
      <c r="N5901" s="5"/>
      <c r="O5901" s="5"/>
    </row>
    <row r="5902">
      <c r="A5902" s="6"/>
      <c r="C5902" s="6"/>
      <c r="L5902" s="7"/>
      <c r="M5902" s="5"/>
      <c r="N5902" s="5"/>
      <c r="O5902" s="5"/>
    </row>
    <row r="5903">
      <c r="A5903" s="6"/>
      <c r="C5903" s="6"/>
      <c r="L5903" s="7"/>
      <c r="M5903" s="5"/>
      <c r="N5903" s="5"/>
      <c r="O5903" s="5"/>
    </row>
    <row r="5904">
      <c r="A5904" s="6"/>
      <c r="C5904" s="6"/>
      <c r="L5904" s="7"/>
      <c r="M5904" s="5"/>
      <c r="N5904" s="5"/>
      <c r="O5904" s="5"/>
    </row>
    <row r="5905">
      <c r="A5905" s="6"/>
      <c r="C5905" s="6"/>
      <c r="L5905" s="7"/>
      <c r="M5905" s="5"/>
      <c r="N5905" s="5"/>
      <c r="O5905" s="5"/>
    </row>
    <row r="5906">
      <c r="A5906" s="6"/>
      <c r="C5906" s="6"/>
      <c r="L5906" s="7"/>
      <c r="M5906" s="5"/>
      <c r="N5906" s="5"/>
      <c r="O5906" s="5"/>
    </row>
    <row r="5907">
      <c r="A5907" s="6"/>
      <c r="C5907" s="6"/>
      <c r="L5907" s="7"/>
      <c r="M5907" s="5"/>
      <c r="N5907" s="5"/>
      <c r="O5907" s="5"/>
    </row>
    <row r="5908">
      <c r="A5908" s="6"/>
      <c r="C5908" s="6"/>
      <c r="L5908" s="7"/>
      <c r="M5908" s="5"/>
      <c r="N5908" s="5"/>
      <c r="O5908" s="5"/>
    </row>
    <row r="5909">
      <c r="A5909" s="6"/>
      <c r="C5909" s="6"/>
      <c r="L5909" s="7"/>
      <c r="M5909" s="5"/>
      <c r="N5909" s="5"/>
      <c r="O5909" s="5"/>
    </row>
    <row r="5910">
      <c r="A5910" s="6"/>
      <c r="C5910" s="6"/>
      <c r="L5910" s="7"/>
      <c r="M5910" s="5"/>
      <c r="N5910" s="5"/>
      <c r="O5910" s="5"/>
    </row>
    <row r="5911">
      <c r="A5911" s="6"/>
      <c r="C5911" s="6"/>
      <c r="L5911" s="7"/>
      <c r="M5911" s="5"/>
      <c r="N5911" s="5"/>
      <c r="O5911" s="5"/>
    </row>
    <row r="5912">
      <c r="A5912" s="6"/>
      <c r="C5912" s="6"/>
      <c r="L5912" s="7"/>
      <c r="M5912" s="5"/>
      <c r="N5912" s="5"/>
      <c r="O5912" s="5"/>
    </row>
    <row r="5913">
      <c r="A5913" s="6"/>
      <c r="C5913" s="6"/>
      <c r="L5913" s="7"/>
      <c r="M5913" s="5"/>
      <c r="N5913" s="5"/>
      <c r="O5913" s="5"/>
    </row>
    <row r="5914">
      <c r="A5914" s="6"/>
      <c r="C5914" s="6"/>
      <c r="L5914" s="7"/>
      <c r="M5914" s="5"/>
      <c r="N5914" s="5"/>
      <c r="O5914" s="5"/>
    </row>
    <row r="5915">
      <c r="A5915" s="6"/>
      <c r="C5915" s="6"/>
      <c r="L5915" s="7"/>
      <c r="M5915" s="5"/>
      <c r="N5915" s="5"/>
      <c r="O5915" s="5"/>
    </row>
    <row r="5916">
      <c r="A5916" s="6"/>
      <c r="C5916" s="6"/>
      <c r="L5916" s="7"/>
      <c r="M5916" s="5"/>
      <c r="N5916" s="5"/>
      <c r="O5916" s="5"/>
    </row>
    <row r="5917">
      <c r="A5917" s="6"/>
      <c r="C5917" s="6"/>
      <c r="L5917" s="7"/>
      <c r="M5917" s="5"/>
      <c r="N5917" s="5"/>
      <c r="O5917" s="5"/>
    </row>
    <row r="5918">
      <c r="A5918" s="6"/>
      <c r="C5918" s="6"/>
      <c r="L5918" s="7"/>
      <c r="M5918" s="5"/>
      <c r="N5918" s="5"/>
      <c r="O5918" s="5"/>
    </row>
    <row r="5919">
      <c r="A5919" s="6"/>
      <c r="C5919" s="6"/>
      <c r="L5919" s="7"/>
      <c r="M5919" s="5"/>
      <c r="N5919" s="5"/>
      <c r="O5919" s="5"/>
    </row>
    <row r="5920">
      <c r="A5920" s="6"/>
      <c r="C5920" s="6"/>
      <c r="L5920" s="7"/>
      <c r="M5920" s="5"/>
      <c r="N5920" s="5"/>
      <c r="O5920" s="5"/>
    </row>
    <row r="5921">
      <c r="A5921" s="6"/>
      <c r="C5921" s="6"/>
      <c r="L5921" s="7"/>
      <c r="M5921" s="5"/>
      <c r="N5921" s="5"/>
      <c r="O5921" s="5"/>
    </row>
    <row r="5922">
      <c r="A5922" s="6"/>
      <c r="C5922" s="6"/>
      <c r="L5922" s="7"/>
      <c r="M5922" s="5"/>
      <c r="N5922" s="5"/>
      <c r="O5922" s="5"/>
    </row>
    <row r="5923">
      <c r="A5923" s="6"/>
      <c r="C5923" s="6"/>
      <c r="L5923" s="7"/>
      <c r="M5923" s="5"/>
      <c r="N5923" s="5"/>
      <c r="O5923" s="5"/>
    </row>
    <row r="5924">
      <c r="A5924" s="6"/>
      <c r="C5924" s="6"/>
      <c r="L5924" s="7"/>
      <c r="M5924" s="5"/>
      <c r="N5924" s="5"/>
      <c r="O5924" s="5"/>
    </row>
    <row r="5925">
      <c r="A5925" s="6"/>
      <c r="C5925" s="6"/>
      <c r="L5925" s="7"/>
      <c r="M5925" s="5"/>
      <c r="N5925" s="5"/>
      <c r="O5925" s="5"/>
    </row>
    <row r="5926">
      <c r="A5926" s="6"/>
      <c r="C5926" s="6"/>
      <c r="L5926" s="7"/>
      <c r="M5926" s="5"/>
      <c r="N5926" s="5"/>
      <c r="O5926" s="5"/>
    </row>
    <row r="5927">
      <c r="A5927" s="6"/>
      <c r="C5927" s="6"/>
      <c r="L5927" s="7"/>
      <c r="M5927" s="5"/>
      <c r="N5927" s="5"/>
      <c r="O5927" s="5"/>
    </row>
    <row r="5928">
      <c r="A5928" s="6"/>
      <c r="C5928" s="6"/>
      <c r="L5928" s="7"/>
      <c r="M5928" s="5"/>
      <c r="N5928" s="5"/>
      <c r="O5928" s="5"/>
    </row>
    <row r="5929">
      <c r="A5929" s="6"/>
      <c r="C5929" s="6"/>
      <c r="L5929" s="7"/>
      <c r="M5929" s="5"/>
      <c r="N5929" s="5"/>
      <c r="O5929" s="5"/>
    </row>
    <row r="5930">
      <c r="A5930" s="6"/>
      <c r="C5930" s="6"/>
      <c r="L5930" s="7"/>
      <c r="M5930" s="5"/>
      <c r="N5930" s="5"/>
      <c r="O5930" s="5"/>
    </row>
    <row r="5931">
      <c r="A5931" s="6"/>
      <c r="C5931" s="6"/>
      <c r="L5931" s="7"/>
      <c r="M5931" s="5"/>
      <c r="N5931" s="5"/>
      <c r="O5931" s="5"/>
    </row>
    <row r="5932">
      <c r="A5932" s="6"/>
      <c r="C5932" s="6"/>
      <c r="L5932" s="7"/>
      <c r="M5932" s="5"/>
      <c r="N5932" s="5"/>
      <c r="O5932" s="5"/>
    </row>
    <row r="5933">
      <c r="A5933" s="6"/>
      <c r="C5933" s="6"/>
      <c r="L5933" s="7"/>
      <c r="M5933" s="5"/>
      <c r="N5933" s="5"/>
      <c r="O5933" s="5"/>
    </row>
    <row r="5934">
      <c r="A5934" s="6"/>
      <c r="C5934" s="6"/>
      <c r="L5934" s="7"/>
      <c r="M5934" s="5"/>
      <c r="N5934" s="5"/>
      <c r="O5934" s="5"/>
    </row>
    <row r="5935">
      <c r="A5935" s="6"/>
      <c r="C5935" s="6"/>
      <c r="L5935" s="7"/>
      <c r="M5935" s="5"/>
      <c r="N5935" s="5"/>
      <c r="O5935" s="5"/>
    </row>
    <row r="5936">
      <c r="A5936" s="6"/>
      <c r="C5936" s="6"/>
      <c r="L5936" s="7"/>
      <c r="M5936" s="5"/>
      <c r="N5936" s="5"/>
      <c r="O5936" s="5"/>
    </row>
    <row r="5937">
      <c r="A5937" s="6"/>
      <c r="C5937" s="6"/>
      <c r="L5937" s="7"/>
      <c r="M5937" s="5"/>
      <c r="N5937" s="5"/>
      <c r="O5937" s="5"/>
    </row>
    <row r="5938">
      <c r="A5938" s="6"/>
      <c r="C5938" s="6"/>
      <c r="L5938" s="7"/>
      <c r="M5938" s="5"/>
      <c r="N5938" s="5"/>
      <c r="O5938" s="5"/>
    </row>
    <row r="5939">
      <c r="A5939" s="6"/>
      <c r="C5939" s="6"/>
      <c r="L5939" s="7"/>
      <c r="M5939" s="5"/>
      <c r="N5939" s="5"/>
      <c r="O5939" s="5"/>
    </row>
    <row r="5940">
      <c r="A5940" s="6"/>
      <c r="C5940" s="6"/>
      <c r="L5940" s="7"/>
      <c r="M5940" s="5"/>
      <c r="N5940" s="5"/>
      <c r="O5940" s="5"/>
    </row>
    <row r="5941">
      <c r="A5941" s="6"/>
      <c r="C5941" s="6"/>
      <c r="L5941" s="7"/>
      <c r="M5941" s="5"/>
      <c r="N5941" s="5"/>
      <c r="O5941" s="5"/>
    </row>
    <row r="5942">
      <c r="A5942" s="6"/>
      <c r="C5942" s="6"/>
      <c r="L5942" s="7"/>
      <c r="M5942" s="5"/>
      <c r="N5942" s="5"/>
      <c r="O5942" s="5"/>
    </row>
    <row r="5943">
      <c r="A5943" s="6"/>
      <c r="C5943" s="6"/>
      <c r="L5943" s="7"/>
      <c r="M5943" s="5"/>
      <c r="N5943" s="5"/>
      <c r="O5943" s="5"/>
    </row>
    <row r="5944">
      <c r="A5944" s="6"/>
      <c r="C5944" s="6"/>
      <c r="L5944" s="7"/>
      <c r="M5944" s="5"/>
      <c r="N5944" s="5"/>
      <c r="O5944" s="5"/>
    </row>
    <row r="5945">
      <c r="A5945" s="6"/>
      <c r="C5945" s="6"/>
      <c r="L5945" s="7"/>
      <c r="M5945" s="5"/>
      <c r="N5945" s="5"/>
      <c r="O5945" s="5"/>
    </row>
    <row r="5946">
      <c r="A5946" s="6"/>
      <c r="C5946" s="6"/>
      <c r="L5946" s="7"/>
      <c r="M5946" s="5"/>
      <c r="N5946" s="5"/>
      <c r="O5946" s="5"/>
    </row>
    <row r="5947">
      <c r="A5947" s="6"/>
      <c r="C5947" s="6"/>
      <c r="L5947" s="7"/>
      <c r="M5947" s="5"/>
      <c r="N5947" s="5"/>
      <c r="O5947" s="5"/>
    </row>
    <row r="5948">
      <c r="A5948" s="6"/>
      <c r="C5948" s="6"/>
      <c r="L5948" s="7"/>
      <c r="M5948" s="5"/>
      <c r="N5948" s="5"/>
      <c r="O5948" s="5"/>
    </row>
    <row r="5949">
      <c r="A5949" s="6"/>
      <c r="C5949" s="6"/>
      <c r="L5949" s="7"/>
      <c r="M5949" s="5"/>
      <c r="N5949" s="5"/>
      <c r="O5949" s="5"/>
    </row>
    <row r="5950">
      <c r="A5950" s="6"/>
      <c r="C5950" s="6"/>
      <c r="L5950" s="7"/>
      <c r="M5950" s="5"/>
      <c r="N5950" s="5"/>
      <c r="O5950" s="5"/>
    </row>
    <row r="5951">
      <c r="A5951" s="6"/>
      <c r="C5951" s="6"/>
      <c r="L5951" s="7"/>
      <c r="M5951" s="5"/>
      <c r="N5951" s="5"/>
      <c r="O5951" s="5"/>
    </row>
    <row r="5952">
      <c r="A5952" s="6"/>
      <c r="C5952" s="6"/>
      <c r="L5952" s="7"/>
      <c r="M5952" s="5"/>
      <c r="N5952" s="5"/>
      <c r="O5952" s="5"/>
    </row>
    <row r="5953">
      <c r="A5953" s="6"/>
      <c r="C5953" s="6"/>
      <c r="L5953" s="7"/>
      <c r="M5953" s="5"/>
      <c r="N5953" s="5"/>
      <c r="O5953" s="5"/>
    </row>
    <row r="5954">
      <c r="A5954" s="6"/>
      <c r="C5954" s="6"/>
      <c r="L5954" s="7"/>
      <c r="M5954" s="5"/>
      <c r="N5954" s="5"/>
      <c r="O5954" s="5"/>
    </row>
    <row r="5955">
      <c r="A5955" s="6"/>
      <c r="C5955" s="6"/>
      <c r="L5955" s="7"/>
      <c r="M5955" s="5"/>
      <c r="N5955" s="5"/>
      <c r="O5955" s="5"/>
    </row>
    <row r="5956">
      <c r="A5956" s="6"/>
      <c r="C5956" s="6"/>
      <c r="L5956" s="7"/>
      <c r="M5956" s="5"/>
      <c r="N5956" s="5"/>
      <c r="O5956" s="5"/>
    </row>
    <row r="5957">
      <c r="A5957" s="6"/>
      <c r="C5957" s="6"/>
      <c r="L5957" s="7"/>
      <c r="M5957" s="5"/>
      <c r="N5957" s="5"/>
      <c r="O5957" s="5"/>
    </row>
    <row r="5958">
      <c r="A5958" s="6"/>
      <c r="C5958" s="6"/>
      <c r="L5958" s="7"/>
      <c r="M5958" s="5"/>
      <c r="N5958" s="5"/>
      <c r="O5958" s="5"/>
    </row>
    <row r="5959">
      <c r="A5959" s="6"/>
      <c r="C5959" s="6"/>
      <c r="L5959" s="7"/>
      <c r="M5959" s="5"/>
      <c r="N5959" s="5"/>
      <c r="O5959" s="5"/>
    </row>
    <row r="5960">
      <c r="A5960" s="6"/>
      <c r="C5960" s="6"/>
      <c r="L5960" s="7"/>
      <c r="M5960" s="5"/>
      <c r="N5960" s="5"/>
      <c r="O5960" s="5"/>
    </row>
    <row r="5961">
      <c r="A5961" s="6"/>
      <c r="C5961" s="6"/>
      <c r="L5961" s="7"/>
      <c r="M5961" s="5"/>
      <c r="N5961" s="5"/>
      <c r="O5961" s="5"/>
    </row>
    <row r="5962">
      <c r="A5962" s="6"/>
      <c r="C5962" s="6"/>
      <c r="L5962" s="7"/>
      <c r="M5962" s="5"/>
      <c r="N5962" s="5"/>
      <c r="O5962" s="5"/>
    </row>
    <row r="5963">
      <c r="A5963" s="6"/>
      <c r="C5963" s="6"/>
      <c r="L5963" s="7"/>
      <c r="M5963" s="5"/>
      <c r="N5963" s="5"/>
      <c r="O5963" s="5"/>
    </row>
    <row r="5964">
      <c r="A5964" s="6"/>
      <c r="C5964" s="6"/>
      <c r="L5964" s="7"/>
      <c r="M5964" s="5"/>
      <c r="N5964" s="5"/>
      <c r="O5964" s="5"/>
    </row>
    <row r="5965">
      <c r="A5965" s="6"/>
      <c r="C5965" s="6"/>
      <c r="L5965" s="7"/>
      <c r="M5965" s="5"/>
      <c r="N5965" s="5"/>
      <c r="O5965" s="5"/>
    </row>
    <row r="5966">
      <c r="A5966" s="6"/>
      <c r="C5966" s="6"/>
      <c r="L5966" s="7"/>
      <c r="M5966" s="5"/>
      <c r="N5966" s="5"/>
      <c r="O5966" s="5"/>
    </row>
    <row r="5967">
      <c r="A5967" s="6"/>
      <c r="C5967" s="6"/>
      <c r="L5967" s="7"/>
      <c r="M5967" s="5"/>
      <c r="N5967" s="5"/>
      <c r="O5967" s="5"/>
    </row>
    <row r="5968">
      <c r="A5968" s="6"/>
      <c r="C5968" s="6"/>
      <c r="L5968" s="7"/>
      <c r="M5968" s="5"/>
      <c r="N5968" s="5"/>
      <c r="O5968" s="5"/>
    </row>
    <row r="5969">
      <c r="A5969" s="6"/>
      <c r="C5969" s="6"/>
      <c r="L5969" s="7"/>
      <c r="M5969" s="5"/>
      <c r="N5969" s="5"/>
      <c r="O5969" s="5"/>
    </row>
    <row r="5970">
      <c r="A5970" s="6"/>
      <c r="C5970" s="6"/>
      <c r="L5970" s="7"/>
      <c r="M5970" s="5"/>
      <c r="N5970" s="5"/>
      <c r="O5970" s="5"/>
    </row>
    <row r="5971">
      <c r="A5971" s="6"/>
      <c r="C5971" s="6"/>
      <c r="L5971" s="7"/>
      <c r="M5971" s="5"/>
      <c r="N5971" s="5"/>
      <c r="O5971" s="5"/>
    </row>
    <row r="5972">
      <c r="A5972" s="6"/>
      <c r="C5972" s="6"/>
      <c r="L5972" s="7"/>
      <c r="M5972" s="5"/>
      <c r="N5972" s="5"/>
      <c r="O5972" s="5"/>
    </row>
    <row r="5973">
      <c r="A5973" s="6"/>
      <c r="C5973" s="6"/>
      <c r="L5973" s="7"/>
      <c r="M5973" s="5"/>
      <c r="N5973" s="5"/>
      <c r="O5973" s="5"/>
    </row>
    <row r="5974">
      <c r="A5974" s="6"/>
      <c r="C5974" s="6"/>
      <c r="L5974" s="7"/>
      <c r="M5974" s="5"/>
      <c r="N5974" s="5"/>
      <c r="O5974" s="5"/>
    </row>
    <row r="5975">
      <c r="A5975" s="6"/>
      <c r="C5975" s="6"/>
      <c r="L5975" s="7"/>
      <c r="M5975" s="5"/>
      <c r="N5975" s="5"/>
      <c r="O5975" s="5"/>
    </row>
    <row r="5976">
      <c r="A5976" s="6"/>
      <c r="C5976" s="6"/>
      <c r="L5976" s="7"/>
      <c r="M5976" s="5"/>
      <c r="N5976" s="5"/>
      <c r="O5976" s="5"/>
    </row>
    <row r="5977">
      <c r="A5977" s="6"/>
      <c r="C5977" s="6"/>
      <c r="L5977" s="7"/>
      <c r="M5977" s="5"/>
      <c r="N5977" s="5"/>
      <c r="O5977" s="5"/>
    </row>
    <row r="5978">
      <c r="A5978" s="6"/>
      <c r="C5978" s="6"/>
      <c r="L5978" s="7"/>
      <c r="M5978" s="5"/>
      <c r="N5978" s="5"/>
      <c r="O5978" s="5"/>
    </row>
    <row r="5979">
      <c r="A5979" s="6"/>
      <c r="C5979" s="6"/>
      <c r="L5979" s="7"/>
      <c r="M5979" s="5"/>
      <c r="N5979" s="5"/>
      <c r="O5979" s="5"/>
    </row>
    <row r="5980">
      <c r="A5980" s="6"/>
      <c r="C5980" s="6"/>
      <c r="L5980" s="7"/>
      <c r="M5980" s="5"/>
      <c r="N5980" s="5"/>
      <c r="O5980" s="5"/>
    </row>
    <row r="5981">
      <c r="A5981" s="6"/>
      <c r="C5981" s="6"/>
      <c r="L5981" s="7"/>
      <c r="M5981" s="5"/>
      <c r="N5981" s="5"/>
      <c r="O5981" s="5"/>
    </row>
    <row r="5982">
      <c r="A5982" s="6"/>
      <c r="C5982" s="6"/>
      <c r="L5982" s="7"/>
      <c r="M5982" s="5"/>
      <c r="N5982" s="5"/>
      <c r="O5982" s="5"/>
    </row>
    <row r="5983">
      <c r="A5983" s="6"/>
      <c r="C5983" s="6"/>
      <c r="L5983" s="7"/>
      <c r="M5983" s="5"/>
      <c r="N5983" s="5"/>
      <c r="O5983" s="5"/>
    </row>
    <row r="5984">
      <c r="A5984" s="6"/>
      <c r="C5984" s="6"/>
      <c r="L5984" s="7"/>
      <c r="M5984" s="5"/>
      <c r="N5984" s="5"/>
      <c r="O5984" s="5"/>
    </row>
    <row r="5985">
      <c r="A5985" s="6"/>
      <c r="C5985" s="6"/>
      <c r="L5985" s="7"/>
      <c r="M5985" s="5"/>
      <c r="N5985" s="5"/>
      <c r="O5985" s="5"/>
    </row>
    <row r="5986">
      <c r="A5986" s="6"/>
      <c r="C5986" s="6"/>
      <c r="L5986" s="7"/>
      <c r="M5986" s="5"/>
      <c r="N5986" s="5"/>
      <c r="O5986" s="5"/>
    </row>
    <row r="5987">
      <c r="A5987" s="6"/>
      <c r="C5987" s="6"/>
      <c r="L5987" s="7"/>
      <c r="M5987" s="5"/>
      <c r="N5987" s="5"/>
      <c r="O5987" s="5"/>
    </row>
    <row r="5988">
      <c r="A5988" s="6"/>
      <c r="C5988" s="6"/>
      <c r="L5988" s="7"/>
      <c r="M5988" s="5"/>
      <c r="N5988" s="5"/>
      <c r="O5988" s="5"/>
    </row>
    <row r="5989">
      <c r="A5989" s="6"/>
      <c r="C5989" s="6"/>
      <c r="L5989" s="7"/>
      <c r="M5989" s="5"/>
      <c r="N5989" s="5"/>
      <c r="O5989" s="5"/>
    </row>
    <row r="5990">
      <c r="A5990" s="6"/>
      <c r="C5990" s="6"/>
      <c r="L5990" s="7"/>
      <c r="M5990" s="5"/>
      <c r="N5990" s="5"/>
      <c r="O5990" s="5"/>
    </row>
    <row r="5991">
      <c r="A5991" s="6"/>
      <c r="C5991" s="6"/>
      <c r="L5991" s="7"/>
      <c r="M5991" s="5"/>
      <c r="N5991" s="5"/>
      <c r="O5991" s="5"/>
    </row>
    <row r="5992">
      <c r="A5992" s="6"/>
      <c r="C5992" s="6"/>
      <c r="L5992" s="7"/>
      <c r="M5992" s="5"/>
      <c r="N5992" s="5"/>
      <c r="O5992" s="5"/>
    </row>
    <row r="5993">
      <c r="A5993" s="6"/>
      <c r="C5993" s="6"/>
      <c r="L5993" s="7"/>
      <c r="M5993" s="5"/>
      <c r="N5993" s="5"/>
      <c r="O5993" s="5"/>
    </row>
    <row r="5994">
      <c r="A5994" s="6"/>
      <c r="C5994" s="6"/>
      <c r="L5994" s="7"/>
      <c r="M5994" s="5"/>
      <c r="N5994" s="5"/>
      <c r="O5994" s="5"/>
    </row>
    <row r="5995">
      <c r="A5995" s="6"/>
      <c r="C5995" s="6"/>
      <c r="L5995" s="7"/>
      <c r="M5995" s="5"/>
      <c r="N5995" s="5"/>
      <c r="O5995" s="5"/>
    </row>
    <row r="5996">
      <c r="A5996" s="6"/>
      <c r="C5996" s="6"/>
      <c r="L5996" s="7"/>
      <c r="M5996" s="5"/>
      <c r="N5996" s="5"/>
      <c r="O5996" s="5"/>
    </row>
    <row r="5997">
      <c r="A5997" s="6"/>
      <c r="C5997" s="6"/>
      <c r="L5997" s="7"/>
      <c r="M5997" s="5"/>
      <c r="N5997" s="5"/>
      <c r="O5997" s="5"/>
    </row>
    <row r="5998">
      <c r="A5998" s="6"/>
      <c r="C5998" s="6"/>
      <c r="L5998" s="7"/>
      <c r="M5998" s="5"/>
      <c r="N5998" s="5"/>
      <c r="O5998" s="5"/>
    </row>
    <row r="5999">
      <c r="A5999" s="6"/>
      <c r="C5999" s="6"/>
      <c r="L5999" s="7"/>
      <c r="M5999" s="5"/>
      <c r="N5999" s="5"/>
      <c r="O5999" s="5"/>
    </row>
    <row r="6000">
      <c r="A6000" s="6"/>
      <c r="C6000" s="6"/>
      <c r="L6000" s="7"/>
      <c r="M6000" s="5"/>
      <c r="N6000" s="5"/>
      <c r="O6000" s="5"/>
    </row>
    <row r="6001">
      <c r="A6001" s="6"/>
      <c r="C6001" s="6"/>
      <c r="L6001" s="7"/>
      <c r="M6001" s="5"/>
      <c r="N6001" s="5"/>
      <c r="O6001" s="5"/>
    </row>
    <row r="6002">
      <c r="A6002" s="6"/>
      <c r="C6002" s="6"/>
      <c r="L6002" s="7"/>
      <c r="M6002" s="5"/>
      <c r="N6002" s="5"/>
      <c r="O6002" s="5"/>
    </row>
    <row r="6003">
      <c r="A6003" s="6"/>
      <c r="C6003" s="6"/>
      <c r="L6003" s="7"/>
      <c r="M6003" s="5"/>
      <c r="N6003" s="5"/>
      <c r="O6003" s="5"/>
    </row>
    <row r="6004">
      <c r="A6004" s="6"/>
      <c r="C6004" s="6"/>
      <c r="L6004" s="7"/>
      <c r="M6004" s="5"/>
      <c r="N6004" s="5"/>
      <c r="O6004" s="5"/>
    </row>
    <row r="6005">
      <c r="A6005" s="6"/>
      <c r="C6005" s="6"/>
      <c r="L6005" s="7"/>
      <c r="M6005" s="5"/>
      <c r="N6005" s="5"/>
      <c r="O6005" s="5"/>
    </row>
    <row r="6006">
      <c r="A6006" s="6"/>
      <c r="C6006" s="6"/>
      <c r="L6006" s="7"/>
      <c r="M6006" s="5"/>
      <c r="N6006" s="5"/>
      <c r="O6006" s="5"/>
    </row>
    <row r="6007">
      <c r="A6007" s="6"/>
      <c r="C6007" s="6"/>
      <c r="L6007" s="7"/>
      <c r="M6007" s="5"/>
      <c r="N6007" s="5"/>
      <c r="O6007" s="5"/>
    </row>
    <row r="6008">
      <c r="A6008" s="6"/>
      <c r="C6008" s="6"/>
      <c r="L6008" s="7"/>
      <c r="M6008" s="5"/>
      <c r="N6008" s="5"/>
      <c r="O6008" s="5"/>
    </row>
    <row r="6009">
      <c r="A6009" s="6"/>
      <c r="C6009" s="6"/>
      <c r="L6009" s="7"/>
      <c r="M6009" s="5"/>
      <c r="N6009" s="5"/>
      <c r="O6009" s="5"/>
    </row>
    <row r="6010">
      <c r="A6010" s="6"/>
      <c r="C6010" s="6"/>
      <c r="L6010" s="7"/>
      <c r="M6010" s="5"/>
      <c r="N6010" s="5"/>
      <c r="O6010" s="5"/>
    </row>
    <row r="6011">
      <c r="A6011" s="6"/>
      <c r="C6011" s="6"/>
      <c r="L6011" s="7"/>
      <c r="M6011" s="5"/>
      <c r="N6011" s="5"/>
      <c r="O6011" s="5"/>
    </row>
    <row r="6012">
      <c r="A6012" s="6"/>
      <c r="C6012" s="6"/>
      <c r="L6012" s="7"/>
      <c r="M6012" s="5"/>
      <c r="N6012" s="5"/>
      <c r="O6012" s="5"/>
    </row>
    <row r="6013">
      <c r="A6013" s="6"/>
      <c r="C6013" s="6"/>
      <c r="L6013" s="7"/>
      <c r="M6013" s="5"/>
      <c r="N6013" s="5"/>
      <c r="O6013" s="5"/>
    </row>
    <row r="6014">
      <c r="A6014" s="6"/>
      <c r="C6014" s="6"/>
      <c r="L6014" s="7"/>
      <c r="M6014" s="5"/>
      <c r="N6014" s="5"/>
      <c r="O6014" s="5"/>
    </row>
    <row r="6015">
      <c r="A6015" s="6"/>
      <c r="C6015" s="6"/>
      <c r="L6015" s="7"/>
      <c r="M6015" s="5"/>
      <c r="N6015" s="5"/>
      <c r="O6015" s="5"/>
    </row>
    <row r="6016">
      <c r="A6016" s="6"/>
      <c r="C6016" s="6"/>
      <c r="L6016" s="7"/>
      <c r="M6016" s="5"/>
      <c r="N6016" s="5"/>
      <c r="O6016" s="5"/>
    </row>
    <row r="6017">
      <c r="A6017" s="6"/>
      <c r="C6017" s="6"/>
      <c r="L6017" s="7"/>
      <c r="M6017" s="5"/>
      <c r="N6017" s="5"/>
      <c r="O6017" s="5"/>
    </row>
    <row r="6018">
      <c r="A6018" s="6"/>
      <c r="C6018" s="6"/>
      <c r="L6018" s="7"/>
      <c r="M6018" s="5"/>
      <c r="N6018" s="5"/>
      <c r="O6018" s="5"/>
    </row>
    <row r="6019">
      <c r="A6019" s="6"/>
      <c r="C6019" s="6"/>
      <c r="L6019" s="7"/>
      <c r="M6019" s="5"/>
      <c r="N6019" s="5"/>
      <c r="O6019" s="5"/>
    </row>
    <row r="6020">
      <c r="A6020" s="6"/>
      <c r="C6020" s="6"/>
      <c r="L6020" s="7"/>
      <c r="M6020" s="5"/>
      <c r="N6020" s="5"/>
      <c r="O6020" s="5"/>
    </row>
    <row r="6021">
      <c r="A6021" s="6"/>
      <c r="C6021" s="6"/>
      <c r="L6021" s="7"/>
      <c r="M6021" s="5"/>
      <c r="N6021" s="5"/>
      <c r="O6021" s="5"/>
    </row>
    <row r="6022">
      <c r="A6022" s="6"/>
      <c r="C6022" s="6"/>
      <c r="L6022" s="7"/>
      <c r="M6022" s="5"/>
      <c r="N6022" s="5"/>
      <c r="O6022" s="5"/>
    </row>
    <row r="6023">
      <c r="A6023" s="6"/>
      <c r="C6023" s="6"/>
      <c r="L6023" s="7"/>
      <c r="M6023" s="5"/>
      <c r="N6023" s="5"/>
      <c r="O6023" s="5"/>
    </row>
    <row r="6024">
      <c r="A6024" s="6"/>
      <c r="C6024" s="6"/>
      <c r="L6024" s="7"/>
      <c r="M6024" s="5"/>
      <c r="N6024" s="5"/>
      <c r="O6024" s="5"/>
    </row>
    <row r="6025">
      <c r="A6025" s="6"/>
      <c r="C6025" s="6"/>
      <c r="L6025" s="7"/>
      <c r="M6025" s="5"/>
      <c r="N6025" s="5"/>
      <c r="O6025" s="5"/>
    </row>
    <row r="6026">
      <c r="A6026" s="6"/>
      <c r="C6026" s="6"/>
      <c r="L6026" s="7"/>
      <c r="M6026" s="5"/>
      <c r="N6026" s="5"/>
      <c r="O6026" s="5"/>
    </row>
    <row r="6027">
      <c r="A6027" s="6"/>
      <c r="C6027" s="6"/>
      <c r="L6027" s="7"/>
      <c r="M6027" s="5"/>
      <c r="N6027" s="5"/>
      <c r="O6027" s="5"/>
    </row>
    <row r="6028">
      <c r="A6028" s="6"/>
      <c r="C6028" s="6"/>
      <c r="L6028" s="7"/>
      <c r="M6028" s="5"/>
      <c r="N6028" s="5"/>
      <c r="O6028" s="5"/>
    </row>
    <row r="6029">
      <c r="A6029" s="6"/>
      <c r="C6029" s="6"/>
      <c r="L6029" s="7"/>
      <c r="M6029" s="5"/>
      <c r="N6029" s="5"/>
      <c r="O6029" s="5"/>
    </row>
    <row r="6030">
      <c r="A6030" s="6"/>
      <c r="C6030" s="6"/>
      <c r="L6030" s="7"/>
      <c r="M6030" s="5"/>
      <c r="N6030" s="5"/>
      <c r="O6030" s="5"/>
    </row>
    <row r="6031">
      <c r="A6031" s="6"/>
      <c r="C6031" s="6"/>
      <c r="L6031" s="7"/>
      <c r="M6031" s="5"/>
      <c r="N6031" s="5"/>
      <c r="O6031" s="5"/>
    </row>
    <row r="6032">
      <c r="A6032" s="6"/>
      <c r="C6032" s="6"/>
      <c r="L6032" s="7"/>
      <c r="M6032" s="5"/>
      <c r="N6032" s="5"/>
      <c r="O6032" s="5"/>
    </row>
    <row r="6033">
      <c r="A6033" s="6"/>
      <c r="C6033" s="6"/>
      <c r="L6033" s="7"/>
      <c r="M6033" s="5"/>
      <c r="N6033" s="5"/>
      <c r="O6033" s="5"/>
    </row>
    <row r="6034">
      <c r="A6034" s="6"/>
      <c r="C6034" s="6"/>
      <c r="L6034" s="7"/>
      <c r="M6034" s="5"/>
      <c r="N6034" s="5"/>
      <c r="O6034" s="5"/>
    </row>
    <row r="6035">
      <c r="A6035" s="6"/>
      <c r="C6035" s="6"/>
      <c r="L6035" s="7"/>
      <c r="M6035" s="5"/>
      <c r="N6035" s="5"/>
      <c r="O6035" s="5"/>
    </row>
    <row r="6036">
      <c r="A6036" s="6"/>
      <c r="C6036" s="6"/>
      <c r="L6036" s="7"/>
      <c r="M6036" s="5"/>
      <c r="N6036" s="5"/>
      <c r="O6036" s="5"/>
    </row>
    <row r="6037">
      <c r="A6037" s="6"/>
      <c r="C6037" s="6"/>
      <c r="L6037" s="7"/>
      <c r="M6037" s="5"/>
      <c r="N6037" s="5"/>
      <c r="O6037" s="5"/>
    </row>
    <row r="6038">
      <c r="A6038" s="6"/>
      <c r="C6038" s="6"/>
      <c r="L6038" s="7"/>
      <c r="M6038" s="5"/>
      <c r="N6038" s="5"/>
      <c r="O6038" s="5"/>
    </row>
    <row r="6039">
      <c r="A6039" s="6"/>
      <c r="C6039" s="6"/>
      <c r="L6039" s="7"/>
      <c r="M6039" s="5"/>
      <c r="N6039" s="5"/>
      <c r="O6039" s="5"/>
    </row>
    <row r="6040">
      <c r="A6040" s="6"/>
      <c r="C6040" s="6"/>
      <c r="L6040" s="7"/>
      <c r="M6040" s="5"/>
      <c r="N6040" s="5"/>
      <c r="O6040" s="5"/>
    </row>
    <row r="6041">
      <c r="A6041" s="6"/>
      <c r="C6041" s="6"/>
      <c r="L6041" s="7"/>
      <c r="M6041" s="5"/>
      <c r="N6041" s="5"/>
      <c r="O6041" s="5"/>
    </row>
    <row r="6042">
      <c r="A6042" s="6"/>
      <c r="C6042" s="6"/>
      <c r="L6042" s="7"/>
      <c r="M6042" s="5"/>
      <c r="N6042" s="5"/>
      <c r="O6042" s="5"/>
    </row>
    <row r="6043">
      <c r="A6043" s="6"/>
      <c r="C6043" s="6"/>
      <c r="L6043" s="7"/>
      <c r="M6043" s="5"/>
      <c r="N6043" s="5"/>
      <c r="O6043" s="5"/>
    </row>
    <row r="6044">
      <c r="A6044" s="6"/>
      <c r="C6044" s="6"/>
      <c r="L6044" s="7"/>
      <c r="M6044" s="5"/>
      <c r="N6044" s="5"/>
      <c r="O6044" s="5"/>
    </row>
    <row r="6045">
      <c r="A6045" s="6"/>
      <c r="C6045" s="6"/>
      <c r="L6045" s="7"/>
      <c r="M6045" s="5"/>
      <c r="N6045" s="5"/>
      <c r="O6045" s="5"/>
    </row>
    <row r="6046">
      <c r="A6046" s="6"/>
      <c r="C6046" s="6"/>
      <c r="L6046" s="7"/>
      <c r="M6046" s="5"/>
      <c r="N6046" s="5"/>
      <c r="O6046" s="5"/>
    </row>
    <row r="6047">
      <c r="A6047" s="6"/>
      <c r="C6047" s="6"/>
      <c r="L6047" s="7"/>
      <c r="M6047" s="5"/>
      <c r="N6047" s="5"/>
      <c r="O6047" s="5"/>
    </row>
    <row r="6048">
      <c r="A6048" s="6"/>
      <c r="C6048" s="6"/>
      <c r="L6048" s="7"/>
      <c r="M6048" s="5"/>
      <c r="N6048" s="5"/>
      <c r="O6048" s="5"/>
    </row>
    <row r="6049">
      <c r="A6049" s="6"/>
      <c r="C6049" s="6"/>
      <c r="L6049" s="7"/>
      <c r="M6049" s="5"/>
      <c r="N6049" s="5"/>
      <c r="O6049" s="5"/>
    </row>
    <row r="6050">
      <c r="A6050" s="6"/>
      <c r="C6050" s="6"/>
      <c r="L6050" s="7"/>
      <c r="M6050" s="5"/>
      <c r="N6050" s="5"/>
      <c r="O6050" s="5"/>
    </row>
    <row r="6051">
      <c r="A6051" s="6"/>
      <c r="C6051" s="6"/>
      <c r="L6051" s="7"/>
      <c r="M6051" s="5"/>
      <c r="N6051" s="5"/>
      <c r="O6051" s="5"/>
    </row>
    <row r="6052">
      <c r="A6052" s="6"/>
      <c r="C6052" s="6"/>
      <c r="L6052" s="7"/>
      <c r="M6052" s="5"/>
      <c r="N6052" s="5"/>
      <c r="O6052" s="5"/>
    </row>
    <row r="6053">
      <c r="A6053" s="6"/>
      <c r="C6053" s="6"/>
      <c r="L6053" s="7"/>
      <c r="M6053" s="5"/>
      <c r="N6053" s="5"/>
      <c r="O6053" s="5"/>
    </row>
    <row r="6054">
      <c r="A6054" s="6"/>
      <c r="C6054" s="6"/>
      <c r="L6054" s="7"/>
      <c r="M6054" s="5"/>
      <c r="N6054" s="5"/>
      <c r="O6054" s="5"/>
    </row>
    <row r="6055">
      <c r="A6055" s="6"/>
      <c r="C6055" s="6"/>
      <c r="L6055" s="7"/>
      <c r="M6055" s="5"/>
      <c r="N6055" s="5"/>
      <c r="O6055" s="5"/>
    </row>
    <row r="6056">
      <c r="A6056" s="6"/>
      <c r="C6056" s="6"/>
      <c r="L6056" s="7"/>
      <c r="M6056" s="5"/>
      <c r="N6056" s="5"/>
      <c r="O6056" s="5"/>
    </row>
    <row r="6057">
      <c r="A6057" s="6"/>
      <c r="C6057" s="6"/>
      <c r="L6057" s="7"/>
      <c r="M6057" s="5"/>
      <c r="N6057" s="5"/>
      <c r="O6057" s="5"/>
    </row>
    <row r="6058">
      <c r="A6058" s="6"/>
      <c r="C6058" s="6"/>
      <c r="L6058" s="7"/>
      <c r="M6058" s="5"/>
      <c r="N6058" s="5"/>
      <c r="O6058" s="5"/>
    </row>
    <row r="6059">
      <c r="A6059" s="6"/>
      <c r="C6059" s="6"/>
      <c r="L6059" s="7"/>
      <c r="M6059" s="5"/>
      <c r="N6059" s="5"/>
      <c r="O6059" s="5"/>
    </row>
    <row r="6060">
      <c r="A6060" s="6"/>
      <c r="C6060" s="6"/>
      <c r="L6060" s="7"/>
      <c r="M6060" s="5"/>
      <c r="N6060" s="5"/>
      <c r="O6060" s="5"/>
    </row>
    <row r="6061">
      <c r="A6061" s="6"/>
      <c r="C6061" s="6"/>
      <c r="L6061" s="7"/>
      <c r="M6061" s="5"/>
      <c r="N6061" s="5"/>
      <c r="O6061" s="5"/>
    </row>
    <row r="6062">
      <c r="A6062" s="6"/>
      <c r="C6062" s="6"/>
      <c r="L6062" s="7"/>
      <c r="M6062" s="5"/>
      <c r="N6062" s="5"/>
      <c r="O6062" s="5"/>
    </row>
    <row r="6063">
      <c r="A6063" s="6"/>
      <c r="C6063" s="6"/>
      <c r="L6063" s="7"/>
      <c r="M6063" s="5"/>
      <c r="N6063" s="5"/>
      <c r="O6063" s="5"/>
    </row>
    <row r="6064">
      <c r="A6064" s="6"/>
      <c r="C6064" s="6"/>
      <c r="L6064" s="7"/>
      <c r="M6064" s="5"/>
      <c r="N6064" s="5"/>
      <c r="O6064" s="5"/>
    </row>
    <row r="6065">
      <c r="A6065" s="6"/>
      <c r="C6065" s="6"/>
      <c r="L6065" s="7"/>
      <c r="M6065" s="5"/>
      <c r="N6065" s="5"/>
      <c r="O6065" s="5"/>
    </row>
    <row r="6066">
      <c r="A6066" s="6"/>
      <c r="C6066" s="6"/>
      <c r="L6066" s="7"/>
      <c r="M6066" s="5"/>
      <c r="N6066" s="5"/>
      <c r="O6066" s="5"/>
    </row>
    <row r="6067">
      <c r="A6067" s="6"/>
      <c r="C6067" s="6"/>
      <c r="L6067" s="7"/>
      <c r="M6067" s="5"/>
      <c r="N6067" s="5"/>
      <c r="O6067" s="5"/>
    </row>
    <row r="6068">
      <c r="A6068" s="6"/>
      <c r="C6068" s="6"/>
      <c r="L6068" s="7"/>
      <c r="M6068" s="5"/>
      <c r="N6068" s="5"/>
      <c r="O6068" s="5"/>
    </row>
    <row r="6069">
      <c r="A6069" s="6"/>
      <c r="C6069" s="6"/>
      <c r="L6069" s="7"/>
      <c r="M6069" s="5"/>
      <c r="N6069" s="5"/>
      <c r="O6069" s="5"/>
    </row>
    <row r="6070">
      <c r="A6070" s="6"/>
      <c r="C6070" s="6"/>
      <c r="L6070" s="7"/>
      <c r="M6070" s="5"/>
      <c r="N6070" s="5"/>
      <c r="O6070" s="5"/>
    </row>
    <row r="6071">
      <c r="A6071" s="6"/>
      <c r="C6071" s="6"/>
      <c r="L6071" s="7"/>
      <c r="M6071" s="5"/>
      <c r="N6071" s="5"/>
      <c r="O6071" s="5"/>
    </row>
    <row r="6072">
      <c r="A6072" s="6"/>
      <c r="C6072" s="6"/>
      <c r="L6072" s="7"/>
      <c r="M6072" s="5"/>
      <c r="N6072" s="5"/>
      <c r="O6072" s="5"/>
    </row>
    <row r="6073">
      <c r="A6073" s="6"/>
      <c r="C6073" s="6"/>
      <c r="L6073" s="7"/>
      <c r="M6073" s="5"/>
      <c r="N6073" s="5"/>
      <c r="O6073" s="5"/>
    </row>
    <row r="6074">
      <c r="A6074" s="6"/>
      <c r="C6074" s="6"/>
      <c r="L6074" s="7"/>
      <c r="M6074" s="5"/>
      <c r="N6074" s="5"/>
      <c r="O6074" s="5"/>
    </row>
    <row r="6075">
      <c r="A6075" s="6"/>
      <c r="C6075" s="6"/>
      <c r="L6075" s="7"/>
      <c r="M6075" s="5"/>
      <c r="N6075" s="5"/>
      <c r="O6075" s="5"/>
    </row>
    <row r="6076">
      <c r="A6076" s="6"/>
      <c r="C6076" s="6"/>
      <c r="L6076" s="7"/>
      <c r="M6076" s="5"/>
      <c r="N6076" s="5"/>
      <c r="O6076" s="5"/>
    </row>
    <row r="6077">
      <c r="A6077" s="6"/>
      <c r="C6077" s="6"/>
      <c r="L6077" s="7"/>
      <c r="M6077" s="5"/>
      <c r="N6077" s="5"/>
      <c r="O6077" s="5"/>
    </row>
    <row r="6078">
      <c r="A6078" s="6"/>
      <c r="C6078" s="6"/>
      <c r="L6078" s="7"/>
      <c r="M6078" s="5"/>
      <c r="N6078" s="5"/>
      <c r="O6078" s="5"/>
    </row>
    <row r="6079">
      <c r="A6079" s="6"/>
      <c r="C6079" s="6"/>
      <c r="L6079" s="7"/>
      <c r="M6079" s="5"/>
      <c r="N6079" s="5"/>
      <c r="O6079" s="5"/>
    </row>
    <row r="6080">
      <c r="A6080" s="6"/>
      <c r="C6080" s="6"/>
      <c r="L6080" s="7"/>
      <c r="M6080" s="5"/>
      <c r="N6080" s="5"/>
      <c r="O6080" s="5"/>
    </row>
    <row r="6081">
      <c r="A6081" s="6"/>
      <c r="C6081" s="6"/>
      <c r="L6081" s="7"/>
      <c r="M6081" s="5"/>
      <c r="N6081" s="5"/>
      <c r="O6081" s="5"/>
    </row>
    <row r="6082">
      <c r="A6082" s="6"/>
      <c r="C6082" s="6"/>
      <c r="L6082" s="7"/>
      <c r="M6082" s="5"/>
      <c r="N6082" s="5"/>
      <c r="O6082" s="5"/>
    </row>
    <row r="6083">
      <c r="A6083" s="6"/>
      <c r="C6083" s="6"/>
      <c r="L6083" s="7"/>
      <c r="M6083" s="5"/>
      <c r="N6083" s="5"/>
      <c r="O6083" s="5"/>
    </row>
    <row r="6084">
      <c r="A6084" s="6"/>
      <c r="C6084" s="6"/>
      <c r="L6084" s="7"/>
      <c r="M6084" s="5"/>
      <c r="N6084" s="5"/>
      <c r="O6084" s="5"/>
    </row>
    <row r="6085">
      <c r="A6085" s="6"/>
      <c r="C6085" s="6"/>
      <c r="L6085" s="7"/>
      <c r="M6085" s="5"/>
      <c r="N6085" s="5"/>
      <c r="O6085" s="5"/>
    </row>
    <row r="6086">
      <c r="A6086" s="6"/>
      <c r="C6086" s="6"/>
      <c r="L6086" s="7"/>
      <c r="M6086" s="5"/>
      <c r="N6086" s="5"/>
      <c r="O6086" s="5"/>
    </row>
    <row r="6087">
      <c r="A6087" s="6"/>
      <c r="C6087" s="6"/>
      <c r="L6087" s="7"/>
      <c r="M6087" s="5"/>
      <c r="N6087" s="5"/>
      <c r="O6087" s="5"/>
    </row>
    <row r="6088">
      <c r="A6088" s="6"/>
      <c r="C6088" s="6"/>
      <c r="L6088" s="7"/>
      <c r="M6088" s="5"/>
      <c r="N6088" s="5"/>
      <c r="O6088" s="5"/>
    </row>
    <row r="6089">
      <c r="A6089" s="6"/>
      <c r="C6089" s="6"/>
      <c r="L6089" s="7"/>
      <c r="M6089" s="5"/>
      <c r="N6089" s="5"/>
      <c r="O6089" s="5"/>
    </row>
    <row r="6090">
      <c r="A6090" s="6"/>
      <c r="C6090" s="6"/>
      <c r="L6090" s="7"/>
      <c r="M6090" s="5"/>
      <c r="N6090" s="5"/>
      <c r="O6090" s="5"/>
    </row>
    <row r="6091">
      <c r="A6091" s="6"/>
      <c r="C6091" s="6"/>
      <c r="L6091" s="7"/>
      <c r="M6091" s="5"/>
      <c r="N6091" s="5"/>
      <c r="O6091" s="5"/>
    </row>
    <row r="6092">
      <c r="A6092" s="6"/>
      <c r="C6092" s="6"/>
      <c r="L6092" s="7"/>
      <c r="M6092" s="5"/>
      <c r="N6092" s="5"/>
      <c r="O6092" s="5"/>
    </row>
    <row r="6093">
      <c r="A6093" s="6"/>
      <c r="C6093" s="6"/>
      <c r="L6093" s="7"/>
      <c r="M6093" s="5"/>
      <c r="N6093" s="5"/>
      <c r="O6093" s="5"/>
    </row>
    <row r="6094">
      <c r="A6094" s="6"/>
      <c r="C6094" s="6"/>
      <c r="L6094" s="7"/>
      <c r="M6094" s="5"/>
      <c r="N6094" s="5"/>
      <c r="O6094" s="5"/>
    </row>
    <row r="6095">
      <c r="A6095" s="6"/>
      <c r="C6095" s="6"/>
      <c r="L6095" s="7"/>
      <c r="M6095" s="5"/>
      <c r="N6095" s="5"/>
      <c r="O6095" s="5"/>
    </row>
    <row r="6096">
      <c r="A6096" s="6"/>
      <c r="C6096" s="6"/>
      <c r="L6096" s="7"/>
      <c r="M6096" s="5"/>
      <c r="N6096" s="5"/>
      <c r="O6096" s="5"/>
    </row>
    <row r="6097">
      <c r="A6097" s="6"/>
      <c r="C6097" s="6"/>
      <c r="L6097" s="7"/>
      <c r="M6097" s="5"/>
      <c r="N6097" s="5"/>
      <c r="O6097" s="5"/>
    </row>
    <row r="6098">
      <c r="A6098" s="6"/>
      <c r="C6098" s="6"/>
      <c r="L6098" s="7"/>
      <c r="M6098" s="5"/>
      <c r="N6098" s="5"/>
      <c r="O6098" s="5"/>
    </row>
    <row r="6099">
      <c r="A6099" s="6"/>
      <c r="C6099" s="6"/>
      <c r="L6099" s="7"/>
      <c r="M6099" s="5"/>
      <c r="N6099" s="5"/>
      <c r="O6099" s="5"/>
    </row>
    <row r="6100">
      <c r="A6100" s="6"/>
      <c r="C6100" s="6"/>
      <c r="L6100" s="7"/>
      <c r="M6100" s="5"/>
      <c r="N6100" s="5"/>
      <c r="O6100" s="5"/>
    </row>
    <row r="6101">
      <c r="A6101" s="6"/>
      <c r="C6101" s="6"/>
      <c r="L6101" s="7"/>
      <c r="M6101" s="5"/>
      <c r="N6101" s="5"/>
      <c r="O6101" s="5"/>
    </row>
    <row r="6102">
      <c r="A6102" s="6"/>
      <c r="C6102" s="6"/>
      <c r="L6102" s="7"/>
      <c r="M6102" s="5"/>
      <c r="N6102" s="5"/>
      <c r="O6102" s="5"/>
    </row>
    <row r="6103">
      <c r="A6103" s="6"/>
      <c r="C6103" s="6"/>
      <c r="L6103" s="7"/>
      <c r="M6103" s="5"/>
      <c r="N6103" s="5"/>
      <c r="O6103" s="5"/>
    </row>
    <row r="6104">
      <c r="A6104" s="6"/>
      <c r="C6104" s="6"/>
      <c r="L6104" s="7"/>
      <c r="M6104" s="5"/>
      <c r="N6104" s="5"/>
      <c r="O6104" s="5"/>
    </row>
    <row r="6105">
      <c r="A6105" s="6"/>
      <c r="C6105" s="6"/>
      <c r="L6105" s="7"/>
      <c r="M6105" s="5"/>
      <c r="N6105" s="5"/>
      <c r="O6105" s="5"/>
    </row>
    <row r="6106">
      <c r="A6106" s="6"/>
      <c r="C6106" s="6"/>
      <c r="L6106" s="7"/>
      <c r="M6106" s="5"/>
      <c r="N6106" s="5"/>
      <c r="O6106" s="5"/>
    </row>
    <row r="6107">
      <c r="A6107" s="6"/>
      <c r="C6107" s="6"/>
      <c r="L6107" s="7"/>
      <c r="M6107" s="5"/>
      <c r="N6107" s="5"/>
      <c r="O6107" s="5"/>
    </row>
    <row r="6108">
      <c r="A6108" s="6"/>
      <c r="C6108" s="6"/>
      <c r="L6108" s="7"/>
      <c r="M6108" s="5"/>
      <c r="N6108" s="5"/>
      <c r="O6108" s="5"/>
    </row>
    <row r="6109">
      <c r="A6109" s="6"/>
      <c r="C6109" s="6"/>
      <c r="L6109" s="7"/>
      <c r="M6109" s="5"/>
      <c r="N6109" s="5"/>
      <c r="O6109" s="5"/>
    </row>
    <row r="6110">
      <c r="A6110" s="6"/>
      <c r="C6110" s="6"/>
      <c r="L6110" s="7"/>
      <c r="M6110" s="5"/>
      <c r="N6110" s="5"/>
      <c r="O6110" s="5"/>
    </row>
    <row r="6111">
      <c r="A6111" s="6"/>
      <c r="C6111" s="6"/>
      <c r="L6111" s="7"/>
      <c r="M6111" s="5"/>
      <c r="N6111" s="5"/>
      <c r="O6111" s="5"/>
    </row>
    <row r="6112">
      <c r="A6112" s="6"/>
      <c r="C6112" s="6"/>
      <c r="L6112" s="7"/>
      <c r="M6112" s="5"/>
      <c r="N6112" s="5"/>
      <c r="O6112" s="5"/>
    </row>
    <row r="6113">
      <c r="A6113" s="6"/>
      <c r="C6113" s="6"/>
      <c r="L6113" s="7"/>
      <c r="M6113" s="5"/>
      <c r="N6113" s="5"/>
      <c r="O6113" s="5"/>
    </row>
    <row r="6114">
      <c r="A6114" s="6"/>
      <c r="C6114" s="6"/>
      <c r="L6114" s="7"/>
      <c r="M6114" s="5"/>
      <c r="N6114" s="5"/>
      <c r="O6114" s="5"/>
    </row>
    <row r="6115">
      <c r="A6115" s="6"/>
      <c r="C6115" s="6"/>
      <c r="L6115" s="7"/>
      <c r="M6115" s="5"/>
      <c r="N6115" s="5"/>
      <c r="O6115" s="5"/>
    </row>
    <row r="6116">
      <c r="A6116" s="6"/>
      <c r="C6116" s="6"/>
      <c r="L6116" s="7"/>
      <c r="M6116" s="5"/>
      <c r="N6116" s="5"/>
      <c r="O6116" s="5"/>
    </row>
    <row r="6117">
      <c r="A6117" s="6"/>
      <c r="C6117" s="6"/>
      <c r="L6117" s="7"/>
      <c r="M6117" s="5"/>
      <c r="N6117" s="5"/>
      <c r="O6117" s="5"/>
    </row>
    <row r="6118">
      <c r="A6118" s="6"/>
      <c r="C6118" s="6"/>
      <c r="L6118" s="7"/>
      <c r="M6118" s="5"/>
      <c r="N6118" s="5"/>
      <c r="O6118" s="5"/>
    </row>
    <row r="6119">
      <c r="A6119" s="6"/>
      <c r="C6119" s="6"/>
      <c r="L6119" s="7"/>
      <c r="M6119" s="5"/>
      <c r="N6119" s="5"/>
      <c r="O6119" s="5"/>
    </row>
    <row r="6120">
      <c r="A6120" s="6"/>
      <c r="C6120" s="6"/>
      <c r="L6120" s="7"/>
      <c r="M6120" s="5"/>
      <c r="N6120" s="5"/>
      <c r="O6120" s="5"/>
    </row>
    <row r="6121">
      <c r="A6121" s="6"/>
      <c r="C6121" s="6"/>
      <c r="L6121" s="7"/>
      <c r="M6121" s="5"/>
      <c r="N6121" s="5"/>
      <c r="O6121" s="5"/>
    </row>
    <row r="6122">
      <c r="A6122" s="6"/>
      <c r="C6122" s="6"/>
      <c r="L6122" s="7"/>
      <c r="M6122" s="5"/>
      <c r="N6122" s="5"/>
      <c r="O6122" s="5"/>
    </row>
    <row r="6123">
      <c r="A6123" s="6"/>
      <c r="C6123" s="6"/>
      <c r="L6123" s="7"/>
      <c r="M6123" s="5"/>
      <c r="N6123" s="5"/>
      <c r="O6123" s="5"/>
    </row>
    <row r="6124">
      <c r="A6124" s="6"/>
      <c r="C6124" s="6"/>
      <c r="L6124" s="7"/>
      <c r="M6124" s="5"/>
      <c r="N6124" s="5"/>
      <c r="O6124" s="5"/>
    </row>
    <row r="6125">
      <c r="A6125" s="6"/>
      <c r="C6125" s="6"/>
      <c r="L6125" s="7"/>
      <c r="M6125" s="5"/>
      <c r="N6125" s="5"/>
      <c r="O6125" s="5"/>
    </row>
    <row r="6126">
      <c r="A6126" s="6"/>
      <c r="C6126" s="6"/>
      <c r="L6126" s="7"/>
      <c r="M6126" s="5"/>
      <c r="N6126" s="5"/>
      <c r="O6126" s="5"/>
    </row>
    <row r="6127">
      <c r="A6127" s="6"/>
      <c r="C6127" s="6"/>
      <c r="L6127" s="7"/>
      <c r="M6127" s="5"/>
      <c r="N6127" s="5"/>
      <c r="O6127" s="5"/>
    </row>
    <row r="6128">
      <c r="A6128" s="6"/>
      <c r="C6128" s="6"/>
      <c r="L6128" s="7"/>
      <c r="M6128" s="5"/>
      <c r="N6128" s="5"/>
      <c r="O6128" s="5"/>
    </row>
    <row r="6129">
      <c r="A6129" s="6"/>
      <c r="C6129" s="6"/>
      <c r="L6129" s="7"/>
      <c r="M6129" s="5"/>
      <c r="N6129" s="5"/>
      <c r="O6129" s="5"/>
    </row>
    <row r="6130">
      <c r="A6130" s="6"/>
      <c r="C6130" s="6"/>
      <c r="L6130" s="7"/>
      <c r="M6130" s="5"/>
      <c r="N6130" s="5"/>
      <c r="O6130" s="5"/>
    </row>
    <row r="6131">
      <c r="A6131" s="6"/>
      <c r="C6131" s="6"/>
      <c r="L6131" s="7"/>
      <c r="M6131" s="5"/>
      <c r="N6131" s="5"/>
      <c r="O6131" s="5"/>
    </row>
    <row r="6132">
      <c r="A6132" s="6"/>
      <c r="C6132" s="6"/>
      <c r="L6132" s="7"/>
      <c r="M6132" s="5"/>
      <c r="N6132" s="5"/>
      <c r="O6132" s="5"/>
    </row>
    <row r="6133">
      <c r="A6133" s="6"/>
      <c r="C6133" s="6"/>
      <c r="L6133" s="7"/>
      <c r="M6133" s="5"/>
      <c r="N6133" s="5"/>
      <c r="O6133" s="5"/>
    </row>
    <row r="6134">
      <c r="A6134" s="6"/>
      <c r="C6134" s="6"/>
      <c r="L6134" s="7"/>
      <c r="M6134" s="5"/>
      <c r="N6134" s="5"/>
      <c r="O6134" s="5"/>
    </row>
    <row r="6135">
      <c r="A6135" s="6"/>
      <c r="C6135" s="6"/>
      <c r="L6135" s="7"/>
      <c r="M6135" s="5"/>
      <c r="N6135" s="5"/>
      <c r="O6135" s="5"/>
    </row>
    <row r="6136">
      <c r="A6136" s="6"/>
      <c r="C6136" s="6"/>
      <c r="L6136" s="7"/>
      <c r="M6136" s="5"/>
      <c r="N6136" s="5"/>
      <c r="O6136" s="5"/>
    </row>
    <row r="6137">
      <c r="A6137" s="6"/>
      <c r="C6137" s="6"/>
      <c r="L6137" s="7"/>
      <c r="M6137" s="5"/>
      <c r="N6137" s="5"/>
      <c r="O6137" s="5"/>
    </row>
    <row r="6138">
      <c r="A6138" s="6"/>
      <c r="C6138" s="6"/>
      <c r="L6138" s="7"/>
      <c r="M6138" s="5"/>
      <c r="N6138" s="5"/>
      <c r="O6138" s="5"/>
    </row>
    <row r="6139">
      <c r="A6139" s="6"/>
      <c r="C6139" s="6"/>
      <c r="L6139" s="7"/>
      <c r="M6139" s="5"/>
      <c r="N6139" s="5"/>
      <c r="O6139" s="5"/>
    </row>
    <row r="6140">
      <c r="A6140" s="6"/>
      <c r="C6140" s="6"/>
      <c r="L6140" s="7"/>
      <c r="M6140" s="5"/>
      <c r="N6140" s="5"/>
      <c r="O6140" s="5"/>
    </row>
    <row r="6141">
      <c r="A6141" s="6"/>
      <c r="C6141" s="6"/>
      <c r="L6141" s="7"/>
      <c r="M6141" s="5"/>
      <c r="N6141" s="5"/>
      <c r="O6141" s="5"/>
    </row>
    <row r="6142">
      <c r="A6142" s="6"/>
      <c r="C6142" s="6"/>
      <c r="L6142" s="7"/>
      <c r="M6142" s="5"/>
      <c r="N6142" s="5"/>
      <c r="O6142" s="5"/>
    </row>
    <row r="6143">
      <c r="A6143" s="6"/>
      <c r="C6143" s="6"/>
      <c r="L6143" s="7"/>
      <c r="M6143" s="5"/>
      <c r="N6143" s="5"/>
      <c r="O6143" s="5"/>
    </row>
    <row r="6144">
      <c r="A6144" s="6"/>
      <c r="C6144" s="6"/>
      <c r="L6144" s="7"/>
      <c r="M6144" s="5"/>
      <c r="N6144" s="5"/>
      <c r="O6144" s="5"/>
    </row>
    <row r="6145">
      <c r="A6145" s="6"/>
      <c r="C6145" s="6"/>
      <c r="L6145" s="7"/>
      <c r="M6145" s="5"/>
      <c r="N6145" s="5"/>
      <c r="O6145" s="5"/>
    </row>
    <row r="6146">
      <c r="A6146" s="6"/>
      <c r="C6146" s="6"/>
      <c r="L6146" s="7"/>
      <c r="M6146" s="5"/>
      <c r="N6146" s="5"/>
      <c r="O6146" s="5"/>
    </row>
    <row r="6147">
      <c r="A6147" s="6"/>
      <c r="C6147" s="6"/>
      <c r="L6147" s="7"/>
      <c r="M6147" s="5"/>
      <c r="N6147" s="5"/>
      <c r="O6147" s="5"/>
    </row>
    <row r="6148">
      <c r="A6148" s="6"/>
      <c r="C6148" s="6"/>
      <c r="L6148" s="7"/>
      <c r="M6148" s="5"/>
      <c r="N6148" s="5"/>
      <c r="O6148" s="5"/>
    </row>
    <row r="6149">
      <c r="A6149" s="6"/>
      <c r="C6149" s="6"/>
      <c r="L6149" s="7"/>
      <c r="M6149" s="5"/>
      <c r="N6149" s="5"/>
      <c r="O6149" s="5"/>
    </row>
    <row r="6150">
      <c r="A6150" s="6"/>
      <c r="C6150" s="6"/>
      <c r="L6150" s="7"/>
      <c r="M6150" s="5"/>
      <c r="N6150" s="5"/>
      <c r="O6150" s="5"/>
    </row>
    <row r="6151">
      <c r="A6151" s="6"/>
      <c r="C6151" s="6"/>
      <c r="L6151" s="7"/>
      <c r="M6151" s="5"/>
      <c r="N6151" s="5"/>
      <c r="O6151" s="5"/>
    </row>
    <row r="6152">
      <c r="A6152" s="6"/>
      <c r="C6152" s="6"/>
      <c r="L6152" s="7"/>
      <c r="M6152" s="5"/>
      <c r="N6152" s="5"/>
      <c r="O6152" s="5"/>
    </row>
    <row r="6153">
      <c r="A6153" s="6"/>
      <c r="C6153" s="6"/>
      <c r="L6153" s="7"/>
      <c r="M6153" s="5"/>
      <c r="N6153" s="5"/>
      <c r="O6153" s="5"/>
    </row>
    <row r="6154">
      <c r="A6154" s="6"/>
      <c r="C6154" s="6"/>
      <c r="L6154" s="7"/>
      <c r="M6154" s="5"/>
      <c r="N6154" s="5"/>
      <c r="O6154" s="5"/>
    </row>
    <row r="6155">
      <c r="A6155" s="6"/>
      <c r="C6155" s="6"/>
      <c r="L6155" s="7"/>
      <c r="M6155" s="5"/>
      <c r="N6155" s="5"/>
      <c r="O6155" s="5"/>
    </row>
    <row r="6156">
      <c r="A6156" s="6"/>
      <c r="C6156" s="6"/>
      <c r="L6156" s="7"/>
      <c r="M6156" s="5"/>
      <c r="N6156" s="5"/>
      <c r="O6156" s="5"/>
    </row>
    <row r="6157">
      <c r="A6157" s="6"/>
      <c r="C6157" s="6"/>
      <c r="L6157" s="7"/>
      <c r="M6157" s="5"/>
      <c r="N6157" s="5"/>
      <c r="O6157" s="5"/>
    </row>
    <row r="6158">
      <c r="A6158" s="6"/>
      <c r="C6158" s="6"/>
      <c r="L6158" s="7"/>
      <c r="M6158" s="5"/>
      <c r="N6158" s="5"/>
      <c r="O6158" s="5"/>
    </row>
    <row r="6159">
      <c r="A6159" s="6"/>
      <c r="C6159" s="6"/>
      <c r="L6159" s="7"/>
      <c r="M6159" s="5"/>
      <c r="N6159" s="5"/>
      <c r="O6159" s="5"/>
    </row>
    <row r="6160">
      <c r="A6160" s="6"/>
      <c r="C6160" s="6"/>
      <c r="L6160" s="7"/>
      <c r="M6160" s="5"/>
      <c r="N6160" s="5"/>
      <c r="O6160" s="5"/>
    </row>
    <row r="6161">
      <c r="A6161" s="6"/>
      <c r="C6161" s="6"/>
      <c r="L6161" s="7"/>
      <c r="M6161" s="5"/>
      <c r="N6161" s="5"/>
      <c r="O6161" s="5"/>
    </row>
    <row r="6162">
      <c r="A6162" s="6"/>
      <c r="C6162" s="6"/>
      <c r="L6162" s="7"/>
      <c r="M6162" s="5"/>
      <c r="N6162" s="5"/>
      <c r="O6162" s="5"/>
    </row>
    <row r="6163">
      <c r="A6163" s="6"/>
      <c r="C6163" s="6"/>
      <c r="L6163" s="7"/>
      <c r="M6163" s="5"/>
      <c r="N6163" s="5"/>
      <c r="O6163" s="5"/>
    </row>
    <row r="6164">
      <c r="A6164" s="6"/>
      <c r="C6164" s="6"/>
      <c r="L6164" s="7"/>
      <c r="M6164" s="5"/>
      <c r="N6164" s="5"/>
      <c r="O6164" s="5"/>
    </row>
    <row r="6165">
      <c r="A6165" s="6"/>
      <c r="C6165" s="6"/>
      <c r="L6165" s="7"/>
      <c r="M6165" s="5"/>
      <c r="N6165" s="5"/>
      <c r="O6165" s="5"/>
    </row>
    <row r="6166">
      <c r="A6166" s="6"/>
      <c r="C6166" s="6"/>
      <c r="L6166" s="7"/>
      <c r="M6166" s="5"/>
      <c r="N6166" s="5"/>
      <c r="O6166" s="5"/>
    </row>
    <row r="6167">
      <c r="A6167" s="6"/>
      <c r="C6167" s="6"/>
      <c r="L6167" s="7"/>
      <c r="M6167" s="5"/>
      <c r="N6167" s="5"/>
      <c r="O6167" s="5"/>
    </row>
    <row r="6168">
      <c r="A6168" s="6"/>
      <c r="C6168" s="6"/>
      <c r="L6168" s="7"/>
      <c r="M6168" s="5"/>
      <c r="N6168" s="5"/>
      <c r="O6168" s="5"/>
    </row>
    <row r="6169">
      <c r="A6169" s="6"/>
      <c r="C6169" s="6"/>
      <c r="L6169" s="7"/>
      <c r="M6169" s="5"/>
      <c r="N6169" s="5"/>
      <c r="O6169" s="5"/>
    </row>
    <row r="6170">
      <c r="A6170" s="6"/>
      <c r="C6170" s="6"/>
      <c r="L6170" s="7"/>
      <c r="M6170" s="5"/>
      <c r="N6170" s="5"/>
      <c r="O6170" s="5"/>
    </row>
    <row r="6171">
      <c r="A6171" s="6"/>
      <c r="C6171" s="6"/>
      <c r="L6171" s="7"/>
      <c r="M6171" s="5"/>
      <c r="N6171" s="5"/>
      <c r="O6171" s="5"/>
    </row>
    <row r="6172">
      <c r="A6172" s="6"/>
      <c r="C6172" s="6"/>
      <c r="L6172" s="7"/>
      <c r="M6172" s="5"/>
      <c r="N6172" s="5"/>
      <c r="O6172" s="5"/>
    </row>
    <row r="6173">
      <c r="A6173" s="6"/>
      <c r="C6173" s="6"/>
      <c r="L6173" s="7"/>
      <c r="M6173" s="5"/>
      <c r="N6173" s="5"/>
      <c r="O6173" s="5"/>
    </row>
    <row r="6174">
      <c r="A6174" s="6"/>
      <c r="C6174" s="6"/>
      <c r="L6174" s="7"/>
      <c r="M6174" s="5"/>
      <c r="N6174" s="5"/>
      <c r="O6174" s="5"/>
    </row>
    <row r="6175">
      <c r="A6175" s="6"/>
      <c r="C6175" s="6"/>
      <c r="L6175" s="7"/>
      <c r="M6175" s="5"/>
      <c r="N6175" s="5"/>
      <c r="O6175" s="5"/>
    </row>
    <row r="6176">
      <c r="A6176" s="6"/>
      <c r="C6176" s="6"/>
      <c r="L6176" s="7"/>
      <c r="M6176" s="5"/>
      <c r="N6176" s="5"/>
      <c r="O6176" s="5"/>
    </row>
    <row r="6177">
      <c r="A6177" s="6"/>
      <c r="C6177" s="6"/>
      <c r="L6177" s="7"/>
      <c r="M6177" s="5"/>
      <c r="N6177" s="5"/>
      <c r="O6177" s="5"/>
    </row>
    <row r="6178">
      <c r="A6178" s="6"/>
      <c r="C6178" s="6"/>
      <c r="L6178" s="7"/>
      <c r="M6178" s="5"/>
      <c r="N6178" s="5"/>
      <c r="O6178" s="5"/>
    </row>
    <row r="6179">
      <c r="A6179" s="6"/>
      <c r="C6179" s="6"/>
      <c r="L6179" s="7"/>
      <c r="M6179" s="5"/>
      <c r="N6179" s="5"/>
      <c r="O6179" s="5"/>
    </row>
    <row r="6180">
      <c r="A6180" s="6"/>
      <c r="C6180" s="6"/>
      <c r="L6180" s="7"/>
      <c r="M6180" s="5"/>
      <c r="N6180" s="5"/>
      <c r="O6180" s="5"/>
    </row>
    <row r="6181">
      <c r="A6181" s="6"/>
      <c r="C6181" s="6"/>
      <c r="L6181" s="7"/>
      <c r="M6181" s="5"/>
      <c r="N6181" s="5"/>
      <c r="O6181" s="5"/>
    </row>
    <row r="6182">
      <c r="A6182" s="6"/>
      <c r="C6182" s="6"/>
      <c r="L6182" s="7"/>
      <c r="M6182" s="5"/>
      <c r="N6182" s="5"/>
      <c r="O6182" s="5"/>
    </row>
    <row r="6183">
      <c r="A6183" s="6"/>
      <c r="C6183" s="6"/>
      <c r="L6183" s="7"/>
      <c r="M6183" s="5"/>
      <c r="N6183" s="5"/>
      <c r="O6183" s="5"/>
    </row>
    <row r="6184">
      <c r="A6184" s="6"/>
      <c r="C6184" s="6"/>
      <c r="L6184" s="7"/>
      <c r="M6184" s="5"/>
      <c r="N6184" s="5"/>
      <c r="O6184" s="5"/>
    </row>
    <row r="6185">
      <c r="A6185" s="6"/>
      <c r="C6185" s="6"/>
      <c r="L6185" s="7"/>
      <c r="M6185" s="5"/>
      <c r="N6185" s="5"/>
      <c r="O6185" s="5"/>
    </row>
    <row r="6186">
      <c r="A6186" s="6"/>
      <c r="C6186" s="6"/>
      <c r="L6186" s="7"/>
      <c r="M6186" s="5"/>
      <c r="N6186" s="5"/>
      <c r="O6186" s="5"/>
    </row>
    <row r="6187">
      <c r="A6187" s="6"/>
      <c r="C6187" s="6"/>
      <c r="L6187" s="7"/>
      <c r="M6187" s="5"/>
      <c r="N6187" s="5"/>
      <c r="O6187" s="5"/>
    </row>
    <row r="6188">
      <c r="A6188" s="6"/>
      <c r="C6188" s="6"/>
      <c r="L6188" s="7"/>
      <c r="M6188" s="5"/>
      <c r="N6188" s="5"/>
      <c r="O6188" s="5"/>
    </row>
    <row r="6189">
      <c r="A6189" s="6"/>
      <c r="C6189" s="6"/>
      <c r="L6189" s="7"/>
      <c r="M6189" s="5"/>
      <c r="N6189" s="5"/>
      <c r="O6189" s="5"/>
    </row>
    <row r="6190">
      <c r="A6190" s="6"/>
      <c r="C6190" s="6"/>
      <c r="L6190" s="7"/>
      <c r="M6190" s="5"/>
      <c r="N6190" s="5"/>
      <c r="O6190" s="5"/>
    </row>
    <row r="6191">
      <c r="A6191" s="6"/>
      <c r="C6191" s="6"/>
      <c r="L6191" s="7"/>
      <c r="M6191" s="5"/>
      <c r="N6191" s="5"/>
      <c r="O6191" s="5"/>
    </row>
    <row r="6192">
      <c r="A6192" s="6"/>
      <c r="C6192" s="6"/>
      <c r="L6192" s="7"/>
      <c r="M6192" s="5"/>
      <c r="N6192" s="5"/>
      <c r="O6192" s="5"/>
    </row>
    <row r="6193">
      <c r="A6193" s="6"/>
      <c r="C6193" s="6"/>
      <c r="L6193" s="7"/>
      <c r="M6193" s="5"/>
      <c r="N6193" s="5"/>
      <c r="O6193" s="5"/>
    </row>
    <row r="6194">
      <c r="A6194" s="6"/>
      <c r="C6194" s="6"/>
      <c r="L6194" s="7"/>
      <c r="M6194" s="5"/>
      <c r="N6194" s="5"/>
      <c r="O6194" s="5"/>
    </row>
    <row r="6195">
      <c r="A6195" s="6"/>
      <c r="C6195" s="6"/>
      <c r="L6195" s="7"/>
      <c r="M6195" s="5"/>
      <c r="N6195" s="5"/>
      <c r="O6195" s="5"/>
    </row>
    <row r="6196">
      <c r="A6196" s="6"/>
      <c r="C6196" s="6"/>
      <c r="L6196" s="7"/>
      <c r="M6196" s="5"/>
      <c r="N6196" s="5"/>
      <c r="O6196" s="5"/>
    </row>
    <row r="6197">
      <c r="A6197" s="6"/>
      <c r="C6197" s="6"/>
      <c r="L6197" s="7"/>
      <c r="M6197" s="5"/>
      <c r="N6197" s="5"/>
      <c r="O6197" s="5"/>
    </row>
    <row r="6198">
      <c r="A6198" s="6"/>
      <c r="C6198" s="6"/>
      <c r="L6198" s="7"/>
      <c r="M6198" s="5"/>
      <c r="N6198" s="5"/>
      <c r="O6198" s="5"/>
    </row>
    <row r="6199">
      <c r="A6199" s="6"/>
      <c r="C6199" s="6"/>
      <c r="L6199" s="7"/>
      <c r="M6199" s="5"/>
      <c r="N6199" s="5"/>
      <c r="O6199" s="5"/>
    </row>
    <row r="6200">
      <c r="A6200" s="6"/>
      <c r="C6200" s="6"/>
      <c r="L6200" s="7"/>
      <c r="M6200" s="5"/>
      <c r="N6200" s="5"/>
      <c r="O6200" s="5"/>
    </row>
    <row r="6201">
      <c r="A6201" s="6"/>
      <c r="C6201" s="6"/>
      <c r="L6201" s="7"/>
      <c r="M6201" s="5"/>
      <c r="N6201" s="5"/>
      <c r="O6201" s="5"/>
    </row>
    <row r="6202">
      <c r="A6202" s="6"/>
      <c r="C6202" s="6"/>
      <c r="L6202" s="7"/>
      <c r="M6202" s="5"/>
      <c r="N6202" s="5"/>
      <c r="O6202" s="5"/>
    </row>
    <row r="6203">
      <c r="A6203" s="6"/>
      <c r="C6203" s="6"/>
      <c r="L6203" s="7"/>
      <c r="M6203" s="5"/>
      <c r="N6203" s="5"/>
      <c r="O6203" s="5"/>
    </row>
    <row r="6204">
      <c r="A6204" s="6"/>
      <c r="C6204" s="6"/>
      <c r="L6204" s="7"/>
      <c r="M6204" s="5"/>
      <c r="N6204" s="5"/>
      <c r="O6204" s="5"/>
    </row>
    <row r="6205">
      <c r="A6205" s="6"/>
      <c r="C6205" s="6"/>
      <c r="L6205" s="7"/>
      <c r="M6205" s="5"/>
      <c r="N6205" s="5"/>
      <c r="O6205" s="5"/>
    </row>
    <row r="6206">
      <c r="A6206" s="6"/>
      <c r="C6206" s="6"/>
      <c r="L6206" s="7"/>
      <c r="M6206" s="5"/>
      <c r="N6206" s="5"/>
      <c r="O6206" s="5"/>
    </row>
    <row r="6207">
      <c r="A6207" s="6"/>
      <c r="C6207" s="6"/>
      <c r="L6207" s="7"/>
      <c r="M6207" s="5"/>
      <c r="N6207" s="5"/>
      <c r="O6207" s="5"/>
    </row>
    <row r="6208">
      <c r="A6208" s="6"/>
      <c r="C6208" s="6"/>
      <c r="L6208" s="7"/>
      <c r="M6208" s="5"/>
      <c r="N6208" s="5"/>
      <c r="O6208" s="5"/>
    </row>
    <row r="6209">
      <c r="A6209" s="6"/>
      <c r="C6209" s="6"/>
      <c r="L6209" s="7"/>
      <c r="M6209" s="5"/>
      <c r="N6209" s="5"/>
      <c r="O6209" s="5"/>
    </row>
    <row r="6210">
      <c r="A6210" s="6"/>
      <c r="C6210" s="6"/>
      <c r="L6210" s="7"/>
      <c r="M6210" s="5"/>
      <c r="N6210" s="5"/>
      <c r="O6210" s="5"/>
    </row>
    <row r="6211">
      <c r="A6211" s="6"/>
      <c r="C6211" s="6"/>
      <c r="L6211" s="7"/>
      <c r="M6211" s="5"/>
      <c r="N6211" s="5"/>
      <c r="O6211" s="5"/>
    </row>
    <row r="6212">
      <c r="A6212" s="6"/>
      <c r="C6212" s="6"/>
      <c r="L6212" s="7"/>
      <c r="M6212" s="5"/>
      <c r="N6212" s="5"/>
      <c r="O6212" s="5"/>
    </row>
    <row r="6213">
      <c r="A6213" s="6"/>
      <c r="C6213" s="6"/>
      <c r="L6213" s="7"/>
      <c r="M6213" s="5"/>
      <c r="N6213" s="5"/>
      <c r="O6213" s="5"/>
    </row>
    <row r="6214">
      <c r="A6214" s="6"/>
      <c r="C6214" s="6"/>
      <c r="L6214" s="7"/>
      <c r="M6214" s="5"/>
      <c r="N6214" s="5"/>
      <c r="O6214" s="5"/>
    </row>
    <row r="6215">
      <c r="A6215" s="6"/>
      <c r="C6215" s="6"/>
      <c r="L6215" s="7"/>
      <c r="M6215" s="5"/>
      <c r="N6215" s="5"/>
      <c r="O6215" s="5"/>
    </row>
    <row r="6216">
      <c r="A6216" s="6"/>
      <c r="C6216" s="6"/>
      <c r="L6216" s="7"/>
      <c r="M6216" s="5"/>
      <c r="N6216" s="5"/>
      <c r="O6216" s="5"/>
    </row>
    <row r="6217">
      <c r="A6217" s="6"/>
      <c r="C6217" s="6"/>
      <c r="L6217" s="7"/>
      <c r="M6217" s="5"/>
      <c r="N6217" s="5"/>
      <c r="O6217" s="5"/>
    </row>
    <row r="6218">
      <c r="A6218" s="6"/>
      <c r="C6218" s="6"/>
      <c r="L6218" s="7"/>
      <c r="M6218" s="5"/>
      <c r="N6218" s="5"/>
      <c r="O6218" s="5"/>
    </row>
    <row r="6219">
      <c r="A6219" s="6"/>
      <c r="C6219" s="6"/>
      <c r="L6219" s="7"/>
      <c r="M6219" s="5"/>
      <c r="N6219" s="5"/>
      <c r="O6219" s="5"/>
    </row>
    <row r="6220">
      <c r="A6220" s="6"/>
      <c r="C6220" s="6"/>
      <c r="L6220" s="7"/>
      <c r="M6220" s="5"/>
      <c r="N6220" s="5"/>
      <c r="O6220" s="5"/>
    </row>
    <row r="6221">
      <c r="A6221" s="6"/>
      <c r="C6221" s="6"/>
      <c r="L6221" s="7"/>
      <c r="M6221" s="5"/>
      <c r="N6221" s="5"/>
      <c r="O6221" s="5"/>
    </row>
    <row r="6222">
      <c r="A6222" s="6"/>
      <c r="C6222" s="6"/>
      <c r="L6222" s="7"/>
      <c r="M6222" s="5"/>
      <c r="N6222" s="5"/>
      <c r="O6222" s="5"/>
    </row>
    <row r="6223">
      <c r="A6223" s="6"/>
      <c r="C6223" s="6"/>
      <c r="L6223" s="7"/>
      <c r="M6223" s="5"/>
      <c r="N6223" s="5"/>
      <c r="O6223" s="5"/>
    </row>
    <row r="6224">
      <c r="A6224" s="6"/>
      <c r="C6224" s="6"/>
      <c r="L6224" s="7"/>
      <c r="M6224" s="5"/>
      <c r="N6224" s="5"/>
      <c r="O6224" s="5"/>
    </row>
    <row r="6225">
      <c r="A6225" s="6"/>
      <c r="C6225" s="6"/>
      <c r="L6225" s="7"/>
      <c r="M6225" s="5"/>
      <c r="N6225" s="5"/>
      <c r="O6225" s="5"/>
    </row>
    <row r="6226">
      <c r="A6226" s="6"/>
      <c r="C6226" s="6"/>
      <c r="L6226" s="7"/>
      <c r="M6226" s="5"/>
      <c r="N6226" s="5"/>
      <c r="O6226" s="5"/>
    </row>
    <row r="6227">
      <c r="A6227" s="6"/>
      <c r="C6227" s="6"/>
      <c r="L6227" s="7"/>
      <c r="M6227" s="5"/>
      <c r="N6227" s="5"/>
      <c r="O6227" s="5"/>
    </row>
    <row r="6228">
      <c r="A6228" s="6"/>
      <c r="C6228" s="6"/>
      <c r="L6228" s="7"/>
      <c r="M6228" s="5"/>
      <c r="N6228" s="5"/>
      <c r="O6228" s="5"/>
    </row>
    <row r="6229">
      <c r="A6229" s="6"/>
      <c r="C6229" s="6"/>
      <c r="L6229" s="7"/>
      <c r="M6229" s="5"/>
      <c r="N6229" s="5"/>
      <c r="O6229" s="5"/>
    </row>
    <row r="6230">
      <c r="A6230" s="6"/>
      <c r="C6230" s="6"/>
      <c r="L6230" s="7"/>
      <c r="M6230" s="5"/>
      <c r="N6230" s="5"/>
      <c r="O6230" s="5"/>
    </row>
    <row r="6231">
      <c r="A6231" s="6"/>
      <c r="C6231" s="6"/>
      <c r="L6231" s="7"/>
      <c r="M6231" s="5"/>
      <c r="N6231" s="5"/>
      <c r="O6231" s="5"/>
    </row>
    <row r="6232">
      <c r="A6232" s="6"/>
      <c r="C6232" s="6"/>
      <c r="L6232" s="7"/>
      <c r="M6232" s="5"/>
      <c r="N6232" s="5"/>
      <c r="O6232" s="5"/>
    </row>
    <row r="6233">
      <c r="A6233" s="6"/>
      <c r="C6233" s="6"/>
      <c r="L6233" s="7"/>
      <c r="M6233" s="5"/>
      <c r="N6233" s="5"/>
      <c r="O6233" s="5"/>
    </row>
    <row r="6234">
      <c r="A6234" s="6"/>
      <c r="C6234" s="6"/>
      <c r="L6234" s="7"/>
      <c r="M6234" s="5"/>
      <c r="N6234" s="5"/>
      <c r="O6234" s="5"/>
    </row>
    <row r="6235">
      <c r="A6235" s="6"/>
      <c r="C6235" s="6"/>
      <c r="L6235" s="7"/>
      <c r="M6235" s="5"/>
      <c r="N6235" s="5"/>
      <c r="O6235" s="5"/>
    </row>
    <row r="6236">
      <c r="A6236" s="6"/>
      <c r="C6236" s="6"/>
      <c r="L6236" s="7"/>
      <c r="M6236" s="5"/>
      <c r="N6236" s="5"/>
      <c r="O6236" s="5"/>
    </row>
    <row r="6237">
      <c r="A6237" s="6"/>
      <c r="C6237" s="6"/>
      <c r="L6237" s="7"/>
      <c r="M6237" s="5"/>
      <c r="N6237" s="5"/>
      <c r="O6237" s="5"/>
    </row>
    <row r="6238">
      <c r="A6238" s="6"/>
      <c r="C6238" s="6"/>
      <c r="L6238" s="7"/>
      <c r="M6238" s="5"/>
      <c r="N6238" s="5"/>
      <c r="O6238" s="5"/>
    </row>
    <row r="6239">
      <c r="A6239" s="6"/>
      <c r="C6239" s="6"/>
      <c r="L6239" s="7"/>
      <c r="M6239" s="5"/>
      <c r="N6239" s="5"/>
      <c r="O6239" s="5"/>
    </row>
    <row r="6240">
      <c r="A6240" s="6"/>
      <c r="C6240" s="6"/>
      <c r="L6240" s="7"/>
      <c r="M6240" s="5"/>
      <c r="N6240" s="5"/>
      <c r="O6240" s="5"/>
    </row>
    <row r="6241">
      <c r="A6241" s="6"/>
      <c r="C6241" s="6"/>
      <c r="L6241" s="7"/>
      <c r="M6241" s="5"/>
      <c r="N6241" s="5"/>
      <c r="O6241" s="5"/>
    </row>
    <row r="6242">
      <c r="A6242" s="6"/>
      <c r="C6242" s="6"/>
      <c r="L6242" s="7"/>
      <c r="M6242" s="5"/>
      <c r="N6242" s="5"/>
      <c r="O6242" s="5"/>
    </row>
    <row r="6243">
      <c r="A6243" s="6"/>
      <c r="C6243" s="6"/>
      <c r="L6243" s="7"/>
      <c r="M6243" s="5"/>
      <c r="N6243" s="5"/>
      <c r="O6243" s="5"/>
    </row>
    <row r="6244">
      <c r="A6244" s="6"/>
      <c r="C6244" s="6"/>
      <c r="L6244" s="7"/>
      <c r="M6244" s="5"/>
      <c r="N6244" s="5"/>
      <c r="O6244" s="5"/>
    </row>
    <row r="6245">
      <c r="A6245" s="6"/>
      <c r="C6245" s="6"/>
      <c r="L6245" s="7"/>
      <c r="M6245" s="5"/>
      <c r="N6245" s="5"/>
      <c r="O6245" s="5"/>
    </row>
    <row r="6246">
      <c r="A6246" s="6"/>
      <c r="C6246" s="6"/>
      <c r="L6246" s="7"/>
      <c r="M6246" s="5"/>
      <c r="N6246" s="5"/>
      <c r="O6246" s="5"/>
    </row>
    <row r="6247">
      <c r="A6247" s="6"/>
      <c r="C6247" s="6"/>
      <c r="L6247" s="7"/>
      <c r="M6247" s="5"/>
      <c r="N6247" s="5"/>
      <c r="O6247" s="5"/>
    </row>
    <row r="6248">
      <c r="A6248" s="6"/>
      <c r="C6248" s="6"/>
      <c r="L6248" s="7"/>
      <c r="M6248" s="5"/>
      <c r="N6248" s="5"/>
      <c r="O6248" s="5"/>
    </row>
    <row r="6249">
      <c r="A6249" s="6"/>
      <c r="C6249" s="6"/>
      <c r="L6249" s="7"/>
      <c r="M6249" s="5"/>
      <c r="N6249" s="5"/>
      <c r="O6249" s="5"/>
    </row>
    <row r="6250">
      <c r="A6250" s="6"/>
      <c r="C6250" s="6"/>
      <c r="L6250" s="7"/>
      <c r="M6250" s="5"/>
      <c r="N6250" s="5"/>
      <c r="O6250" s="5"/>
    </row>
    <row r="6251">
      <c r="A6251" s="6"/>
      <c r="C6251" s="6"/>
      <c r="L6251" s="7"/>
      <c r="M6251" s="5"/>
      <c r="N6251" s="5"/>
      <c r="O6251" s="5"/>
    </row>
    <row r="6252">
      <c r="A6252" s="6"/>
      <c r="C6252" s="6"/>
      <c r="L6252" s="7"/>
      <c r="M6252" s="5"/>
      <c r="N6252" s="5"/>
      <c r="O6252" s="5"/>
    </row>
    <row r="6253">
      <c r="A6253" s="6"/>
      <c r="C6253" s="6"/>
      <c r="L6253" s="7"/>
      <c r="M6253" s="5"/>
      <c r="N6253" s="5"/>
      <c r="O6253" s="5"/>
    </row>
    <row r="6254">
      <c r="A6254" s="6"/>
      <c r="C6254" s="6"/>
      <c r="L6254" s="7"/>
      <c r="M6254" s="5"/>
      <c r="N6254" s="5"/>
      <c r="O6254" s="5"/>
    </row>
    <row r="6255">
      <c r="A6255" s="6"/>
      <c r="C6255" s="6"/>
      <c r="L6255" s="7"/>
      <c r="M6255" s="5"/>
      <c r="N6255" s="5"/>
      <c r="O6255" s="5"/>
    </row>
    <row r="6256">
      <c r="A6256" s="6"/>
      <c r="C6256" s="6"/>
      <c r="L6256" s="7"/>
      <c r="M6256" s="5"/>
      <c r="N6256" s="5"/>
      <c r="O6256" s="5"/>
    </row>
    <row r="6257">
      <c r="A6257" s="6"/>
      <c r="C6257" s="6"/>
      <c r="L6257" s="7"/>
      <c r="M6257" s="5"/>
      <c r="N6257" s="5"/>
      <c r="O6257" s="5"/>
    </row>
    <row r="6258">
      <c r="A6258" s="6"/>
      <c r="C6258" s="6"/>
      <c r="L6258" s="7"/>
      <c r="M6258" s="5"/>
      <c r="N6258" s="5"/>
      <c r="O6258" s="5"/>
    </row>
    <row r="6259">
      <c r="A6259" s="6"/>
      <c r="C6259" s="6"/>
      <c r="L6259" s="7"/>
      <c r="M6259" s="5"/>
      <c r="N6259" s="5"/>
      <c r="O6259" s="5"/>
    </row>
    <row r="6260">
      <c r="A6260" s="6"/>
      <c r="C6260" s="6"/>
      <c r="L6260" s="7"/>
      <c r="M6260" s="5"/>
      <c r="N6260" s="5"/>
      <c r="O6260" s="5"/>
    </row>
    <row r="6261">
      <c r="A6261" s="6"/>
      <c r="C6261" s="6"/>
      <c r="L6261" s="7"/>
      <c r="M6261" s="5"/>
      <c r="N6261" s="5"/>
      <c r="O6261" s="5"/>
    </row>
    <row r="6262">
      <c r="A6262" s="6"/>
      <c r="C6262" s="6"/>
      <c r="L6262" s="7"/>
      <c r="M6262" s="5"/>
      <c r="N6262" s="5"/>
      <c r="O6262" s="5"/>
    </row>
    <row r="6263">
      <c r="A6263" s="6"/>
      <c r="C6263" s="6"/>
      <c r="L6263" s="7"/>
      <c r="M6263" s="5"/>
      <c r="N6263" s="5"/>
      <c r="O6263" s="5"/>
    </row>
    <row r="6264">
      <c r="A6264" s="6"/>
      <c r="C6264" s="6"/>
      <c r="L6264" s="7"/>
      <c r="M6264" s="5"/>
      <c r="N6264" s="5"/>
      <c r="O6264" s="5"/>
    </row>
    <row r="6265">
      <c r="A6265" s="6"/>
      <c r="C6265" s="6"/>
      <c r="L6265" s="7"/>
      <c r="M6265" s="5"/>
      <c r="N6265" s="5"/>
      <c r="O6265" s="5"/>
    </row>
    <row r="6266">
      <c r="A6266" s="6"/>
      <c r="C6266" s="6"/>
      <c r="L6266" s="7"/>
      <c r="M6266" s="5"/>
      <c r="N6266" s="5"/>
      <c r="O6266" s="5"/>
    </row>
    <row r="6267">
      <c r="A6267" s="6"/>
      <c r="C6267" s="6"/>
      <c r="L6267" s="7"/>
      <c r="M6267" s="5"/>
      <c r="N6267" s="5"/>
      <c r="O6267" s="5"/>
    </row>
    <row r="6268">
      <c r="A6268" s="6"/>
      <c r="C6268" s="6"/>
      <c r="L6268" s="7"/>
      <c r="M6268" s="5"/>
      <c r="N6268" s="5"/>
      <c r="O6268" s="5"/>
    </row>
    <row r="6269">
      <c r="A6269" s="6"/>
      <c r="C6269" s="6"/>
      <c r="L6269" s="7"/>
      <c r="M6269" s="5"/>
      <c r="N6269" s="5"/>
      <c r="O6269" s="5"/>
    </row>
    <row r="6270">
      <c r="A6270" s="6"/>
      <c r="C6270" s="6"/>
      <c r="L6270" s="7"/>
      <c r="M6270" s="5"/>
      <c r="N6270" s="5"/>
      <c r="O6270" s="5"/>
    </row>
    <row r="6271">
      <c r="A6271" s="6"/>
      <c r="C6271" s="6"/>
      <c r="L6271" s="7"/>
      <c r="M6271" s="5"/>
      <c r="N6271" s="5"/>
      <c r="O6271" s="5"/>
    </row>
    <row r="6272">
      <c r="A6272" s="6"/>
      <c r="C6272" s="6"/>
      <c r="L6272" s="7"/>
      <c r="M6272" s="5"/>
      <c r="N6272" s="5"/>
      <c r="O6272" s="5"/>
    </row>
    <row r="6273">
      <c r="A6273" s="6"/>
      <c r="C6273" s="6"/>
      <c r="L6273" s="7"/>
      <c r="M6273" s="5"/>
      <c r="N6273" s="5"/>
      <c r="O6273" s="5"/>
    </row>
    <row r="6274">
      <c r="A6274" s="6"/>
      <c r="C6274" s="6"/>
      <c r="L6274" s="7"/>
      <c r="M6274" s="5"/>
      <c r="N6274" s="5"/>
      <c r="O6274" s="5"/>
    </row>
    <row r="6275">
      <c r="A6275" s="6"/>
      <c r="C6275" s="6"/>
      <c r="L6275" s="7"/>
      <c r="M6275" s="5"/>
      <c r="N6275" s="5"/>
      <c r="O6275" s="5"/>
    </row>
    <row r="6276">
      <c r="A6276" s="6"/>
      <c r="C6276" s="6"/>
      <c r="L6276" s="7"/>
      <c r="M6276" s="5"/>
      <c r="N6276" s="5"/>
      <c r="O6276" s="5"/>
    </row>
    <row r="6277">
      <c r="A6277" s="6"/>
      <c r="C6277" s="6"/>
      <c r="L6277" s="7"/>
      <c r="M6277" s="5"/>
      <c r="N6277" s="5"/>
      <c r="O6277" s="5"/>
    </row>
    <row r="6278">
      <c r="A6278" s="6"/>
      <c r="C6278" s="6"/>
      <c r="L6278" s="7"/>
      <c r="M6278" s="5"/>
      <c r="N6278" s="5"/>
      <c r="O6278" s="5"/>
    </row>
    <row r="6279">
      <c r="A6279" s="6"/>
      <c r="C6279" s="6"/>
      <c r="L6279" s="7"/>
      <c r="M6279" s="5"/>
      <c r="N6279" s="5"/>
      <c r="O6279" s="5"/>
    </row>
    <row r="6280">
      <c r="A6280" s="6"/>
      <c r="C6280" s="6"/>
      <c r="L6280" s="7"/>
      <c r="M6280" s="5"/>
      <c r="N6280" s="5"/>
      <c r="O6280" s="5"/>
    </row>
    <row r="6281">
      <c r="A6281" s="6"/>
      <c r="C6281" s="6"/>
      <c r="L6281" s="7"/>
      <c r="M6281" s="5"/>
      <c r="N6281" s="5"/>
      <c r="O6281" s="5"/>
    </row>
    <row r="6282">
      <c r="A6282" s="6"/>
      <c r="C6282" s="6"/>
      <c r="L6282" s="7"/>
      <c r="M6282" s="5"/>
      <c r="N6282" s="5"/>
      <c r="O6282" s="5"/>
    </row>
    <row r="6283">
      <c r="A6283" s="6"/>
      <c r="C6283" s="6"/>
      <c r="L6283" s="7"/>
      <c r="M6283" s="5"/>
      <c r="N6283" s="5"/>
      <c r="O6283" s="5"/>
    </row>
    <row r="6284">
      <c r="A6284" s="6"/>
      <c r="C6284" s="6"/>
      <c r="L6284" s="7"/>
      <c r="M6284" s="5"/>
      <c r="N6284" s="5"/>
      <c r="O6284" s="5"/>
    </row>
    <row r="6285">
      <c r="A6285" s="6"/>
      <c r="C6285" s="6"/>
      <c r="L6285" s="7"/>
      <c r="M6285" s="5"/>
      <c r="N6285" s="5"/>
      <c r="O6285" s="5"/>
    </row>
    <row r="6286">
      <c r="A6286" s="6"/>
      <c r="C6286" s="6"/>
      <c r="L6286" s="7"/>
      <c r="M6286" s="5"/>
      <c r="N6286" s="5"/>
      <c r="O6286" s="5"/>
    </row>
    <row r="6287">
      <c r="A6287" s="6"/>
      <c r="C6287" s="6"/>
      <c r="L6287" s="7"/>
      <c r="M6287" s="5"/>
      <c r="N6287" s="5"/>
      <c r="O6287" s="5"/>
    </row>
    <row r="6288">
      <c r="A6288" s="6"/>
      <c r="C6288" s="6"/>
      <c r="L6288" s="7"/>
      <c r="M6288" s="5"/>
      <c r="N6288" s="5"/>
      <c r="O6288" s="5"/>
    </row>
    <row r="6289">
      <c r="A6289" s="6"/>
      <c r="C6289" s="6"/>
      <c r="L6289" s="7"/>
      <c r="M6289" s="5"/>
      <c r="N6289" s="5"/>
      <c r="O6289" s="5"/>
    </row>
    <row r="6290">
      <c r="A6290" s="6"/>
      <c r="C6290" s="6"/>
      <c r="L6290" s="7"/>
      <c r="M6290" s="5"/>
      <c r="N6290" s="5"/>
      <c r="O6290" s="5"/>
    </row>
    <row r="6291">
      <c r="A6291" s="6"/>
      <c r="C6291" s="6"/>
      <c r="L6291" s="7"/>
      <c r="M6291" s="5"/>
      <c r="N6291" s="5"/>
      <c r="O6291" s="5"/>
    </row>
    <row r="6292">
      <c r="A6292" s="6"/>
      <c r="C6292" s="6"/>
      <c r="L6292" s="7"/>
      <c r="M6292" s="5"/>
      <c r="N6292" s="5"/>
      <c r="O6292" s="5"/>
    </row>
    <row r="6293">
      <c r="A6293" s="6"/>
      <c r="C6293" s="6"/>
      <c r="L6293" s="7"/>
      <c r="M6293" s="5"/>
      <c r="N6293" s="5"/>
      <c r="O6293" s="5"/>
    </row>
    <row r="6294">
      <c r="A6294" s="6"/>
      <c r="C6294" s="6"/>
      <c r="L6294" s="7"/>
      <c r="M6294" s="5"/>
      <c r="N6294" s="5"/>
      <c r="O6294" s="5"/>
    </row>
    <row r="6295">
      <c r="A6295" s="6"/>
      <c r="C6295" s="6"/>
      <c r="L6295" s="7"/>
      <c r="M6295" s="5"/>
      <c r="N6295" s="5"/>
      <c r="O6295" s="5"/>
    </row>
    <row r="6296">
      <c r="A6296" s="6"/>
      <c r="C6296" s="6"/>
      <c r="L6296" s="7"/>
      <c r="M6296" s="5"/>
      <c r="N6296" s="5"/>
      <c r="O6296" s="5"/>
    </row>
    <row r="6297">
      <c r="A6297" s="6"/>
      <c r="C6297" s="6"/>
      <c r="L6297" s="7"/>
      <c r="M6297" s="5"/>
      <c r="N6297" s="5"/>
      <c r="O6297" s="5"/>
    </row>
    <row r="6298">
      <c r="A6298" s="6"/>
      <c r="C6298" s="6"/>
      <c r="L6298" s="7"/>
      <c r="M6298" s="5"/>
      <c r="N6298" s="5"/>
      <c r="O6298" s="5"/>
    </row>
    <row r="6299">
      <c r="A6299" s="6"/>
      <c r="C6299" s="6"/>
      <c r="L6299" s="7"/>
      <c r="M6299" s="5"/>
      <c r="N6299" s="5"/>
      <c r="O6299" s="5"/>
    </row>
    <row r="6300">
      <c r="A6300" s="6"/>
      <c r="C6300" s="6"/>
      <c r="L6300" s="7"/>
      <c r="M6300" s="5"/>
      <c r="N6300" s="5"/>
      <c r="O6300" s="5"/>
    </row>
    <row r="6301">
      <c r="A6301" s="6"/>
      <c r="C6301" s="6"/>
      <c r="L6301" s="7"/>
      <c r="M6301" s="5"/>
      <c r="N6301" s="5"/>
      <c r="O6301" s="5"/>
    </row>
    <row r="6302">
      <c r="A6302" s="6"/>
      <c r="C6302" s="6"/>
      <c r="L6302" s="7"/>
      <c r="M6302" s="5"/>
      <c r="N6302" s="5"/>
      <c r="O6302" s="5"/>
    </row>
    <row r="6303">
      <c r="A6303" s="6"/>
      <c r="C6303" s="6"/>
      <c r="L6303" s="7"/>
      <c r="M6303" s="5"/>
      <c r="N6303" s="5"/>
      <c r="O6303" s="5"/>
    </row>
    <row r="6304">
      <c r="A6304" s="6"/>
      <c r="C6304" s="6"/>
      <c r="L6304" s="7"/>
      <c r="M6304" s="5"/>
      <c r="N6304" s="5"/>
      <c r="O6304" s="5"/>
    </row>
    <row r="6305">
      <c r="A6305" s="6"/>
      <c r="C6305" s="6"/>
      <c r="L6305" s="7"/>
      <c r="M6305" s="5"/>
      <c r="N6305" s="5"/>
      <c r="O6305" s="5"/>
    </row>
    <row r="6306">
      <c r="A6306" s="6"/>
      <c r="C6306" s="6"/>
      <c r="L6306" s="7"/>
      <c r="M6306" s="5"/>
      <c r="N6306" s="5"/>
      <c r="O6306" s="5"/>
    </row>
    <row r="6307">
      <c r="A6307" s="6"/>
      <c r="C6307" s="6"/>
      <c r="L6307" s="7"/>
      <c r="M6307" s="5"/>
      <c r="N6307" s="5"/>
      <c r="O6307" s="5"/>
    </row>
    <row r="6308">
      <c r="A6308" s="6"/>
      <c r="C6308" s="6"/>
      <c r="L6308" s="7"/>
      <c r="M6308" s="5"/>
      <c r="N6308" s="5"/>
      <c r="O6308" s="5"/>
    </row>
    <row r="6309">
      <c r="A6309" s="6"/>
      <c r="C6309" s="6"/>
      <c r="L6309" s="7"/>
      <c r="M6309" s="5"/>
      <c r="N6309" s="5"/>
      <c r="O6309" s="5"/>
    </row>
    <row r="6310">
      <c r="A6310" s="6"/>
      <c r="C6310" s="6"/>
      <c r="L6310" s="7"/>
      <c r="M6310" s="5"/>
      <c r="N6310" s="5"/>
      <c r="O6310" s="5"/>
    </row>
    <row r="6311">
      <c r="A6311" s="6"/>
      <c r="C6311" s="6"/>
      <c r="L6311" s="7"/>
      <c r="M6311" s="5"/>
      <c r="N6311" s="5"/>
      <c r="O6311" s="5"/>
    </row>
    <row r="6312">
      <c r="A6312" s="6"/>
      <c r="C6312" s="6"/>
      <c r="L6312" s="7"/>
      <c r="M6312" s="5"/>
      <c r="N6312" s="5"/>
      <c r="O6312" s="5"/>
    </row>
    <row r="6313">
      <c r="A6313" s="6"/>
      <c r="C6313" s="6"/>
      <c r="L6313" s="7"/>
      <c r="M6313" s="5"/>
      <c r="N6313" s="5"/>
      <c r="O6313" s="5"/>
    </row>
    <row r="6314">
      <c r="A6314" s="6"/>
      <c r="C6314" s="6"/>
      <c r="L6314" s="7"/>
      <c r="M6314" s="5"/>
      <c r="N6314" s="5"/>
      <c r="O6314" s="5"/>
    </row>
    <row r="6315">
      <c r="A6315" s="6"/>
      <c r="C6315" s="6"/>
      <c r="L6315" s="7"/>
      <c r="M6315" s="5"/>
      <c r="N6315" s="5"/>
      <c r="O6315" s="5"/>
    </row>
    <row r="6316">
      <c r="A6316" s="6"/>
      <c r="C6316" s="6"/>
      <c r="L6316" s="7"/>
      <c r="M6316" s="5"/>
      <c r="N6316" s="5"/>
      <c r="O6316" s="5"/>
    </row>
    <row r="6317">
      <c r="A6317" s="6"/>
      <c r="C6317" s="6"/>
      <c r="L6317" s="7"/>
      <c r="M6317" s="5"/>
      <c r="N6317" s="5"/>
      <c r="O6317" s="5"/>
    </row>
    <row r="6318">
      <c r="A6318" s="6"/>
      <c r="C6318" s="6"/>
      <c r="L6318" s="7"/>
      <c r="M6318" s="5"/>
      <c r="N6318" s="5"/>
      <c r="O6318" s="5"/>
    </row>
    <row r="6319">
      <c r="A6319" s="6"/>
      <c r="C6319" s="6"/>
      <c r="L6319" s="7"/>
      <c r="M6319" s="5"/>
      <c r="N6319" s="5"/>
      <c r="O6319" s="5"/>
    </row>
    <row r="6320">
      <c r="A6320" s="6"/>
      <c r="C6320" s="6"/>
      <c r="L6320" s="7"/>
      <c r="M6320" s="5"/>
      <c r="N6320" s="5"/>
      <c r="O6320" s="5"/>
    </row>
    <row r="6321">
      <c r="A6321" s="6"/>
      <c r="C6321" s="6"/>
      <c r="L6321" s="7"/>
      <c r="M6321" s="5"/>
      <c r="N6321" s="5"/>
      <c r="O6321" s="5"/>
    </row>
    <row r="6322">
      <c r="A6322" s="6"/>
      <c r="C6322" s="6"/>
      <c r="L6322" s="7"/>
      <c r="M6322" s="5"/>
      <c r="N6322" s="5"/>
      <c r="O6322" s="5"/>
    </row>
    <row r="6323">
      <c r="A6323" s="6"/>
      <c r="C6323" s="6"/>
      <c r="L6323" s="7"/>
      <c r="M6323" s="5"/>
      <c r="N6323" s="5"/>
      <c r="O6323" s="5"/>
    </row>
    <row r="6324">
      <c r="A6324" s="6"/>
      <c r="C6324" s="6"/>
      <c r="L6324" s="7"/>
      <c r="M6324" s="5"/>
      <c r="N6324" s="5"/>
      <c r="O6324" s="5"/>
    </row>
    <row r="6325">
      <c r="A6325" s="6"/>
      <c r="C6325" s="6"/>
      <c r="L6325" s="7"/>
      <c r="M6325" s="5"/>
      <c r="N6325" s="5"/>
      <c r="O6325" s="5"/>
    </row>
    <row r="6326">
      <c r="A6326" s="6"/>
      <c r="C6326" s="6"/>
      <c r="L6326" s="7"/>
      <c r="M6326" s="5"/>
      <c r="N6326" s="5"/>
      <c r="O6326" s="5"/>
    </row>
    <row r="6327">
      <c r="A6327" s="6"/>
      <c r="C6327" s="6"/>
      <c r="L6327" s="7"/>
      <c r="M6327" s="5"/>
      <c r="N6327" s="5"/>
      <c r="O6327" s="5"/>
    </row>
    <row r="6328">
      <c r="A6328" s="6"/>
      <c r="C6328" s="6"/>
      <c r="L6328" s="7"/>
      <c r="M6328" s="5"/>
      <c r="N6328" s="5"/>
      <c r="O6328" s="5"/>
    </row>
    <row r="6329">
      <c r="A6329" s="6"/>
      <c r="C6329" s="6"/>
      <c r="L6329" s="7"/>
      <c r="M6329" s="5"/>
      <c r="N6329" s="5"/>
      <c r="O6329" s="5"/>
    </row>
    <row r="6330">
      <c r="A6330" s="6"/>
      <c r="C6330" s="6"/>
      <c r="L6330" s="7"/>
      <c r="M6330" s="5"/>
      <c r="N6330" s="5"/>
      <c r="O6330" s="5"/>
    </row>
    <row r="6331">
      <c r="A6331" s="6"/>
      <c r="C6331" s="6"/>
      <c r="L6331" s="7"/>
      <c r="M6331" s="5"/>
      <c r="N6331" s="5"/>
      <c r="O6331" s="5"/>
    </row>
    <row r="6332">
      <c r="A6332" s="6"/>
      <c r="C6332" s="6"/>
      <c r="L6332" s="7"/>
      <c r="M6332" s="5"/>
      <c r="N6332" s="5"/>
      <c r="O6332" s="5"/>
    </row>
    <row r="6333">
      <c r="A6333" s="6"/>
      <c r="C6333" s="6"/>
      <c r="L6333" s="7"/>
      <c r="M6333" s="5"/>
      <c r="N6333" s="5"/>
      <c r="O6333" s="5"/>
    </row>
    <row r="6334">
      <c r="A6334" s="6"/>
      <c r="C6334" s="6"/>
      <c r="L6334" s="7"/>
      <c r="M6334" s="5"/>
      <c r="N6334" s="5"/>
      <c r="O6334" s="5"/>
    </row>
    <row r="6335">
      <c r="A6335" s="6"/>
      <c r="C6335" s="6"/>
      <c r="L6335" s="7"/>
      <c r="M6335" s="5"/>
      <c r="N6335" s="5"/>
      <c r="O6335" s="5"/>
    </row>
    <row r="6336">
      <c r="A6336" s="6"/>
      <c r="C6336" s="6"/>
      <c r="L6336" s="7"/>
      <c r="M6336" s="5"/>
      <c r="N6336" s="5"/>
      <c r="O6336" s="5"/>
    </row>
    <row r="6337">
      <c r="A6337" s="6"/>
      <c r="C6337" s="6"/>
      <c r="L6337" s="7"/>
      <c r="M6337" s="5"/>
      <c r="N6337" s="5"/>
      <c r="O6337" s="5"/>
    </row>
    <row r="6338">
      <c r="A6338" s="6"/>
      <c r="C6338" s="6"/>
      <c r="L6338" s="7"/>
      <c r="M6338" s="5"/>
      <c r="N6338" s="5"/>
      <c r="O6338" s="5"/>
    </row>
    <row r="6339">
      <c r="A6339" s="6"/>
      <c r="C6339" s="6"/>
      <c r="L6339" s="7"/>
      <c r="M6339" s="5"/>
      <c r="N6339" s="5"/>
      <c r="O6339" s="5"/>
    </row>
    <row r="6340">
      <c r="A6340" s="6"/>
      <c r="C6340" s="6"/>
      <c r="L6340" s="7"/>
      <c r="M6340" s="5"/>
      <c r="N6340" s="5"/>
      <c r="O6340" s="5"/>
    </row>
    <row r="6341">
      <c r="A6341" s="6"/>
      <c r="C6341" s="6"/>
      <c r="L6341" s="7"/>
      <c r="M6341" s="5"/>
      <c r="N6341" s="5"/>
      <c r="O6341" s="5"/>
    </row>
    <row r="6342">
      <c r="A6342" s="6"/>
      <c r="C6342" s="6"/>
      <c r="L6342" s="7"/>
      <c r="M6342" s="5"/>
      <c r="N6342" s="5"/>
      <c r="O6342" s="5"/>
    </row>
    <row r="6343">
      <c r="A6343" s="6"/>
      <c r="C6343" s="6"/>
      <c r="L6343" s="7"/>
      <c r="M6343" s="5"/>
      <c r="N6343" s="5"/>
      <c r="O6343" s="5"/>
    </row>
    <row r="6344">
      <c r="A6344" s="6"/>
      <c r="C6344" s="6"/>
      <c r="L6344" s="7"/>
      <c r="M6344" s="5"/>
      <c r="N6344" s="5"/>
      <c r="O6344" s="5"/>
    </row>
    <row r="6345">
      <c r="A6345" s="6"/>
      <c r="C6345" s="6"/>
      <c r="L6345" s="7"/>
      <c r="M6345" s="5"/>
      <c r="N6345" s="5"/>
      <c r="O6345" s="5"/>
    </row>
    <row r="6346">
      <c r="A6346" s="6"/>
      <c r="C6346" s="6"/>
      <c r="L6346" s="7"/>
      <c r="M6346" s="5"/>
      <c r="N6346" s="5"/>
      <c r="O6346" s="5"/>
    </row>
    <row r="6347">
      <c r="A6347" s="6"/>
      <c r="C6347" s="6"/>
      <c r="L6347" s="7"/>
      <c r="M6347" s="5"/>
      <c r="N6347" s="5"/>
      <c r="O6347" s="5"/>
    </row>
    <row r="6348">
      <c r="A6348" s="6"/>
      <c r="C6348" s="6"/>
      <c r="L6348" s="7"/>
      <c r="M6348" s="5"/>
      <c r="N6348" s="5"/>
      <c r="O6348" s="5"/>
    </row>
    <row r="6349">
      <c r="A6349" s="6"/>
      <c r="C6349" s="6"/>
      <c r="L6349" s="7"/>
      <c r="M6349" s="5"/>
      <c r="N6349" s="5"/>
      <c r="O6349" s="5"/>
    </row>
    <row r="6350">
      <c r="A6350" s="6"/>
      <c r="C6350" s="6"/>
      <c r="L6350" s="7"/>
      <c r="M6350" s="5"/>
      <c r="N6350" s="5"/>
      <c r="O6350" s="5"/>
    </row>
    <row r="6351">
      <c r="A6351" s="6"/>
      <c r="C6351" s="6"/>
      <c r="L6351" s="7"/>
      <c r="M6351" s="5"/>
      <c r="N6351" s="5"/>
      <c r="O6351" s="5"/>
    </row>
    <row r="6352">
      <c r="A6352" s="6"/>
      <c r="C6352" s="6"/>
      <c r="L6352" s="7"/>
      <c r="M6352" s="5"/>
      <c r="N6352" s="5"/>
      <c r="O6352" s="5"/>
    </row>
    <row r="6353">
      <c r="A6353" s="6"/>
      <c r="C6353" s="6"/>
      <c r="L6353" s="7"/>
      <c r="M6353" s="5"/>
      <c r="N6353" s="5"/>
      <c r="O6353" s="5"/>
    </row>
    <row r="6354">
      <c r="A6354" s="6"/>
      <c r="C6354" s="6"/>
      <c r="L6354" s="7"/>
      <c r="M6354" s="5"/>
      <c r="N6354" s="5"/>
      <c r="O6354" s="5"/>
    </row>
    <row r="6355">
      <c r="A6355" s="6"/>
      <c r="C6355" s="6"/>
      <c r="L6355" s="7"/>
      <c r="M6355" s="5"/>
      <c r="N6355" s="5"/>
      <c r="O6355" s="5"/>
    </row>
    <row r="6356">
      <c r="A6356" s="6"/>
      <c r="C6356" s="6"/>
      <c r="L6356" s="7"/>
      <c r="M6356" s="5"/>
      <c r="N6356" s="5"/>
      <c r="O6356" s="5"/>
    </row>
    <row r="6357">
      <c r="A6357" s="6"/>
      <c r="C6357" s="6"/>
      <c r="L6357" s="7"/>
      <c r="M6357" s="5"/>
      <c r="N6357" s="5"/>
      <c r="O6357" s="5"/>
    </row>
    <row r="6358">
      <c r="A6358" s="6"/>
      <c r="C6358" s="6"/>
      <c r="L6358" s="7"/>
      <c r="M6358" s="5"/>
      <c r="N6358" s="5"/>
      <c r="O6358" s="5"/>
    </row>
    <row r="6359">
      <c r="A6359" s="6"/>
      <c r="C6359" s="6"/>
      <c r="L6359" s="7"/>
      <c r="M6359" s="5"/>
      <c r="N6359" s="5"/>
      <c r="O6359" s="5"/>
    </row>
    <row r="6360">
      <c r="A6360" s="6"/>
      <c r="C6360" s="6"/>
      <c r="L6360" s="7"/>
      <c r="M6360" s="5"/>
      <c r="N6360" s="5"/>
      <c r="O6360" s="5"/>
    </row>
    <row r="6361">
      <c r="A6361" s="6"/>
      <c r="C6361" s="6"/>
      <c r="L6361" s="7"/>
      <c r="M6361" s="5"/>
      <c r="N6361" s="5"/>
      <c r="O6361" s="5"/>
    </row>
    <row r="6362">
      <c r="A6362" s="6"/>
      <c r="C6362" s="6"/>
      <c r="L6362" s="7"/>
      <c r="M6362" s="5"/>
      <c r="N6362" s="5"/>
      <c r="O6362" s="5"/>
    </row>
    <row r="6363">
      <c r="A6363" s="6"/>
      <c r="C6363" s="6"/>
      <c r="L6363" s="7"/>
      <c r="M6363" s="5"/>
      <c r="N6363" s="5"/>
      <c r="O6363" s="5"/>
    </row>
    <row r="6364">
      <c r="A6364" s="6"/>
      <c r="C6364" s="6"/>
      <c r="L6364" s="7"/>
      <c r="M6364" s="5"/>
      <c r="N6364" s="5"/>
      <c r="O6364" s="5"/>
    </row>
    <row r="6365">
      <c r="A6365" s="6"/>
      <c r="C6365" s="6"/>
      <c r="L6365" s="7"/>
      <c r="M6365" s="5"/>
      <c r="N6365" s="5"/>
      <c r="O6365" s="5"/>
    </row>
    <row r="6366">
      <c r="A6366" s="6"/>
      <c r="C6366" s="6"/>
      <c r="L6366" s="7"/>
      <c r="M6366" s="5"/>
      <c r="N6366" s="5"/>
      <c r="O6366" s="5"/>
    </row>
    <row r="6367">
      <c r="A6367" s="6"/>
      <c r="C6367" s="6"/>
      <c r="L6367" s="7"/>
      <c r="M6367" s="5"/>
      <c r="N6367" s="5"/>
      <c r="O6367" s="5"/>
    </row>
    <row r="6368">
      <c r="A6368" s="6"/>
      <c r="C6368" s="6"/>
      <c r="L6368" s="7"/>
      <c r="M6368" s="5"/>
      <c r="N6368" s="5"/>
      <c r="O6368" s="5"/>
    </row>
    <row r="6369">
      <c r="A6369" s="6"/>
      <c r="C6369" s="6"/>
      <c r="L6369" s="7"/>
      <c r="M6369" s="5"/>
      <c r="N6369" s="5"/>
      <c r="O6369" s="5"/>
    </row>
    <row r="6370">
      <c r="A6370" s="6"/>
      <c r="C6370" s="6"/>
      <c r="L6370" s="7"/>
      <c r="M6370" s="5"/>
      <c r="N6370" s="5"/>
      <c r="O6370" s="5"/>
    </row>
    <row r="6371">
      <c r="A6371" s="6"/>
      <c r="C6371" s="6"/>
      <c r="L6371" s="7"/>
      <c r="M6371" s="5"/>
      <c r="N6371" s="5"/>
      <c r="O6371" s="5"/>
    </row>
    <row r="6372">
      <c r="A6372" s="6"/>
      <c r="C6372" s="6"/>
      <c r="L6372" s="7"/>
      <c r="M6372" s="5"/>
      <c r="N6372" s="5"/>
      <c r="O6372" s="5"/>
    </row>
    <row r="6373">
      <c r="A6373" s="6"/>
      <c r="C6373" s="6"/>
      <c r="L6373" s="7"/>
      <c r="M6373" s="5"/>
      <c r="N6373" s="5"/>
      <c r="O6373" s="5"/>
    </row>
    <row r="6374">
      <c r="A6374" s="6"/>
      <c r="C6374" s="6"/>
      <c r="L6374" s="7"/>
      <c r="M6374" s="5"/>
      <c r="N6374" s="5"/>
      <c r="O6374" s="5"/>
    </row>
    <row r="6375">
      <c r="A6375" s="6"/>
      <c r="C6375" s="6"/>
      <c r="L6375" s="7"/>
      <c r="M6375" s="5"/>
      <c r="N6375" s="5"/>
      <c r="O6375" s="5"/>
    </row>
    <row r="6376">
      <c r="A6376" s="6"/>
      <c r="C6376" s="6"/>
      <c r="L6376" s="7"/>
      <c r="M6376" s="5"/>
      <c r="N6376" s="5"/>
      <c r="O6376" s="5"/>
    </row>
    <row r="6377">
      <c r="A6377" s="6"/>
      <c r="C6377" s="6"/>
      <c r="L6377" s="7"/>
      <c r="M6377" s="5"/>
      <c r="N6377" s="5"/>
      <c r="O6377" s="5"/>
    </row>
    <row r="6378">
      <c r="A6378" s="6"/>
      <c r="C6378" s="6"/>
      <c r="L6378" s="7"/>
      <c r="M6378" s="5"/>
      <c r="N6378" s="5"/>
      <c r="O6378" s="5"/>
    </row>
    <row r="6379">
      <c r="A6379" s="6"/>
      <c r="C6379" s="6"/>
      <c r="L6379" s="7"/>
      <c r="M6379" s="5"/>
      <c r="N6379" s="5"/>
      <c r="O6379" s="5"/>
    </row>
    <row r="6380">
      <c r="A6380" s="6"/>
      <c r="C6380" s="6"/>
      <c r="L6380" s="7"/>
      <c r="M6380" s="5"/>
      <c r="N6380" s="5"/>
      <c r="O6380" s="5"/>
    </row>
    <row r="6381">
      <c r="A6381" s="6"/>
      <c r="C6381" s="6"/>
      <c r="L6381" s="7"/>
      <c r="M6381" s="5"/>
      <c r="N6381" s="5"/>
      <c r="O6381" s="5"/>
    </row>
    <row r="6382">
      <c r="A6382" s="6"/>
      <c r="C6382" s="6"/>
      <c r="L6382" s="7"/>
      <c r="M6382" s="5"/>
      <c r="N6382" s="5"/>
      <c r="O6382" s="5"/>
    </row>
    <row r="6383">
      <c r="A6383" s="6"/>
      <c r="C6383" s="6"/>
      <c r="L6383" s="7"/>
      <c r="M6383" s="5"/>
      <c r="N6383" s="5"/>
      <c r="O6383" s="5"/>
    </row>
    <row r="6384">
      <c r="A6384" s="6"/>
      <c r="C6384" s="6"/>
      <c r="L6384" s="7"/>
      <c r="M6384" s="5"/>
      <c r="N6384" s="5"/>
      <c r="O6384" s="5"/>
    </row>
    <row r="6385">
      <c r="A6385" s="6"/>
      <c r="C6385" s="6"/>
      <c r="L6385" s="7"/>
      <c r="M6385" s="5"/>
      <c r="N6385" s="5"/>
      <c r="O6385" s="5"/>
    </row>
    <row r="6386">
      <c r="A6386" s="6"/>
      <c r="C6386" s="6"/>
      <c r="L6386" s="7"/>
      <c r="M6386" s="5"/>
      <c r="N6386" s="5"/>
      <c r="O6386" s="5"/>
    </row>
    <row r="6387">
      <c r="A6387" s="6"/>
      <c r="C6387" s="6"/>
      <c r="L6387" s="7"/>
      <c r="M6387" s="5"/>
      <c r="N6387" s="5"/>
      <c r="O6387" s="5"/>
    </row>
    <row r="6388">
      <c r="A6388" s="6"/>
      <c r="C6388" s="6"/>
      <c r="L6388" s="7"/>
      <c r="M6388" s="5"/>
      <c r="N6388" s="5"/>
      <c r="O6388" s="5"/>
    </row>
    <row r="6389">
      <c r="A6389" s="6"/>
      <c r="C6389" s="6"/>
      <c r="L6389" s="7"/>
      <c r="M6389" s="5"/>
      <c r="N6389" s="5"/>
      <c r="O6389" s="5"/>
    </row>
    <row r="6390">
      <c r="A6390" s="6"/>
      <c r="C6390" s="6"/>
      <c r="L6390" s="7"/>
      <c r="M6390" s="5"/>
      <c r="N6390" s="5"/>
      <c r="O6390" s="5"/>
    </row>
    <row r="6391">
      <c r="A6391" s="6"/>
      <c r="C6391" s="6"/>
      <c r="L6391" s="7"/>
      <c r="M6391" s="5"/>
      <c r="N6391" s="5"/>
      <c r="O6391" s="5"/>
    </row>
    <row r="6392">
      <c r="A6392" s="6"/>
      <c r="C6392" s="6"/>
      <c r="L6392" s="7"/>
      <c r="M6392" s="5"/>
      <c r="N6392" s="5"/>
      <c r="O6392" s="5"/>
    </row>
    <row r="6393">
      <c r="A6393" s="6"/>
      <c r="C6393" s="6"/>
      <c r="L6393" s="7"/>
      <c r="M6393" s="5"/>
      <c r="N6393" s="5"/>
      <c r="O6393" s="5"/>
    </row>
    <row r="6394">
      <c r="A6394" s="6"/>
      <c r="C6394" s="6"/>
      <c r="L6394" s="7"/>
      <c r="M6394" s="5"/>
      <c r="N6394" s="5"/>
      <c r="O6394" s="5"/>
    </row>
    <row r="6395">
      <c r="A6395" s="6"/>
      <c r="C6395" s="6"/>
      <c r="L6395" s="7"/>
      <c r="M6395" s="5"/>
      <c r="N6395" s="5"/>
      <c r="O6395" s="5"/>
    </row>
    <row r="6396">
      <c r="A6396" s="6"/>
      <c r="C6396" s="6"/>
      <c r="L6396" s="7"/>
      <c r="M6396" s="5"/>
      <c r="N6396" s="5"/>
      <c r="O6396" s="5"/>
    </row>
    <row r="6397">
      <c r="A6397" s="6"/>
      <c r="C6397" s="6"/>
      <c r="L6397" s="7"/>
      <c r="M6397" s="5"/>
      <c r="N6397" s="5"/>
      <c r="O6397" s="5"/>
    </row>
    <row r="6398">
      <c r="A6398" s="6"/>
      <c r="C6398" s="6"/>
      <c r="L6398" s="7"/>
      <c r="M6398" s="5"/>
      <c r="N6398" s="5"/>
      <c r="O6398" s="5"/>
    </row>
    <row r="6399">
      <c r="A6399" s="6"/>
      <c r="C6399" s="6"/>
      <c r="L6399" s="7"/>
      <c r="M6399" s="5"/>
      <c r="N6399" s="5"/>
      <c r="O6399" s="5"/>
    </row>
    <row r="6400">
      <c r="A6400" s="6"/>
      <c r="C6400" s="6"/>
      <c r="L6400" s="7"/>
      <c r="M6400" s="5"/>
      <c r="N6400" s="5"/>
      <c r="O6400" s="5"/>
    </row>
    <row r="6401">
      <c r="A6401" s="6"/>
      <c r="C6401" s="6"/>
      <c r="L6401" s="7"/>
      <c r="M6401" s="5"/>
      <c r="N6401" s="5"/>
      <c r="O6401" s="5"/>
    </row>
    <row r="6402">
      <c r="A6402" s="6"/>
      <c r="C6402" s="6"/>
      <c r="L6402" s="7"/>
      <c r="M6402" s="5"/>
      <c r="N6402" s="5"/>
      <c r="O6402" s="5"/>
    </row>
    <row r="6403">
      <c r="A6403" s="6"/>
      <c r="C6403" s="6"/>
      <c r="L6403" s="7"/>
      <c r="M6403" s="5"/>
      <c r="N6403" s="5"/>
      <c r="O6403" s="5"/>
    </row>
    <row r="6404">
      <c r="A6404" s="6"/>
      <c r="C6404" s="6"/>
      <c r="L6404" s="7"/>
      <c r="M6404" s="5"/>
      <c r="N6404" s="5"/>
      <c r="O6404" s="5"/>
    </row>
    <row r="6405">
      <c r="A6405" s="6"/>
      <c r="C6405" s="6"/>
      <c r="L6405" s="7"/>
      <c r="M6405" s="5"/>
      <c r="N6405" s="5"/>
      <c r="O6405" s="5"/>
    </row>
    <row r="6406">
      <c r="A6406" s="6"/>
      <c r="C6406" s="6"/>
      <c r="L6406" s="7"/>
      <c r="M6406" s="5"/>
      <c r="N6406" s="5"/>
      <c r="O6406" s="5"/>
    </row>
    <row r="6407">
      <c r="A6407" s="6"/>
      <c r="C6407" s="6"/>
      <c r="L6407" s="7"/>
      <c r="M6407" s="5"/>
      <c r="N6407" s="5"/>
      <c r="O6407" s="5"/>
    </row>
    <row r="6408">
      <c r="A6408" s="6"/>
      <c r="C6408" s="6"/>
      <c r="L6408" s="7"/>
      <c r="M6408" s="5"/>
      <c r="N6408" s="5"/>
      <c r="O6408" s="5"/>
    </row>
    <row r="6409">
      <c r="A6409" s="6"/>
      <c r="C6409" s="6"/>
      <c r="L6409" s="7"/>
      <c r="M6409" s="5"/>
      <c r="N6409" s="5"/>
      <c r="O6409" s="5"/>
    </row>
    <row r="6410">
      <c r="A6410" s="6"/>
      <c r="C6410" s="6"/>
      <c r="L6410" s="7"/>
      <c r="M6410" s="5"/>
      <c r="N6410" s="5"/>
      <c r="O6410" s="5"/>
    </row>
    <row r="6411">
      <c r="A6411" s="6"/>
      <c r="C6411" s="6"/>
      <c r="L6411" s="7"/>
      <c r="M6411" s="5"/>
      <c r="N6411" s="5"/>
      <c r="O6411" s="5"/>
    </row>
    <row r="6412">
      <c r="A6412" s="6"/>
      <c r="C6412" s="6"/>
      <c r="L6412" s="7"/>
      <c r="M6412" s="5"/>
      <c r="N6412" s="5"/>
      <c r="O6412" s="5"/>
    </row>
    <row r="6413">
      <c r="A6413" s="6"/>
      <c r="C6413" s="6"/>
      <c r="L6413" s="7"/>
      <c r="M6413" s="5"/>
      <c r="N6413" s="5"/>
      <c r="O6413" s="5"/>
    </row>
    <row r="6414">
      <c r="A6414" s="6"/>
      <c r="C6414" s="6"/>
      <c r="L6414" s="7"/>
      <c r="M6414" s="5"/>
      <c r="N6414" s="5"/>
      <c r="O6414" s="5"/>
    </row>
    <row r="6415">
      <c r="A6415" s="6"/>
      <c r="C6415" s="6"/>
      <c r="L6415" s="7"/>
      <c r="M6415" s="5"/>
      <c r="N6415" s="5"/>
      <c r="O6415" s="5"/>
    </row>
    <row r="6416">
      <c r="A6416" s="6"/>
      <c r="C6416" s="6"/>
      <c r="L6416" s="7"/>
      <c r="M6416" s="5"/>
      <c r="N6416" s="5"/>
      <c r="O6416" s="5"/>
    </row>
    <row r="6417">
      <c r="A6417" s="6"/>
      <c r="C6417" s="6"/>
      <c r="L6417" s="7"/>
      <c r="M6417" s="5"/>
      <c r="N6417" s="5"/>
      <c r="O6417" s="5"/>
    </row>
    <row r="6418">
      <c r="A6418" s="6"/>
      <c r="C6418" s="6"/>
      <c r="L6418" s="7"/>
      <c r="M6418" s="5"/>
      <c r="N6418" s="5"/>
      <c r="O6418" s="5"/>
    </row>
    <row r="6419">
      <c r="A6419" s="6"/>
      <c r="C6419" s="6"/>
      <c r="L6419" s="7"/>
      <c r="M6419" s="5"/>
      <c r="N6419" s="5"/>
      <c r="O6419" s="5"/>
    </row>
    <row r="6420">
      <c r="A6420" s="6"/>
      <c r="C6420" s="6"/>
      <c r="L6420" s="7"/>
      <c r="M6420" s="5"/>
      <c r="N6420" s="5"/>
      <c r="O6420" s="5"/>
    </row>
    <row r="6421">
      <c r="A6421" s="6"/>
      <c r="C6421" s="6"/>
      <c r="L6421" s="7"/>
      <c r="M6421" s="5"/>
      <c r="N6421" s="5"/>
      <c r="O6421" s="5"/>
    </row>
    <row r="6422">
      <c r="A6422" s="6"/>
      <c r="C6422" s="6"/>
      <c r="L6422" s="7"/>
      <c r="M6422" s="5"/>
      <c r="N6422" s="5"/>
      <c r="O6422" s="5"/>
    </row>
    <row r="6423">
      <c r="A6423" s="6"/>
      <c r="C6423" s="6"/>
      <c r="L6423" s="7"/>
      <c r="M6423" s="5"/>
      <c r="N6423" s="5"/>
      <c r="O6423" s="5"/>
    </row>
    <row r="6424">
      <c r="A6424" s="6"/>
      <c r="C6424" s="6"/>
      <c r="L6424" s="7"/>
      <c r="M6424" s="5"/>
      <c r="N6424" s="5"/>
      <c r="O6424" s="5"/>
    </row>
    <row r="6425">
      <c r="A6425" s="6"/>
      <c r="C6425" s="6"/>
      <c r="L6425" s="7"/>
      <c r="M6425" s="5"/>
      <c r="N6425" s="5"/>
      <c r="O6425" s="5"/>
    </row>
    <row r="6426">
      <c r="A6426" s="6"/>
      <c r="C6426" s="6"/>
      <c r="L6426" s="7"/>
      <c r="M6426" s="5"/>
      <c r="N6426" s="5"/>
      <c r="O6426" s="5"/>
    </row>
    <row r="6427">
      <c r="A6427" s="6"/>
      <c r="C6427" s="6"/>
      <c r="L6427" s="7"/>
      <c r="M6427" s="5"/>
      <c r="N6427" s="5"/>
      <c r="O6427" s="5"/>
    </row>
    <row r="6428">
      <c r="A6428" s="6"/>
      <c r="C6428" s="6"/>
      <c r="L6428" s="7"/>
      <c r="M6428" s="5"/>
      <c r="N6428" s="5"/>
      <c r="O6428" s="5"/>
    </row>
    <row r="6429">
      <c r="A6429" s="6"/>
      <c r="C6429" s="6"/>
      <c r="L6429" s="7"/>
      <c r="M6429" s="5"/>
      <c r="N6429" s="5"/>
      <c r="O6429" s="5"/>
    </row>
    <row r="6430">
      <c r="A6430" s="6"/>
      <c r="C6430" s="6"/>
      <c r="L6430" s="7"/>
      <c r="M6430" s="5"/>
      <c r="N6430" s="5"/>
      <c r="O6430" s="5"/>
    </row>
    <row r="6431">
      <c r="A6431" s="6"/>
      <c r="C6431" s="6"/>
      <c r="L6431" s="7"/>
      <c r="M6431" s="5"/>
      <c r="N6431" s="5"/>
      <c r="O6431" s="5"/>
    </row>
    <row r="6432">
      <c r="A6432" s="6"/>
      <c r="C6432" s="6"/>
      <c r="L6432" s="7"/>
      <c r="M6432" s="5"/>
      <c r="N6432" s="5"/>
      <c r="O6432" s="5"/>
    </row>
    <row r="6433">
      <c r="A6433" s="6"/>
      <c r="C6433" s="6"/>
      <c r="L6433" s="7"/>
      <c r="M6433" s="5"/>
      <c r="N6433" s="5"/>
      <c r="O6433" s="5"/>
    </row>
    <row r="6434">
      <c r="A6434" s="6"/>
      <c r="C6434" s="6"/>
      <c r="L6434" s="7"/>
      <c r="M6434" s="5"/>
      <c r="N6434" s="5"/>
      <c r="O6434" s="5"/>
    </row>
    <row r="6435">
      <c r="A6435" s="6"/>
      <c r="C6435" s="6"/>
      <c r="L6435" s="7"/>
      <c r="M6435" s="5"/>
      <c r="N6435" s="5"/>
      <c r="O6435" s="5"/>
    </row>
    <row r="6436">
      <c r="A6436" s="6"/>
      <c r="C6436" s="6"/>
      <c r="L6436" s="7"/>
      <c r="M6436" s="5"/>
      <c r="N6436" s="5"/>
      <c r="O6436" s="5"/>
    </row>
    <row r="6437">
      <c r="A6437" s="6"/>
      <c r="C6437" s="6"/>
      <c r="L6437" s="7"/>
      <c r="M6437" s="5"/>
      <c r="N6437" s="5"/>
      <c r="O6437" s="5"/>
    </row>
    <row r="6438">
      <c r="A6438" s="6"/>
      <c r="C6438" s="6"/>
      <c r="L6438" s="7"/>
      <c r="M6438" s="5"/>
      <c r="N6438" s="5"/>
      <c r="O6438" s="5"/>
    </row>
    <row r="6439">
      <c r="A6439" s="6"/>
      <c r="C6439" s="6"/>
      <c r="L6439" s="7"/>
      <c r="M6439" s="5"/>
      <c r="N6439" s="5"/>
      <c r="O6439" s="5"/>
    </row>
    <row r="6440">
      <c r="A6440" s="6"/>
      <c r="C6440" s="6"/>
      <c r="L6440" s="7"/>
      <c r="M6440" s="5"/>
      <c r="N6440" s="5"/>
      <c r="O6440" s="5"/>
    </row>
    <row r="6441">
      <c r="A6441" s="6"/>
      <c r="C6441" s="6"/>
      <c r="L6441" s="7"/>
      <c r="M6441" s="5"/>
      <c r="N6441" s="5"/>
      <c r="O6441" s="5"/>
    </row>
    <row r="6442">
      <c r="A6442" s="6"/>
      <c r="C6442" s="6"/>
      <c r="L6442" s="7"/>
      <c r="M6442" s="5"/>
      <c r="N6442" s="5"/>
      <c r="O6442" s="5"/>
    </row>
    <row r="6443">
      <c r="A6443" s="6"/>
      <c r="C6443" s="6"/>
      <c r="L6443" s="7"/>
      <c r="M6443" s="5"/>
      <c r="N6443" s="5"/>
      <c r="O6443" s="5"/>
    </row>
    <row r="6444">
      <c r="A6444" s="6"/>
      <c r="C6444" s="6"/>
      <c r="L6444" s="7"/>
      <c r="M6444" s="5"/>
      <c r="N6444" s="5"/>
      <c r="O6444" s="5"/>
    </row>
    <row r="6445">
      <c r="A6445" s="6"/>
      <c r="C6445" s="6"/>
      <c r="L6445" s="7"/>
      <c r="M6445" s="5"/>
      <c r="N6445" s="5"/>
      <c r="O6445" s="5"/>
    </row>
    <row r="6446">
      <c r="A6446" s="6"/>
      <c r="C6446" s="6"/>
      <c r="L6446" s="7"/>
      <c r="M6446" s="5"/>
      <c r="N6446" s="5"/>
      <c r="O6446" s="5"/>
    </row>
    <row r="6447">
      <c r="A6447" s="6"/>
      <c r="C6447" s="6"/>
      <c r="L6447" s="7"/>
      <c r="M6447" s="5"/>
      <c r="N6447" s="5"/>
      <c r="O6447" s="5"/>
    </row>
    <row r="6448">
      <c r="A6448" s="6"/>
      <c r="C6448" s="6"/>
      <c r="L6448" s="7"/>
      <c r="M6448" s="5"/>
      <c r="N6448" s="5"/>
      <c r="O6448" s="5"/>
    </row>
    <row r="6449">
      <c r="A6449" s="6"/>
      <c r="C6449" s="6"/>
      <c r="L6449" s="7"/>
      <c r="M6449" s="5"/>
      <c r="N6449" s="5"/>
      <c r="O6449" s="5"/>
    </row>
    <row r="6450">
      <c r="A6450" s="6"/>
      <c r="C6450" s="6"/>
      <c r="L6450" s="7"/>
      <c r="M6450" s="5"/>
      <c r="N6450" s="5"/>
      <c r="O6450" s="5"/>
    </row>
    <row r="6451">
      <c r="A6451" s="6"/>
      <c r="C6451" s="6"/>
      <c r="L6451" s="7"/>
      <c r="M6451" s="5"/>
      <c r="N6451" s="5"/>
      <c r="O6451" s="5"/>
    </row>
    <row r="6452">
      <c r="A6452" s="6"/>
      <c r="C6452" s="6"/>
      <c r="L6452" s="7"/>
      <c r="M6452" s="5"/>
      <c r="N6452" s="5"/>
      <c r="O6452" s="5"/>
    </row>
    <row r="6453">
      <c r="A6453" s="6"/>
      <c r="C6453" s="6"/>
      <c r="L6453" s="7"/>
      <c r="M6453" s="5"/>
      <c r="N6453" s="5"/>
      <c r="O6453" s="5"/>
    </row>
    <row r="6454">
      <c r="A6454" s="6"/>
      <c r="C6454" s="6"/>
      <c r="L6454" s="7"/>
      <c r="M6454" s="5"/>
      <c r="N6454" s="5"/>
      <c r="O6454" s="5"/>
    </row>
    <row r="6455">
      <c r="A6455" s="6"/>
      <c r="C6455" s="6"/>
      <c r="L6455" s="7"/>
      <c r="M6455" s="5"/>
      <c r="N6455" s="5"/>
      <c r="O6455" s="5"/>
    </row>
    <row r="6456">
      <c r="A6456" s="6"/>
      <c r="C6456" s="6"/>
      <c r="L6456" s="7"/>
      <c r="M6456" s="5"/>
      <c r="N6456" s="5"/>
      <c r="O6456" s="5"/>
    </row>
    <row r="6457">
      <c r="A6457" s="6"/>
      <c r="C6457" s="6"/>
      <c r="L6457" s="7"/>
      <c r="M6457" s="5"/>
      <c r="N6457" s="5"/>
      <c r="O6457" s="5"/>
    </row>
    <row r="6458">
      <c r="A6458" s="6"/>
      <c r="C6458" s="6"/>
      <c r="L6458" s="7"/>
      <c r="M6458" s="5"/>
      <c r="N6458" s="5"/>
      <c r="O6458" s="5"/>
    </row>
    <row r="6459">
      <c r="A6459" s="6"/>
      <c r="C6459" s="6"/>
      <c r="L6459" s="7"/>
      <c r="M6459" s="5"/>
      <c r="N6459" s="5"/>
      <c r="O6459" s="5"/>
    </row>
    <row r="6460">
      <c r="A6460" s="6"/>
      <c r="C6460" s="6"/>
      <c r="L6460" s="7"/>
      <c r="M6460" s="5"/>
      <c r="N6460" s="5"/>
      <c r="O6460" s="5"/>
    </row>
    <row r="6461">
      <c r="A6461" s="6"/>
      <c r="C6461" s="6"/>
      <c r="L6461" s="7"/>
      <c r="M6461" s="5"/>
      <c r="N6461" s="5"/>
      <c r="O6461" s="5"/>
    </row>
    <row r="6462">
      <c r="A6462" s="6"/>
      <c r="C6462" s="6"/>
      <c r="L6462" s="7"/>
      <c r="M6462" s="5"/>
      <c r="N6462" s="5"/>
      <c r="O6462" s="5"/>
    </row>
    <row r="6463">
      <c r="A6463" s="6"/>
      <c r="C6463" s="6"/>
      <c r="L6463" s="7"/>
      <c r="M6463" s="5"/>
      <c r="N6463" s="5"/>
      <c r="O6463" s="5"/>
    </row>
    <row r="6464">
      <c r="A6464" s="6"/>
      <c r="C6464" s="6"/>
      <c r="L6464" s="7"/>
      <c r="M6464" s="5"/>
      <c r="N6464" s="5"/>
      <c r="O6464" s="5"/>
    </row>
    <row r="6465">
      <c r="A6465" s="6"/>
      <c r="C6465" s="6"/>
      <c r="L6465" s="7"/>
      <c r="M6465" s="5"/>
      <c r="N6465" s="5"/>
      <c r="O6465" s="5"/>
    </row>
    <row r="6466">
      <c r="A6466" s="6"/>
      <c r="C6466" s="6"/>
      <c r="L6466" s="7"/>
      <c r="M6466" s="5"/>
      <c r="N6466" s="5"/>
      <c r="O6466" s="5"/>
    </row>
    <row r="6467">
      <c r="A6467" s="6"/>
      <c r="C6467" s="6"/>
      <c r="L6467" s="7"/>
      <c r="M6467" s="5"/>
      <c r="N6467" s="5"/>
      <c r="O6467" s="5"/>
    </row>
    <row r="6468">
      <c r="A6468" s="6"/>
      <c r="C6468" s="6"/>
      <c r="L6468" s="7"/>
      <c r="M6468" s="5"/>
      <c r="N6468" s="5"/>
      <c r="O6468" s="5"/>
    </row>
    <row r="6469">
      <c r="A6469" s="6"/>
      <c r="C6469" s="6"/>
      <c r="L6469" s="7"/>
      <c r="M6469" s="5"/>
      <c r="N6469" s="5"/>
      <c r="O6469" s="5"/>
    </row>
    <row r="6470">
      <c r="A6470" s="6"/>
      <c r="C6470" s="6"/>
      <c r="L6470" s="7"/>
      <c r="M6470" s="5"/>
      <c r="N6470" s="5"/>
      <c r="O6470" s="5"/>
    </row>
    <row r="6471">
      <c r="A6471" s="6"/>
      <c r="C6471" s="6"/>
      <c r="L6471" s="7"/>
      <c r="M6471" s="5"/>
      <c r="N6471" s="5"/>
      <c r="O6471" s="5"/>
    </row>
    <row r="6472">
      <c r="A6472" s="6"/>
      <c r="C6472" s="6"/>
      <c r="L6472" s="7"/>
      <c r="M6472" s="5"/>
      <c r="N6472" s="5"/>
      <c r="O6472" s="5"/>
    </row>
    <row r="6473">
      <c r="A6473" s="6"/>
      <c r="C6473" s="6"/>
      <c r="L6473" s="7"/>
      <c r="M6473" s="5"/>
      <c r="N6473" s="5"/>
      <c r="O6473" s="5"/>
    </row>
    <row r="6474">
      <c r="A6474" s="6"/>
      <c r="C6474" s="6"/>
      <c r="L6474" s="7"/>
      <c r="M6474" s="5"/>
      <c r="N6474" s="5"/>
      <c r="O6474" s="5"/>
    </row>
    <row r="6475">
      <c r="A6475" s="6"/>
      <c r="C6475" s="6"/>
      <c r="L6475" s="7"/>
      <c r="M6475" s="5"/>
      <c r="N6475" s="5"/>
      <c r="O6475" s="5"/>
    </row>
    <row r="6476">
      <c r="A6476" s="6"/>
      <c r="C6476" s="6"/>
      <c r="L6476" s="7"/>
      <c r="M6476" s="5"/>
      <c r="N6476" s="5"/>
      <c r="O6476" s="5"/>
    </row>
    <row r="6477">
      <c r="A6477" s="6"/>
      <c r="C6477" s="6"/>
      <c r="L6477" s="7"/>
      <c r="M6477" s="5"/>
      <c r="N6477" s="5"/>
      <c r="O6477" s="5"/>
    </row>
    <row r="6478">
      <c r="A6478" s="6"/>
      <c r="C6478" s="6"/>
      <c r="L6478" s="7"/>
      <c r="M6478" s="5"/>
      <c r="N6478" s="5"/>
      <c r="O6478" s="5"/>
    </row>
    <row r="6479">
      <c r="A6479" s="6"/>
      <c r="C6479" s="6"/>
      <c r="L6479" s="7"/>
      <c r="M6479" s="5"/>
      <c r="N6479" s="5"/>
      <c r="O6479" s="5"/>
    </row>
    <row r="6480">
      <c r="A6480" s="6"/>
      <c r="C6480" s="6"/>
      <c r="L6480" s="7"/>
      <c r="M6480" s="5"/>
      <c r="N6480" s="5"/>
      <c r="O6480" s="5"/>
    </row>
    <row r="6481">
      <c r="A6481" s="6"/>
      <c r="C6481" s="6"/>
      <c r="L6481" s="7"/>
      <c r="M6481" s="5"/>
      <c r="N6481" s="5"/>
      <c r="O6481" s="5"/>
    </row>
    <row r="6482">
      <c r="A6482" s="6"/>
      <c r="C6482" s="6"/>
      <c r="L6482" s="7"/>
      <c r="M6482" s="5"/>
      <c r="N6482" s="5"/>
      <c r="O6482" s="5"/>
    </row>
    <row r="6483">
      <c r="A6483" s="6"/>
      <c r="C6483" s="6"/>
      <c r="L6483" s="7"/>
      <c r="M6483" s="5"/>
      <c r="N6483" s="5"/>
      <c r="O6483" s="5"/>
    </row>
    <row r="6484">
      <c r="A6484" s="6"/>
      <c r="C6484" s="6"/>
      <c r="L6484" s="7"/>
      <c r="M6484" s="5"/>
      <c r="N6484" s="5"/>
      <c r="O6484" s="5"/>
    </row>
    <row r="6485">
      <c r="A6485" s="6"/>
      <c r="C6485" s="6"/>
      <c r="L6485" s="7"/>
      <c r="M6485" s="5"/>
      <c r="N6485" s="5"/>
      <c r="O6485" s="5"/>
    </row>
    <row r="6486">
      <c r="A6486" s="6"/>
      <c r="C6486" s="6"/>
      <c r="L6486" s="7"/>
      <c r="M6486" s="5"/>
      <c r="N6486" s="5"/>
      <c r="O6486" s="5"/>
    </row>
    <row r="6487">
      <c r="A6487" s="6"/>
      <c r="C6487" s="6"/>
      <c r="L6487" s="7"/>
      <c r="M6487" s="5"/>
      <c r="N6487" s="5"/>
      <c r="O6487" s="5"/>
    </row>
    <row r="6488">
      <c r="A6488" s="6"/>
      <c r="C6488" s="6"/>
      <c r="L6488" s="7"/>
      <c r="M6488" s="5"/>
      <c r="N6488" s="5"/>
      <c r="O6488" s="5"/>
    </row>
    <row r="6489">
      <c r="A6489" s="6"/>
      <c r="C6489" s="6"/>
      <c r="L6489" s="7"/>
      <c r="M6489" s="5"/>
      <c r="N6489" s="5"/>
      <c r="O6489" s="5"/>
    </row>
    <row r="6490">
      <c r="A6490" s="6"/>
      <c r="C6490" s="6"/>
      <c r="L6490" s="7"/>
      <c r="M6490" s="5"/>
      <c r="N6490" s="5"/>
      <c r="O6490" s="5"/>
    </row>
    <row r="6491">
      <c r="A6491" s="6"/>
      <c r="C6491" s="6"/>
      <c r="L6491" s="7"/>
      <c r="M6491" s="5"/>
      <c r="N6491" s="5"/>
      <c r="O6491" s="5"/>
    </row>
    <row r="6492">
      <c r="A6492" s="6"/>
      <c r="C6492" s="6"/>
      <c r="L6492" s="7"/>
      <c r="M6492" s="5"/>
      <c r="N6492" s="5"/>
      <c r="O6492" s="5"/>
    </row>
    <row r="6493">
      <c r="A6493" s="6"/>
      <c r="C6493" s="6"/>
      <c r="L6493" s="7"/>
      <c r="M6493" s="5"/>
      <c r="N6493" s="5"/>
      <c r="O6493" s="5"/>
    </row>
    <row r="6494">
      <c r="A6494" s="6"/>
      <c r="C6494" s="6"/>
      <c r="L6494" s="7"/>
      <c r="M6494" s="5"/>
      <c r="N6494" s="5"/>
      <c r="O6494" s="5"/>
    </row>
    <row r="6495">
      <c r="A6495" s="6"/>
      <c r="C6495" s="6"/>
      <c r="L6495" s="7"/>
      <c r="M6495" s="5"/>
      <c r="N6495" s="5"/>
      <c r="O6495" s="5"/>
    </row>
    <row r="6496">
      <c r="A6496" s="6"/>
      <c r="C6496" s="6"/>
      <c r="L6496" s="7"/>
      <c r="M6496" s="5"/>
      <c r="N6496" s="5"/>
      <c r="O6496" s="5"/>
    </row>
    <row r="6497">
      <c r="A6497" s="6"/>
      <c r="C6497" s="6"/>
      <c r="L6497" s="7"/>
      <c r="M6497" s="5"/>
      <c r="N6497" s="5"/>
      <c r="O6497" s="5"/>
    </row>
    <row r="6498">
      <c r="A6498" s="6"/>
      <c r="C6498" s="6"/>
      <c r="L6498" s="7"/>
      <c r="M6498" s="5"/>
      <c r="N6498" s="5"/>
      <c r="O6498" s="5"/>
    </row>
    <row r="6499">
      <c r="A6499" s="6"/>
      <c r="C6499" s="6"/>
      <c r="L6499" s="7"/>
      <c r="M6499" s="5"/>
      <c r="N6499" s="5"/>
      <c r="O6499" s="5"/>
    </row>
    <row r="6500">
      <c r="A6500" s="6"/>
      <c r="C6500" s="6"/>
      <c r="L6500" s="7"/>
      <c r="M6500" s="5"/>
      <c r="N6500" s="5"/>
      <c r="O6500" s="5"/>
    </row>
    <row r="6501">
      <c r="A6501" s="6"/>
      <c r="C6501" s="6"/>
      <c r="L6501" s="7"/>
      <c r="M6501" s="5"/>
      <c r="N6501" s="5"/>
      <c r="O6501" s="5"/>
    </row>
    <row r="6502">
      <c r="A6502" s="6"/>
      <c r="C6502" s="6"/>
      <c r="L6502" s="7"/>
      <c r="M6502" s="5"/>
      <c r="N6502" s="5"/>
      <c r="O6502" s="5"/>
    </row>
    <row r="6503">
      <c r="A6503" s="6"/>
      <c r="C6503" s="6"/>
      <c r="L6503" s="7"/>
      <c r="M6503" s="5"/>
      <c r="N6503" s="5"/>
      <c r="O6503" s="5"/>
    </row>
    <row r="6504">
      <c r="A6504" s="6"/>
      <c r="C6504" s="6"/>
      <c r="L6504" s="7"/>
      <c r="M6504" s="5"/>
      <c r="N6504" s="5"/>
      <c r="O6504" s="5"/>
    </row>
    <row r="6505">
      <c r="A6505" s="6"/>
      <c r="C6505" s="6"/>
      <c r="L6505" s="7"/>
      <c r="M6505" s="5"/>
      <c r="N6505" s="5"/>
      <c r="O6505" s="5"/>
    </row>
    <row r="6506">
      <c r="A6506" s="6"/>
      <c r="C6506" s="6"/>
      <c r="L6506" s="7"/>
      <c r="M6506" s="5"/>
      <c r="N6506" s="5"/>
      <c r="O6506" s="5"/>
    </row>
    <row r="6507">
      <c r="A6507" s="6"/>
      <c r="C6507" s="6"/>
      <c r="L6507" s="7"/>
      <c r="M6507" s="5"/>
      <c r="N6507" s="5"/>
      <c r="O6507" s="5"/>
    </row>
    <row r="6508">
      <c r="A6508" s="6"/>
      <c r="C6508" s="6"/>
      <c r="L6508" s="7"/>
      <c r="M6508" s="5"/>
      <c r="N6508" s="5"/>
      <c r="O6508" s="5"/>
    </row>
    <row r="6509">
      <c r="A6509" s="6"/>
      <c r="C6509" s="6"/>
      <c r="L6509" s="7"/>
      <c r="M6509" s="5"/>
      <c r="N6509" s="5"/>
      <c r="O6509" s="5"/>
    </row>
    <row r="6510">
      <c r="A6510" s="6"/>
      <c r="C6510" s="6"/>
      <c r="L6510" s="7"/>
      <c r="M6510" s="5"/>
      <c r="N6510" s="5"/>
      <c r="O6510" s="5"/>
    </row>
    <row r="6511">
      <c r="A6511" s="6"/>
      <c r="C6511" s="6"/>
      <c r="L6511" s="7"/>
      <c r="M6511" s="5"/>
      <c r="N6511" s="5"/>
      <c r="O6511" s="5"/>
    </row>
    <row r="6512">
      <c r="A6512" s="6"/>
      <c r="C6512" s="6"/>
      <c r="L6512" s="7"/>
      <c r="M6512" s="5"/>
      <c r="N6512" s="5"/>
      <c r="O6512" s="5"/>
    </row>
    <row r="6513">
      <c r="A6513" s="6"/>
      <c r="C6513" s="6"/>
      <c r="L6513" s="7"/>
      <c r="M6513" s="5"/>
      <c r="N6513" s="5"/>
      <c r="O6513" s="5"/>
    </row>
    <row r="6514">
      <c r="A6514" s="6"/>
      <c r="C6514" s="6"/>
      <c r="L6514" s="7"/>
      <c r="M6514" s="5"/>
      <c r="N6514" s="5"/>
      <c r="O6514" s="5"/>
    </row>
    <row r="6515">
      <c r="A6515" s="6"/>
      <c r="C6515" s="6"/>
      <c r="L6515" s="7"/>
      <c r="M6515" s="5"/>
      <c r="N6515" s="5"/>
      <c r="O6515" s="5"/>
    </row>
    <row r="6516">
      <c r="A6516" s="6"/>
      <c r="C6516" s="6"/>
      <c r="L6516" s="7"/>
      <c r="M6516" s="5"/>
      <c r="N6516" s="5"/>
      <c r="O6516" s="5"/>
    </row>
    <row r="6517">
      <c r="A6517" s="6"/>
      <c r="C6517" s="6"/>
      <c r="L6517" s="7"/>
      <c r="M6517" s="5"/>
      <c r="N6517" s="5"/>
      <c r="O6517" s="5"/>
    </row>
    <row r="6518">
      <c r="A6518" s="6"/>
      <c r="C6518" s="6"/>
      <c r="L6518" s="7"/>
      <c r="M6518" s="5"/>
      <c r="N6518" s="5"/>
      <c r="O6518" s="5"/>
    </row>
    <row r="6519">
      <c r="A6519" s="6"/>
      <c r="C6519" s="6"/>
      <c r="L6519" s="7"/>
      <c r="M6519" s="5"/>
      <c r="N6519" s="5"/>
      <c r="O6519" s="5"/>
    </row>
    <row r="6520">
      <c r="A6520" s="6"/>
      <c r="C6520" s="6"/>
      <c r="L6520" s="7"/>
      <c r="M6520" s="5"/>
      <c r="N6520" s="5"/>
      <c r="O6520" s="5"/>
    </row>
    <row r="6521">
      <c r="A6521" s="6"/>
      <c r="C6521" s="6"/>
      <c r="L6521" s="7"/>
      <c r="M6521" s="5"/>
      <c r="N6521" s="5"/>
      <c r="O6521" s="5"/>
    </row>
    <row r="6522">
      <c r="A6522" s="6"/>
      <c r="C6522" s="6"/>
      <c r="L6522" s="7"/>
      <c r="M6522" s="5"/>
      <c r="N6522" s="5"/>
      <c r="O6522" s="5"/>
    </row>
    <row r="6523">
      <c r="A6523" s="6"/>
      <c r="C6523" s="6"/>
      <c r="L6523" s="7"/>
      <c r="M6523" s="5"/>
      <c r="N6523" s="5"/>
      <c r="O6523" s="5"/>
    </row>
    <row r="6524">
      <c r="A6524" s="6"/>
      <c r="C6524" s="6"/>
      <c r="L6524" s="7"/>
      <c r="M6524" s="5"/>
      <c r="N6524" s="5"/>
      <c r="O6524" s="5"/>
    </row>
    <row r="6525">
      <c r="A6525" s="6"/>
      <c r="C6525" s="6"/>
      <c r="L6525" s="7"/>
      <c r="M6525" s="5"/>
      <c r="N6525" s="5"/>
      <c r="O6525" s="5"/>
    </row>
    <row r="6526">
      <c r="A6526" s="6"/>
      <c r="C6526" s="6"/>
      <c r="L6526" s="7"/>
      <c r="M6526" s="5"/>
      <c r="N6526" s="5"/>
      <c r="O6526" s="5"/>
    </row>
    <row r="6527">
      <c r="A6527" s="6"/>
      <c r="C6527" s="6"/>
      <c r="L6527" s="7"/>
      <c r="M6527" s="5"/>
      <c r="N6527" s="5"/>
      <c r="O6527" s="5"/>
    </row>
    <row r="6528">
      <c r="A6528" s="6"/>
      <c r="C6528" s="6"/>
      <c r="L6528" s="7"/>
      <c r="M6528" s="5"/>
      <c r="N6528" s="5"/>
      <c r="O6528" s="5"/>
    </row>
    <row r="6529">
      <c r="A6529" s="6"/>
      <c r="C6529" s="6"/>
      <c r="L6529" s="7"/>
      <c r="M6529" s="5"/>
      <c r="N6529" s="5"/>
      <c r="O6529" s="5"/>
    </row>
    <row r="6530">
      <c r="A6530" s="6"/>
      <c r="C6530" s="6"/>
      <c r="L6530" s="7"/>
      <c r="M6530" s="5"/>
      <c r="N6530" s="5"/>
      <c r="O6530" s="5"/>
    </row>
    <row r="6531">
      <c r="A6531" s="6"/>
      <c r="C6531" s="6"/>
      <c r="L6531" s="7"/>
      <c r="M6531" s="5"/>
      <c r="N6531" s="5"/>
      <c r="O6531" s="5"/>
    </row>
    <row r="6532">
      <c r="A6532" s="6"/>
      <c r="C6532" s="6"/>
      <c r="L6532" s="7"/>
      <c r="M6532" s="5"/>
      <c r="N6532" s="5"/>
      <c r="O6532" s="5"/>
    </row>
    <row r="6533">
      <c r="A6533" s="6"/>
      <c r="C6533" s="6"/>
      <c r="L6533" s="7"/>
      <c r="M6533" s="5"/>
      <c r="N6533" s="5"/>
      <c r="O6533" s="5"/>
    </row>
    <row r="6534">
      <c r="A6534" s="6"/>
      <c r="C6534" s="6"/>
      <c r="L6534" s="7"/>
      <c r="M6534" s="5"/>
      <c r="N6534" s="5"/>
      <c r="O6534" s="5"/>
    </row>
    <row r="6535">
      <c r="A6535" s="6"/>
      <c r="C6535" s="6"/>
      <c r="L6535" s="7"/>
      <c r="M6535" s="5"/>
      <c r="N6535" s="5"/>
      <c r="O6535" s="5"/>
    </row>
    <row r="6536">
      <c r="A6536" s="6"/>
      <c r="C6536" s="6"/>
      <c r="L6536" s="7"/>
      <c r="M6536" s="5"/>
      <c r="N6536" s="5"/>
      <c r="O6536" s="5"/>
    </row>
    <row r="6537">
      <c r="A6537" s="6"/>
      <c r="C6537" s="6"/>
      <c r="L6537" s="7"/>
      <c r="M6537" s="5"/>
      <c r="N6537" s="5"/>
      <c r="O6537" s="5"/>
    </row>
    <row r="6538">
      <c r="A6538" s="6"/>
      <c r="C6538" s="6"/>
      <c r="L6538" s="7"/>
      <c r="M6538" s="5"/>
      <c r="N6538" s="5"/>
      <c r="O6538" s="5"/>
    </row>
    <row r="6539">
      <c r="A6539" s="6"/>
      <c r="C6539" s="6"/>
      <c r="L6539" s="7"/>
      <c r="M6539" s="5"/>
      <c r="N6539" s="5"/>
      <c r="O6539" s="5"/>
    </row>
    <row r="6540">
      <c r="A6540" s="6"/>
      <c r="C6540" s="6"/>
      <c r="L6540" s="7"/>
      <c r="M6540" s="5"/>
      <c r="N6540" s="5"/>
      <c r="O6540" s="5"/>
    </row>
    <row r="6541">
      <c r="A6541" s="6"/>
      <c r="C6541" s="6"/>
      <c r="L6541" s="7"/>
      <c r="M6541" s="5"/>
      <c r="N6541" s="5"/>
      <c r="O6541" s="5"/>
    </row>
    <row r="6542">
      <c r="A6542" s="6"/>
      <c r="C6542" s="6"/>
      <c r="L6542" s="7"/>
      <c r="M6542" s="5"/>
      <c r="N6542" s="5"/>
      <c r="O6542" s="5"/>
    </row>
    <row r="6543">
      <c r="A6543" s="6"/>
      <c r="C6543" s="6"/>
      <c r="L6543" s="7"/>
      <c r="M6543" s="5"/>
      <c r="N6543" s="5"/>
      <c r="O6543" s="5"/>
    </row>
    <row r="6544">
      <c r="A6544" s="6"/>
      <c r="C6544" s="6"/>
      <c r="L6544" s="7"/>
      <c r="M6544" s="5"/>
      <c r="N6544" s="5"/>
      <c r="O6544" s="5"/>
    </row>
    <row r="6545">
      <c r="A6545" s="6"/>
      <c r="C6545" s="6"/>
      <c r="L6545" s="7"/>
      <c r="M6545" s="5"/>
      <c r="N6545" s="5"/>
      <c r="O6545" s="5"/>
    </row>
    <row r="6546">
      <c r="A6546" s="6"/>
      <c r="C6546" s="6"/>
      <c r="L6546" s="7"/>
      <c r="M6546" s="5"/>
      <c r="N6546" s="5"/>
      <c r="O6546" s="5"/>
    </row>
    <row r="6547">
      <c r="A6547" s="6"/>
      <c r="C6547" s="6"/>
      <c r="L6547" s="7"/>
      <c r="M6547" s="5"/>
      <c r="N6547" s="5"/>
      <c r="O6547" s="5"/>
    </row>
    <row r="6548">
      <c r="A6548" s="6"/>
      <c r="C6548" s="6"/>
      <c r="L6548" s="7"/>
      <c r="M6548" s="5"/>
      <c r="N6548" s="5"/>
      <c r="O6548" s="5"/>
    </row>
    <row r="6549">
      <c r="A6549" s="6"/>
      <c r="C6549" s="6"/>
      <c r="L6549" s="7"/>
      <c r="M6549" s="5"/>
      <c r="N6549" s="5"/>
      <c r="O6549" s="5"/>
    </row>
    <row r="6550">
      <c r="A6550" s="6"/>
      <c r="C6550" s="6"/>
      <c r="L6550" s="7"/>
      <c r="M6550" s="5"/>
      <c r="N6550" s="5"/>
      <c r="O6550" s="5"/>
    </row>
    <row r="6551">
      <c r="A6551" s="6"/>
      <c r="C6551" s="6"/>
      <c r="L6551" s="7"/>
      <c r="M6551" s="5"/>
      <c r="N6551" s="5"/>
      <c r="O6551" s="5"/>
    </row>
    <row r="6552">
      <c r="A6552" s="6"/>
      <c r="C6552" s="6"/>
      <c r="L6552" s="7"/>
      <c r="M6552" s="5"/>
      <c r="N6552" s="5"/>
      <c r="O6552" s="5"/>
    </row>
    <row r="6553">
      <c r="A6553" s="6"/>
      <c r="C6553" s="6"/>
      <c r="L6553" s="7"/>
      <c r="M6553" s="5"/>
      <c r="N6553" s="5"/>
      <c r="O6553" s="5"/>
    </row>
    <row r="6554">
      <c r="A6554" s="6"/>
      <c r="C6554" s="6"/>
      <c r="L6554" s="7"/>
      <c r="M6554" s="5"/>
      <c r="N6554" s="5"/>
      <c r="O6554" s="5"/>
    </row>
    <row r="6555">
      <c r="A6555" s="6"/>
      <c r="C6555" s="6"/>
      <c r="L6555" s="7"/>
      <c r="M6555" s="5"/>
      <c r="N6555" s="5"/>
      <c r="O6555" s="5"/>
    </row>
    <row r="6556">
      <c r="A6556" s="6"/>
      <c r="C6556" s="6"/>
      <c r="L6556" s="7"/>
      <c r="M6556" s="5"/>
      <c r="N6556" s="5"/>
      <c r="O6556" s="5"/>
    </row>
    <row r="6557">
      <c r="A6557" s="6"/>
      <c r="C6557" s="6"/>
      <c r="L6557" s="7"/>
      <c r="M6557" s="5"/>
      <c r="N6557" s="5"/>
      <c r="O6557" s="5"/>
    </row>
    <row r="6558">
      <c r="A6558" s="6"/>
      <c r="C6558" s="6"/>
      <c r="L6558" s="7"/>
      <c r="M6558" s="5"/>
      <c r="N6558" s="5"/>
      <c r="O6558" s="5"/>
    </row>
    <row r="6559">
      <c r="A6559" s="6"/>
      <c r="C6559" s="6"/>
      <c r="L6559" s="7"/>
      <c r="M6559" s="5"/>
      <c r="N6559" s="5"/>
      <c r="O6559" s="5"/>
    </row>
    <row r="6560">
      <c r="A6560" s="6"/>
      <c r="C6560" s="6"/>
      <c r="L6560" s="7"/>
      <c r="M6560" s="5"/>
      <c r="N6560" s="5"/>
      <c r="O6560" s="5"/>
    </row>
    <row r="6561">
      <c r="A6561" s="6"/>
      <c r="C6561" s="6"/>
      <c r="L6561" s="7"/>
      <c r="M6561" s="5"/>
      <c r="N6561" s="5"/>
      <c r="O6561" s="5"/>
    </row>
    <row r="6562">
      <c r="A6562" s="6"/>
      <c r="C6562" s="6"/>
      <c r="L6562" s="7"/>
      <c r="M6562" s="5"/>
      <c r="N6562" s="5"/>
      <c r="O6562" s="5"/>
    </row>
    <row r="6563">
      <c r="A6563" s="6"/>
      <c r="C6563" s="6"/>
      <c r="L6563" s="7"/>
      <c r="M6563" s="5"/>
      <c r="N6563" s="5"/>
      <c r="O6563" s="5"/>
    </row>
    <row r="6564">
      <c r="A6564" s="6"/>
      <c r="C6564" s="6"/>
      <c r="L6564" s="7"/>
      <c r="M6564" s="5"/>
      <c r="N6564" s="5"/>
      <c r="O6564" s="5"/>
    </row>
    <row r="6565">
      <c r="A6565" s="6"/>
      <c r="C6565" s="6"/>
      <c r="L6565" s="7"/>
      <c r="M6565" s="5"/>
      <c r="N6565" s="5"/>
      <c r="O6565" s="5"/>
    </row>
    <row r="6566">
      <c r="A6566" s="6"/>
      <c r="C6566" s="6"/>
      <c r="L6566" s="7"/>
      <c r="M6566" s="5"/>
      <c r="N6566" s="5"/>
      <c r="O6566" s="5"/>
    </row>
    <row r="6567">
      <c r="A6567" s="6"/>
      <c r="C6567" s="6"/>
      <c r="L6567" s="7"/>
      <c r="M6567" s="5"/>
      <c r="N6567" s="5"/>
      <c r="O6567" s="5"/>
    </row>
    <row r="6568">
      <c r="A6568" s="6"/>
      <c r="C6568" s="6"/>
      <c r="L6568" s="7"/>
      <c r="M6568" s="5"/>
      <c r="N6568" s="5"/>
      <c r="O6568" s="5"/>
    </row>
    <row r="6569">
      <c r="A6569" s="6"/>
      <c r="C6569" s="6"/>
      <c r="L6569" s="7"/>
      <c r="M6569" s="5"/>
      <c r="N6569" s="5"/>
      <c r="O6569" s="5"/>
    </row>
    <row r="6570">
      <c r="A6570" s="6"/>
      <c r="C6570" s="6"/>
      <c r="L6570" s="7"/>
      <c r="M6570" s="5"/>
      <c r="N6570" s="5"/>
      <c r="O6570" s="5"/>
    </row>
    <row r="6571">
      <c r="A6571" s="6"/>
      <c r="C6571" s="6"/>
      <c r="L6571" s="7"/>
      <c r="M6571" s="5"/>
      <c r="N6571" s="5"/>
      <c r="O6571" s="5"/>
    </row>
    <row r="6572">
      <c r="A6572" s="6"/>
      <c r="C6572" s="6"/>
      <c r="L6572" s="7"/>
      <c r="M6572" s="5"/>
      <c r="N6572" s="5"/>
      <c r="O6572" s="5"/>
    </row>
    <row r="6573">
      <c r="A6573" s="6"/>
      <c r="C6573" s="6"/>
      <c r="L6573" s="7"/>
      <c r="M6573" s="5"/>
      <c r="N6573" s="5"/>
      <c r="O6573" s="5"/>
    </row>
    <row r="6574">
      <c r="A6574" s="6"/>
      <c r="C6574" s="6"/>
      <c r="L6574" s="7"/>
      <c r="M6574" s="5"/>
      <c r="N6574" s="5"/>
      <c r="O6574" s="5"/>
    </row>
    <row r="6575">
      <c r="A6575" s="6"/>
      <c r="C6575" s="6"/>
      <c r="L6575" s="7"/>
      <c r="M6575" s="5"/>
      <c r="N6575" s="5"/>
      <c r="O6575" s="5"/>
    </row>
    <row r="6576">
      <c r="A6576" s="6"/>
      <c r="C6576" s="6"/>
      <c r="L6576" s="7"/>
      <c r="M6576" s="5"/>
      <c r="N6576" s="5"/>
      <c r="O6576" s="5"/>
    </row>
    <row r="6577">
      <c r="A6577" s="6"/>
      <c r="C6577" s="6"/>
      <c r="L6577" s="7"/>
      <c r="M6577" s="5"/>
      <c r="N6577" s="5"/>
      <c r="O6577" s="5"/>
    </row>
    <row r="6578">
      <c r="A6578" s="6"/>
      <c r="C6578" s="6"/>
      <c r="L6578" s="7"/>
      <c r="M6578" s="5"/>
      <c r="N6578" s="5"/>
      <c r="O6578" s="5"/>
    </row>
    <row r="6579">
      <c r="A6579" s="6"/>
      <c r="C6579" s="6"/>
      <c r="L6579" s="7"/>
      <c r="M6579" s="5"/>
      <c r="N6579" s="5"/>
      <c r="O6579" s="5"/>
    </row>
    <row r="6580">
      <c r="A6580" s="6"/>
      <c r="C6580" s="6"/>
      <c r="L6580" s="7"/>
      <c r="M6580" s="5"/>
      <c r="N6580" s="5"/>
      <c r="O6580" s="5"/>
    </row>
    <row r="6581">
      <c r="A6581" s="6"/>
      <c r="C6581" s="6"/>
      <c r="L6581" s="7"/>
      <c r="M6581" s="5"/>
      <c r="N6581" s="5"/>
      <c r="O6581" s="5"/>
    </row>
    <row r="6582">
      <c r="A6582" s="6"/>
      <c r="C6582" s="6"/>
      <c r="L6582" s="7"/>
      <c r="M6582" s="5"/>
      <c r="N6582" s="5"/>
      <c r="O6582" s="5"/>
    </row>
    <row r="6583">
      <c r="A6583" s="6"/>
      <c r="C6583" s="6"/>
      <c r="L6583" s="7"/>
      <c r="M6583" s="5"/>
      <c r="N6583" s="5"/>
      <c r="O6583" s="5"/>
    </row>
    <row r="6584">
      <c r="A6584" s="6"/>
      <c r="C6584" s="6"/>
      <c r="L6584" s="7"/>
      <c r="M6584" s="5"/>
      <c r="N6584" s="5"/>
      <c r="O6584" s="5"/>
    </row>
    <row r="6585">
      <c r="A6585" s="6"/>
      <c r="C6585" s="6"/>
      <c r="L6585" s="7"/>
      <c r="M6585" s="5"/>
      <c r="N6585" s="5"/>
      <c r="O6585" s="5"/>
    </row>
    <row r="6586">
      <c r="A6586" s="6"/>
      <c r="C6586" s="6"/>
      <c r="L6586" s="7"/>
      <c r="M6586" s="5"/>
      <c r="N6586" s="5"/>
      <c r="O6586" s="5"/>
    </row>
    <row r="6587">
      <c r="A6587" s="6"/>
      <c r="C6587" s="6"/>
      <c r="L6587" s="7"/>
      <c r="M6587" s="5"/>
      <c r="N6587" s="5"/>
      <c r="O6587" s="5"/>
    </row>
    <row r="6588">
      <c r="A6588" s="6"/>
      <c r="C6588" s="6"/>
      <c r="L6588" s="7"/>
      <c r="M6588" s="5"/>
      <c r="N6588" s="5"/>
      <c r="O6588" s="5"/>
    </row>
    <row r="6589">
      <c r="A6589" s="6"/>
      <c r="C6589" s="6"/>
      <c r="L6589" s="7"/>
      <c r="M6589" s="5"/>
      <c r="N6589" s="5"/>
      <c r="O6589" s="5"/>
    </row>
    <row r="6590">
      <c r="A6590" s="6"/>
      <c r="C6590" s="6"/>
      <c r="L6590" s="7"/>
      <c r="M6590" s="5"/>
      <c r="N6590" s="5"/>
      <c r="O6590" s="5"/>
    </row>
    <row r="6591">
      <c r="A6591" s="6"/>
      <c r="C6591" s="6"/>
      <c r="L6591" s="7"/>
      <c r="M6591" s="5"/>
      <c r="N6591" s="5"/>
      <c r="O6591" s="5"/>
    </row>
    <row r="6592">
      <c r="A6592" s="6"/>
      <c r="C6592" s="6"/>
      <c r="L6592" s="7"/>
      <c r="M6592" s="5"/>
      <c r="N6592" s="5"/>
      <c r="O6592" s="5"/>
    </row>
    <row r="6593">
      <c r="A6593" s="6"/>
      <c r="C6593" s="6"/>
      <c r="L6593" s="7"/>
      <c r="M6593" s="5"/>
      <c r="N6593" s="5"/>
      <c r="O6593" s="5"/>
    </row>
    <row r="6594">
      <c r="A6594" s="6"/>
      <c r="C6594" s="6"/>
      <c r="L6594" s="7"/>
      <c r="M6594" s="5"/>
      <c r="N6594" s="5"/>
      <c r="O6594" s="5"/>
    </row>
    <row r="6595">
      <c r="A6595" s="6"/>
      <c r="C6595" s="6"/>
      <c r="L6595" s="7"/>
      <c r="M6595" s="5"/>
      <c r="N6595" s="5"/>
      <c r="O6595" s="5"/>
    </row>
    <row r="6596">
      <c r="A6596" s="6"/>
      <c r="C6596" s="6"/>
      <c r="L6596" s="7"/>
      <c r="M6596" s="5"/>
      <c r="N6596" s="5"/>
      <c r="O6596" s="5"/>
    </row>
    <row r="6597">
      <c r="A6597" s="6"/>
      <c r="C6597" s="6"/>
      <c r="L6597" s="7"/>
      <c r="M6597" s="5"/>
      <c r="N6597" s="5"/>
      <c r="O6597" s="5"/>
    </row>
    <row r="6598">
      <c r="A6598" s="6"/>
      <c r="C6598" s="6"/>
      <c r="L6598" s="7"/>
      <c r="M6598" s="5"/>
      <c r="N6598" s="5"/>
      <c r="O6598" s="5"/>
    </row>
    <row r="6599">
      <c r="A6599" s="6"/>
      <c r="C6599" s="6"/>
      <c r="L6599" s="7"/>
      <c r="M6599" s="5"/>
      <c r="N6599" s="5"/>
      <c r="O6599" s="5"/>
    </row>
    <row r="6600">
      <c r="A6600" s="6"/>
      <c r="C6600" s="6"/>
      <c r="L6600" s="7"/>
      <c r="M6600" s="5"/>
      <c r="N6600" s="5"/>
      <c r="O6600" s="5"/>
    </row>
    <row r="6601">
      <c r="A6601" s="6"/>
      <c r="C6601" s="6"/>
      <c r="L6601" s="7"/>
      <c r="M6601" s="5"/>
      <c r="N6601" s="5"/>
      <c r="O6601" s="5"/>
    </row>
    <row r="6602">
      <c r="A6602" s="6"/>
      <c r="C6602" s="6"/>
      <c r="L6602" s="7"/>
      <c r="M6602" s="5"/>
      <c r="N6602" s="5"/>
      <c r="O6602" s="5"/>
    </row>
    <row r="6603">
      <c r="A6603" s="6"/>
      <c r="C6603" s="6"/>
      <c r="L6603" s="7"/>
      <c r="M6603" s="5"/>
      <c r="N6603" s="5"/>
      <c r="O6603" s="5"/>
    </row>
    <row r="6604">
      <c r="A6604" s="6"/>
      <c r="C6604" s="6"/>
      <c r="L6604" s="7"/>
      <c r="M6604" s="5"/>
      <c r="N6604" s="5"/>
      <c r="O6604" s="5"/>
    </row>
    <row r="6605">
      <c r="A6605" s="6"/>
      <c r="C6605" s="6"/>
      <c r="L6605" s="7"/>
      <c r="M6605" s="5"/>
      <c r="N6605" s="5"/>
      <c r="O6605" s="5"/>
    </row>
    <row r="6606">
      <c r="A6606" s="6"/>
      <c r="C6606" s="6"/>
      <c r="L6606" s="7"/>
      <c r="M6606" s="5"/>
      <c r="N6606" s="5"/>
      <c r="O6606" s="5"/>
    </row>
    <row r="6607">
      <c r="A6607" s="6"/>
      <c r="C6607" s="6"/>
      <c r="L6607" s="7"/>
      <c r="M6607" s="5"/>
      <c r="N6607" s="5"/>
      <c r="O6607" s="5"/>
    </row>
    <row r="6608">
      <c r="A6608" s="6"/>
      <c r="C6608" s="6"/>
      <c r="L6608" s="7"/>
      <c r="M6608" s="5"/>
      <c r="N6608" s="5"/>
      <c r="O6608" s="5"/>
    </row>
    <row r="6609">
      <c r="A6609" s="6"/>
      <c r="C6609" s="6"/>
      <c r="L6609" s="7"/>
      <c r="M6609" s="5"/>
      <c r="N6609" s="5"/>
      <c r="O6609" s="5"/>
    </row>
    <row r="6610">
      <c r="A6610" s="6"/>
      <c r="C6610" s="6"/>
      <c r="L6610" s="7"/>
      <c r="M6610" s="5"/>
      <c r="N6610" s="5"/>
      <c r="O6610" s="5"/>
    </row>
    <row r="6611">
      <c r="A6611" s="6"/>
      <c r="C6611" s="6"/>
      <c r="L6611" s="7"/>
      <c r="M6611" s="5"/>
      <c r="N6611" s="5"/>
      <c r="O6611" s="5"/>
    </row>
    <row r="6612">
      <c r="A6612" s="6"/>
      <c r="C6612" s="6"/>
      <c r="L6612" s="7"/>
      <c r="M6612" s="5"/>
      <c r="N6612" s="5"/>
      <c r="O6612" s="5"/>
    </row>
    <row r="6613">
      <c r="A6613" s="6"/>
      <c r="C6613" s="6"/>
      <c r="L6613" s="7"/>
      <c r="M6613" s="5"/>
      <c r="N6613" s="5"/>
      <c r="O6613" s="5"/>
    </row>
    <row r="6614">
      <c r="A6614" s="6"/>
      <c r="C6614" s="6"/>
      <c r="L6614" s="7"/>
      <c r="M6614" s="5"/>
      <c r="N6614" s="5"/>
      <c r="O6614" s="5"/>
    </row>
    <row r="6615">
      <c r="A6615" s="6"/>
      <c r="C6615" s="6"/>
      <c r="L6615" s="7"/>
      <c r="M6615" s="5"/>
      <c r="N6615" s="5"/>
      <c r="O6615" s="5"/>
    </row>
    <row r="6616">
      <c r="A6616" s="6"/>
      <c r="C6616" s="6"/>
      <c r="L6616" s="7"/>
      <c r="M6616" s="5"/>
      <c r="N6616" s="5"/>
      <c r="O6616" s="5"/>
    </row>
    <row r="6617">
      <c r="A6617" s="6"/>
      <c r="C6617" s="6"/>
      <c r="L6617" s="7"/>
      <c r="M6617" s="5"/>
      <c r="N6617" s="5"/>
      <c r="O6617" s="5"/>
    </row>
    <row r="6618">
      <c r="A6618" s="6"/>
      <c r="C6618" s="6"/>
      <c r="L6618" s="7"/>
      <c r="M6618" s="5"/>
      <c r="N6618" s="5"/>
      <c r="O6618" s="5"/>
    </row>
    <row r="6619">
      <c r="A6619" s="6"/>
      <c r="C6619" s="6"/>
      <c r="L6619" s="7"/>
      <c r="M6619" s="5"/>
      <c r="N6619" s="5"/>
      <c r="O6619" s="5"/>
    </row>
    <row r="6620">
      <c r="A6620" s="6"/>
      <c r="C6620" s="6"/>
      <c r="L6620" s="7"/>
      <c r="M6620" s="5"/>
      <c r="N6620" s="5"/>
      <c r="O6620" s="5"/>
    </row>
    <row r="6621">
      <c r="A6621" s="6"/>
      <c r="C6621" s="6"/>
      <c r="L6621" s="7"/>
      <c r="M6621" s="5"/>
      <c r="N6621" s="5"/>
      <c r="O6621" s="5"/>
    </row>
    <row r="6622">
      <c r="A6622" s="6"/>
      <c r="C6622" s="6"/>
      <c r="L6622" s="7"/>
      <c r="M6622" s="5"/>
      <c r="N6622" s="5"/>
      <c r="O6622" s="5"/>
    </row>
    <row r="6623">
      <c r="A6623" s="6"/>
      <c r="C6623" s="6"/>
      <c r="L6623" s="7"/>
      <c r="M6623" s="5"/>
      <c r="N6623" s="5"/>
      <c r="O6623" s="5"/>
    </row>
    <row r="6624">
      <c r="A6624" s="6"/>
      <c r="C6624" s="6"/>
      <c r="L6624" s="7"/>
      <c r="M6624" s="5"/>
      <c r="N6624" s="5"/>
      <c r="O6624" s="5"/>
    </row>
    <row r="6625">
      <c r="A6625" s="6"/>
      <c r="C6625" s="6"/>
      <c r="L6625" s="7"/>
      <c r="M6625" s="5"/>
      <c r="N6625" s="5"/>
      <c r="O6625" s="5"/>
    </row>
    <row r="6626">
      <c r="A6626" s="6"/>
      <c r="C6626" s="6"/>
      <c r="L6626" s="7"/>
      <c r="M6626" s="5"/>
      <c r="N6626" s="5"/>
      <c r="O6626" s="5"/>
    </row>
    <row r="6627">
      <c r="A6627" s="6"/>
      <c r="C6627" s="6"/>
      <c r="L6627" s="7"/>
      <c r="M6627" s="5"/>
      <c r="N6627" s="5"/>
      <c r="O6627" s="5"/>
    </row>
    <row r="6628">
      <c r="A6628" s="6"/>
      <c r="C6628" s="6"/>
      <c r="L6628" s="7"/>
      <c r="M6628" s="5"/>
      <c r="N6628" s="5"/>
      <c r="O6628" s="5"/>
    </row>
    <row r="6629">
      <c r="A6629" s="6"/>
      <c r="C6629" s="6"/>
      <c r="L6629" s="7"/>
      <c r="M6629" s="5"/>
      <c r="N6629" s="5"/>
      <c r="O6629" s="5"/>
    </row>
    <row r="6630">
      <c r="A6630" s="6"/>
      <c r="C6630" s="6"/>
      <c r="L6630" s="7"/>
      <c r="M6630" s="5"/>
      <c r="N6630" s="5"/>
      <c r="O6630" s="5"/>
    </row>
    <row r="6631">
      <c r="A6631" s="6"/>
      <c r="C6631" s="6"/>
      <c r="L6631" s="7"/>
      <c r="M6631" s="5"/>
      <c r="N6631" s="5"/>
      <c r="O6631" s="5"/>
    </row>
    <row r="6632">
      <c r="A6632" s="6"/>
      <c r="C6632" s="6"/>
      <c r="L6632" s="7"/>
      <c r="M6632" s="5"/>
      <c r="N6632" s="5"/>
      <c r="O6632" s="5"/>
    </row>
    <row r="6633">
      <c r="A6633" s="6"/>
      <c r="C6633" s="6"/>
      <c r="L6633" s="7"/>
      <c r="M6633" s="5"/>
      <c r="N6633" s="5"/>
      <c r="O6633" s="5"/>
    </row>
    <row r="6634">
      <c r="A6634" s="6"/>
      <c r="C6634" s="6"/>
      <c r="L6634" s="7"/>
      <c r="M6634" s="5"/>
      <c r="N6634" s="5"/>
      <c r="O6634" s="5"/>
    </row>
    <row r="6635">
      <c r="A6635" s="6"/>
      <c r="C6635" s="6"/>
      <c r="L6635" s="7"/>
      <c r="M6635" s="5"/>
      <c r="N6635" s="5"/>
      <c r="O6635" s="5"/>
    </row>
    <row r="6636">
      <c r="A6636" s="6"/>
      <c r="C6636" s="6"/>
      <c r="L6636" s="7"/>
      <c r="M6636" s="5"/>
      <c r="N6636" s="5"/>
      <c r="O6636" s="5"/>
    </row>
    <row r="6637">
      <c r="A6637" s="6"/>
      <c r="C6637" s="6"/>
      <c r="L6637" s="7"/>
      <c r="M6637" s="5"/>
      <c r="N6637" s="5"/>
      <c r="O6637" s="5"/>
    </row>
    <row r="6638">
      <c r="A6638" s="6"/>
      <c r="C6638" s="6"/>
      <c r="L6638" s="7"/>
      <c r="M6638" s="5"/>
      <c r="N6638" s="5"/>
      <c r="O6638" s="5"/>
    </row>
    <row r="6639">
      <c r="A6639" s="6"/>
      <c r="C6639" s="6"/>
      <c r="L6639" s="7"/>
      <c r="M6639" s="5"/>
      <c r="N6639" s="5"/>
      <c r="O6639" s="5"/>
    </row>
    <row r="6640">
      <c r="A6640" s="6"/>
      <c r="C6640" s="6"/>
      <c r="L6640" s="7"/>
      <c r="M6640" s="5"/>
      <c r="N6640" s="5"/>
      <c r="O6640" s="5"/>
    </row>
    <row r="6641">
      <c r="A6641" s="6"/>
      <c r="C6641" s="6"/>
      <c r="L6641" s="7"/>
      <c r="M6641" s="5"/>
      <c r="N6641" s="5"/>
      <c r="O6641" s="5"/>
    </row>
    <row r="6642">
      <c r="A6642" s="6"/>
      <c r="C6642" s="6"/>
      <c r="L6642" s="7"/>
      <c r="M6642" s="5"/>
      <c r="N6642" s="5"/>
      <c r="O6642" s="5"/>
    </row>
    <row r="6643">
      <c r="A6643" s="6"/>
      <c r="C6643" s="6"/>
      <c r="L6643" s="7"/>
      <c r="M6643" s="5"/>
      <c r="N6643" s="5"/>
      <c r="O6643" s="5"/>
    </row>
    <row r="6644">
      <c r="A6644" s="6"/>
      <c r="C6644" s="6"/>
      <c r="L6644" s="7"/>
      <c r="M6644" s="5"/>
      <c r="N6644" s="5"/>
      <c r="O6644" s="5"/>
    </row>
    <row r="6645">
      <c r="A6645" s="6"/>
      <c r="C6645" s="6"/>
      <c r="L6645" s="7"/>
      <c r="M6645" s="5"/>
      <c r="N6645" s="5"/>
      <c r="O6645" s="5"/>
    </row>
    <row r="6646">
      <c r="A6646" s="6"/>
      <c r="C6646" s="6"/>
      <c r="L6646" s="7"/>
      <c r="M6646" s="5"/>
      <c r="N6646" s="5"/>
      <c r="O6646" s="5"/>
    </row>
    <row r="6647">
      <c r="A6647" s="6"/>
      <c r="C6647" s="6"/>
      <c r="L6647" s="7"/>
      <c r="M6647" s="5"/>
      <c r="N6647" s="5"/>
      <c r="O6647" s="5"/>
    </row>
    <row r="6648">
      <c r="A6648" s="6"/>
      <c r="C6648" s="6"/>
      <c r="L6648" s="7"/>
      <c r="M6648" s="5"/>
      <c r="N6648" s="5"/>
      <c r="O6648" s="5"/>
    </row>
    <row r="6649">
      <c r="A6649" s="6"/>
      <c r="C6649" s="6"/>
      <c r="L6649" s="7"/>
      <c r="M6649" s="5"/>
      <c r="N6649" s="5"/>
      <c r="O6649" s="5"/>
    </row>
    <row r="6650">
      <c r="A6650" s="6"/>
      <c r="C6650" s="6"/>
      <c r="L6650" s="7"/>
      <c r="M6650" s="5"/>
      <c r="N6650" s="5"/>
      <c r="O6650" s="5"/>
    </row>
    <row r="6651">
      <c r="A6651" s="6"/>
      <c r="C6651" s="6"/>
      <c r="L6651" s="7"/>
      <c r="M6651" s="5"/>
      <c r="N6651" s="5"/>
      <c r="O6651" s="5"/>
    </row>
    <row r="6652">
      <c r="A6652" s="6"/>
      <c r="C6652" s="6"/>
      <c r="L6652" s="7"/>
      <c r="M6652" s="5"/>
      <c r="N6652" s="5"/>
      <c r="O6652" s="5"/>
    </row>
    <row r="6653">
      <c r="A6653" s="6"/>
      <c r="C6653" s="6"/>
      <c r="L6653" s="7"/>
      <c r="M6653" s="5"/>
      <c r="N6653" s="5"/>
      <c r="O6653" s="5"/>
    </row>
    <row r="6654">
      <c r="A6654" s="6"/>
      <c r="C6654" s="6"/>
      <c r="L6654" s="7"/>
      <c r="M6654" s="5"/>
      <c r="N6654" s="5"/>
      <c r="O6654" s="5"/>
    </row>
    <row r="6655">
      <c r="A6655" s="6"/>
      <c r="C6655" s="6"/>
      <c r="L6655" s="7"/>
      <c r="M6655" s="5"/>
      <c r="N6655" s="5"/>
      <c r="O6655" s="5"/>
    </row>
    <row r="6656">
      <c r="A6656" s="6"/>
      <c r="C6656" s="6"/>
      <c r="L6656" s="7"/>
      <c r="M6656" s="5"/>
      <c r="N6656" s="5"/>
      <c r="O6656" s="5"/>
    </row>
    <row r="6657">
      <c r="A6657" s="6"/>
      <c r="C6657" s="6"/>
      <c r="L6657" s="7"/>
      <c r="M6657" s="5"/>
      <c r="N6657" s="5"/>
      <c r="O6657" s="5"/>
    </row>
    <row r="6658">
      <c r="A6658" s="6"/>
      <c r="C6658" s="6"/>
      <c r="L6658" s="7"/>
      <c r="M6658" s="5"/>
      <c r="N6658" s="5"/>
      <c r="O6658" s="5"/>
    </row>
    <row r="6659">
      <c r="A6659" s="6"/>
      <c r="C6659" s="6"/>
      <c r="L6659" s="7"/>
      <c r="M6659" s="5"/>
      <c r="N6659" s="5"/>
      <c r="O6659" s="5"/>
    </row>
    <row r="6660">
      <c r="A6660" s="6"/>
      <c r="C6660" s="6"/>
      <c r="L6660" s="7"/>
      <c r="M6660" s="5"/>
      <c r="N6660" s="5"/>
      <c r="O6660" s="5"/>
    </row>
    <row r="6661">
      <c r="A6661" s="6"/>
      <c r="C6661" s="6"/>
      <c r="L6661" s="7"/>
      <c r="M6661" s="5"/>
      <c r="N6661" s="5"/>
      <c r="O6661" s="5"/>
    </row>
    <row r="6662">
      <c r="A6662" s="6"/>
      <c r="C6662" s="6"/>
      <c r="L6662" s="7"/>
      <c r="M6662" s="5"/>
      <c r="N6662" s="5"/>
      <c r="O6662" s="5"/>
    </row>
    <row r="6663">
      <c r="A6663" s="6"/>
      <c r="C6663" s="6"/>
      <c r="L6663" s="7"/>
      <c r="M6663" s="5"/>
      <c r="N6663" s="5"/>
      <c r="O6663" s="5"/>
    </row>
    <row r="6664">
      <c r="A6664" s="6"/>
      <c r="C6664" s="6"/>
      <c r="L6664" s="7"/>
      <c r="M6664" s="5"/>
      <c r="N6664" s="5"/>
      <c r="O6664" s="5"/>
    </row>
    <row r="6665">
      <c r="A6665" s="6"/>
      <c r="C6665" s="6"/>
      <c r="L6665" s="7"/>
      <c r="M6665" s="5"/>
      <c r="N6665" s="5"/>
      <c r="O6665" s="5"/>
    </row>
    <row r="6666">
      <c r="A6666" s="6"/>
      <c r="C6666" s="6"/>
      <c r="L6666" s="7"/>
      <c r="M6666" s="5"/>
      <c r="N6666" s="5"/>
      <c r="O6666" s="5"/>
    </row>
    <row r="6667">
      <c r="A6667" s="6"/>
      <c r="C6667" s="6"/>
      <c r="L6667" s="7"/>
      <c r="M6667" s="5"/>
      <c r="N6667" s="5"/>
      <c r="O6667" s="5"/>
    </row>
    <row r="6668">
      <c r="A6668" s="6"/>
      <c r="C6668" s="6"/>
      <c r="L6668" s="7"/>
      <c r="M6668" s="5"/>
      <c r="N6668" s="5"/>
      <c r="O6668" s="5"/>
    </row>
    <row r="6669">
      <c r="A6669" s="6"/>
      <c r="C6669" s="6"/>
      <c r="L6669" s="7"/>
      <c r="M6669" s="5"/>
      <c r="N6669" s="5"/>
      <c r="O6669" s="5"/>
    </row>
    <row r="6670">
      <c r="A6670" s="6"/>
      <c r="C6670" s="6"/>
      <c r="L6670" s="7"/>
      <c r="M6670" s="5"/>
      <c r="N6670" s="5"/>
      <c r="O6670" s="5"/>
    </row>
    <row r="6671">
      <c r="A6671" s="6"/>
      <c r="C6671" s="6"/>
      <c r="L6671" s="7"/>
      <c r="M6671" s="5"/>
      <c r="N6671" s="5"/>
      <c r="O6671" s="5"/>
    </row>
    <row r="6672">
      <c r="A6672" s="6"/>
      <c r="C6672" s="6"/>
      <c r="L6672" s="7"/>
      <c r="M6672" s="5"/>
      <c r="N6672" s="5"/>
      <c r="O6672" s="5"/>
    </row>
    <row r="6673">
      <c r="A6673" s="6"/>
      <c r="C6673" s="6"/>
      <c r="L6673" s="7"/>
      <c r="M6673" s="5"/>
      <c r="N6673" s="5"/>
      <c r="O6673" s="5"/>
    </row>
    <row r="6674">
      <c r="A6674" s="6"/>
      <c r="C6674" s="6"/>
      <c r="L6674" s="7"/>
      <c r="M6674" s="5"/>
      <c r="N6674" s="5"/>
      <c r="O6674" s="5"/>
    </row>
    <row r="6675">
      <c r="A6675" s="6"/>
      <c r="C6675" s="6"/>
      <c r="L6675" s="7"/>
      <c r="M6675" s="5"/>
      <c r="N6675" s="5"/>
      <c r="O6675" s="5"/>
    </row>
    <row r="6676">
      <c r="A6676" s="6"/>
      <c r="C6676" s="6"/>
      <c r="L6676" s="7"/>
      <c r="M6676" s="5"/>
      <c r="N6676" s="5"/>
      <c r="O6676" s="5"/>
    </row>
    <row r="6677">
      <c r="A6677" s="6"/>
      <c r="C6677" s="6"/>
      <c r="L6677" s="7"/>
      <c r="M6677" s="5"/>
      <c r="N6677" s="5"/>
      <c r="O6677" s="5"/>
    </row>
    <row r="6678">
      <c r="A6678" s="6"/>
      <c r="C6678" s="6"/>
      <c r="L6678" s="7"/>
      <c r="M6678" s="5"/>
      <c r="N6678" s="5"/>
      <c r="O6678" s="5"/>
    </row>
    <row r="6679">
      <c r="A6679" s="6"/>
      <c r="C6679" s="6"/>
      <c r="L6679" s="7"/>
      <c r="M6679" s="5"/>
      <c r="N6679" s="5"/>
      <c r="O6679" s="5"/>
    </row>
    <row r="6680">
      <c r="A6680" s="6"/>
      <c r="C6680" s="6"/>
      <c r="L6680" s="7"/>
      <c r="M6680" s="5"/>
      <c r="N6680" s="5"/>
      <c r="O6680" s="5"/>
    </row>
    <row r="6681">
      <c r="A6681" s="6"/>
      <c r="C6681" s="6"/>
      <c r="L6681" s="7"/>
      <c r="M6681" s="5"/>
      <c r="N6681" s="5"/>
      <c r="O6681" s="5"/>
    </row>
    <row r="6682">
      <c r="A6682" s="6"/>
      <c r="C6682" s="6"/>
      <c r="L6682" s="7"/>
      <c r="M6682" s="5"/>
      <c r="N6682" s="5"/>
      <c r="O6682" s="5"/>
    </row>
    <row r="6683">
      <c r="A6683" s="6"/>
      <c r="C6683" s="6"/>
      <c r="L6683" s="7"/>
      <c r="M6683" s="5"/>
      <c r="N6683" s="5"/>
      <c r="O6683" s="5"/>
    </row>
    <row r="6684">
      <c r="A6684" s="6"/>
      <c r="C6684" s="6"/>
      <c r="L6684" s="7"/>
      <c r="M6684" s="5"/>
      <c r="N6684" s="5"/>
      <c r="O6684" s="5"/>
    </row>
    <row r="6685">
      <c r="A6685" s="6"/>
      <c r="C6685" s="6"/>
      <c r="L6685" s="7"/>
      <c r="M6685" s="5"/>
      <c r="N6685" s="5"/>
      <c r="O6685" s="5"/>
    </row>
    <row r="6686">
      <c r="A6686" s="6"/>
      <c r="C6686" s="6"/>
      <c r="L6686" s="7"/>
      <c r="M6686" s="5"/>
      <c r="N6686" s="5"/>
      <c r="O6686" s="5"/>
    </row>
    <row r="6687">
      <c r="A6687" s="6"/>
      <c r="C6687" s="6"/>
      <c r="L6687" s="7"/>
      <c r="M6687" s="5"/>
      <c r="N6687" s="5"/>
      <c r="O6687" s="5"/>
    </row>
    <row r="6688">
      <c r="A6688" s="6"/>
      <c r="C6688" s="6"/>
      <c r="L6688" s="7"/>
      <c r="M6688" s="5"/>
      <c r="N6688" s="5"/>
      <c r="O6688" s="5"/>
    </row>
    <row r="6689">
      <c r="A6689" s="6"/>
      <c r="C6689" s="6"/>
      <c r="L6689" s="7"/>
      <c r="M6689" s="5"/>
      <c r="N6689" s="5"/>
      <c r="O6689" s="5"/>
    </row>
    <row r="6690">
      <c r="A6690" s="6"/>
      <c r="C6690" s="6"/>
      <c r="L6690" s="7"/>
      <c r="M6690" s="5"/>
      <c r="N6690" s="5"/>
      <c r="O6690" s="5"/>
    </row>
    <row r="6691">
      <c r="A6691" s="6"/>
      <c r="C6691" s="6"/>
      <c r="L6691" s="7"/>
      <c r="M6691" s="5"/>
      <c r="N6691" s="5"/>
      <c r="O6691" s="5"/>
    </row>
    <row r="6692">
      <c r="A6692" s="6"/>
      <c r="C6692" s="6"/>
      <c r="L6692" s="7"/>
      <c r="M6692" s="5"/>
      <c r="N6692" s="5"/>
      <c r="O6692" s="5"/>
    </row>
    <row r="6693">
      <c r="A6693" s="6"/>
      <c r="C6693" s="6"/>
      <c r="L6693" s="7"/>
      <c r="M6693" s="5"/>
      <c r="N6693" s="5"/>
      <c r="O6693" s="5"/>
    </row>
    <row r="6694">
      <c r="A6694" s="6"/>
      <c r="C6694" s="6"/>
      <c r="L6694" s="7"/>
      <c r="M6694" s="5"/>
      <c r="N6694" s="5"/>
      <c r="O6694" s="5"/>
    </row>
    <row r="6695">
      <c r="A6695" s="6"/>
      <c r="C6695" s="6"/>
      <c r="L6695" s="7"/>
      <c r="M6695" s="5"/>
      <c r="N6695" s="5"/>
      <c r="O6695" s="5"/>
    </row>
    <row r="6696">
      <c r="A6696" s="6"/>
      <c r="C6696" s="6"/>
      <c r="L6696" s="7"/>
      <c r="M6696" s="5"/>
      <c r="N6696" s="5"/>
      <c r="O6696" s="5"/>
    </row>
    <row r="6697">
      <c r="A6697" s="6"/>
      <c r="C6697" s="6"/>
      <c r="L6697" s="7"/>
      <c r="M6697" s="5"/>
      <c r="N6697" s="5"/>
      <c r="O6697" s="5"/>
    </row>
    <row r="6698">
      <c r="A6698" s="6"/>
      <c r="C6698" s="6"/>
      <c r="L6698" s="7"/>
      <c r="M6698" s="5"/>
      <c r="N6698" s="5"/>
      <c r="O6698" s="5"/>
    </row>
    <row r="6699">
      <c r="A6699" s="6"/>
      <c r="C6699" s="6"/>
      <c r="L6699" s="7"/>
      <c r="M6699" s="5"/>
      <c r="N6699" s="5"/>
      <c r="O6699" s="5"/>
    </row>
    <row r="6700">
      <c r="A6700" s="6"/>
      <c r="C6700" s="6"/>
      <c r="L6700" s="7"/>
      <c r="M6700" s="5"/>
      <c r="N6700" s="5"/>
      <c r="O6700" s="5"/>
    </row>
    <row r="6701">
      <c r="A6701" s="6"/>
      <c r="C6701" s="6"/>
      <c r="L6701" s="7"/>
      <c r="M6701" s="5"/>
      <c r="N6701" s="5"/>
      <c r="O6701" s="5"/>
    </row>
    <row r="6702">
      <c r="A6702" s="6"/>
      <c r="C6702" s="6"/>
      <c r="L6702" s="7"/>
      <c r="M6702" s="5"/>
      <c r="N6702" s="5"/>
      <c r="O6702" s="5"/>
    </row>
    <row r="6703">
      <c r="A6703" s="6"/>
      <c r="C6703" s="6"/>
      <c r="L6703" s="7"/>
      <c r="M6703" s="5"/>
      <c r="N6703" s="5"/>
      <c r="O6703" s="5"/>
    </row>
    <row r="6704">
      <c r="A6704" s="6"/>
      <c r="C6704" s="6"/>
      <c r="L6704" s="7"/>
      <c r="M6704" s="5"/>
      <c r="N6704" s="5"/>
      <c r="O6704" s="5"/>
    </row>
    <row r="6705">
      <c r="A6705" s="6"/>
      <c r="C6705" s="6"/>
      <c r="L6705" s="7"/>
      <c r="M6705" s="5"/>
      <c r="N6705" s="5"/>
      <c r="O6705" s="5"/>
    </row>
    <row r="6706">
      <c r="A6706" s="6"/>
      <c r="C6706" s="6"/>
      <c r="L6706" s="7"/>
      <c r="M6706" s="5"/>
      <c r="N6706" s="5"/>
      <c r="O6706" s="5"/>
    </row>
    <row r="6707">
      <c r="A6707" s="6"/>
      <c r="C6707" s="6"/>
      <c r="L6707" s="7"/>
      <c r="M6707" s="5"/>
      <c r="N6707" s="5"/>
      <c r="O6707" s="5"/>
    </row>
    <row r="6708">
      <c r="A6708" s="6"/>
      <c r="C6708" s="6"/>
      <c r="L6708" s="7"/>
      <c r="M6708" s="5"/>
      <c r="N6708" s="5"/>
      <c r="O6708" s="5"/>
    </row>
    <row r="6709">
      <c r="A6709" s="6"/>
      <c r="C6709" s="6"/>
      <c r="L6709" s="7"/>
      <c r="M6709" s="5"/>
      <c r="N6709" s="5"/>
      <c r="O6709" s="5"/>
    </row>
    <row r="6710">
      <c r="A6710" s="6"/>
      <c r="C6710" s="6"/>
      <c r="L6710" s="7"/>
      <c r="M6710" s="5"/>
      <c r="N6710" s="5"/>
      <c r="O6710" s="5"/>
    </row>
    <row r="6711">
      <c r="A6711" s="6"/>
      <c r="C6711" s="6"/>
      <c r="L6711" s="7"/>
      <c r="M6711" s="5"/>
      <c r="N6711" s="5"/>
      <c r="O6711" s="5"/>
    </row>
    <row r="6712">
      <c r="A6712" s="6"/>
      <c r="C6712" s="6"/>
      <c r="L6712" s="7"/>
      <c r="M6712" s="5"/>
      <c r="N6712" s="5"/>
      <c r="O6712" s="5"/>
    </row>
    <row r="6713">
      <c r="A6713" s="6"/>
      <c r="C6713" s="6"/>
      <c r="L6713" s="7"/>
      <c r="M6713" s="5"/>
      <c r="N6713" s="5"/>
      <c r="O6713" s="5"/>
    </row>
    <row r="6714">
      <c r="A6714" s="6"/>
      <c r="C6714" s="6"/>
      <c r="L6714" s="7"/>
      <c r="M6714" s="5"/>
      <c r="N6714" s="5"/>
      <c r="O6714" s="5"/>
    </row>
    <row r="6715">
      <c r="A6715" s="6"/>
      <c r="C6715" s="6"/>
      <c r="L6715" s="7"/>
      <c r="M6715" s="5"/>
      <c r="N6715" s="5"/>
      <c r="O6715" s="5"/>
    </row>
    <row r="6716">
      <c r="A6716" s="6"/>
      <c r="C6716" s="6"/>
      <c r="L6716" s="7"/>
      <c r="M6716" s="5"/>
      <c r="N6716" s="5"/>
      <c r="O6716" s="5"/>
    </row>
    <row r="6717">
      <c r="A6717" s="6"/>
      <c r="C6717" s="6"/>
      <c r="L6717" s="7"/>
      <c r="M6717" s="5"/>
      <c r="N6717" s="5"/>
      <c r="O6717" s="5"/>
    </row>
    <row r="6718">
      <c r="A6718" s="6"/>
      <c r="C6718" s="6"/>
      <c r="L6718" s="7"/>
      <c r="M6718" s="5"/>
      <c r="N6718" s="5"/>
      <c r="O6718" s="5"/>
    </row>
    <row r="6719">
      <c r="A6719" s="6"/>
      <c r="C6719" s="6"/>
      <c r="L6719" s="7"/>
      <c r="M6719" s="5"/>
      <c r="N6719" s="5"/>
      <c r="O6719" s="5"/>
    </row>
    <row r="6720">
      <c r="A6720" s="6"/>
      <c r="C6720" s="6"/>
      <c r="L6720" s="7"/>
      <c r="M6720" s="5"/>
      <c r="N6720" s="5"/>
      <c r="O6720" s="5"/>
    </row>
    <row r="6721">
      <c r="A6721" s="6"/>
      <c r="C6721" s="6"/>
      <c r="L6721" s="7"/>
      <c r="M6721" s="5"/>
      <c r="N6721" s="5"/>
      <c r="O6721" s="5"/>
    </row>
    <row r="6722">
      <c r="A6722" s="6"/>
      <c r="C6722" s="6"/>
      <c r="L6722" s="7"/>
      <c r="M6722" s="5"/>
      <c r="N6722" s="5"/>
      <c r="O6722" s="5"/>
    </row>
    <row r="6723">
      <c r="A6723" s="6"/>
      <c r="C6723" s="6"/>
      <c r="L6723" s="7"/>
      <c r="M6723" s="5"/>
      <c r="N6723" s="5"/>
      <c r="O6723" s="5"/>
    </row>
    <row r="6724">
      <c r="A6724" s="6"/>
      <c r="C6724" s="6"/>
      <c r="L6724" s="7"/>
      <c r="M6724" s="5"/>
      <c r="N6724" s="5"/>
      <c r="O6724" s="5"/>
    </row>
    <row r="6725">
      <c r="A6725" s="6"/>
      <c r="C6725" s="6"/>
      <c r="L6725" s="7"/>
      <c r="M6725" s="5"/>
      <c r="N6725" s="5"/>
      <c r="O6725" s="5"/>
    </row>
    <row r="6726">
      <c r="A6726" s="6"/>
      <c r="C6726" s="6"/>
      <c r="L6726" s="7"/>
      <c r="M6726" s="5"/>
      <c r="N6726" s="5"/>
      <c r="O6726" s="5"/>
    </row>
    <row r="6727">
      <c r="A6727" s="6"/>
      <c r="C6727" s="6"/>
      <c r="L6727" s="7"/>
      <c r="M6727" s="5"/>
      <c r="N6727" s="5"/>
      <c r="O6727" s="5"/>
    </row>
    <row r="6728">
      <c r="A6728" s="6"/>
      <c r="C6728" s="6"/>
      <c r="L6728" s="7"/>
      <c r="M6728" s="5"/>
      <c r="N6728" s="5"/>
      <c r="O6728" s="5"/>
    </row>
    <row r="6729">
      <c r="A6729" s="6"/>
      <c r="C6729" s="6"/>
      <c r="L6729" s="7"/>
      <c r="M6729" s="5"/>
      <c r="N6729" s="5"/>
      <c r="O6729" s="5"/>
    </row>
    <row r="6730">
      <c r="A6730" s="6"/>
      <c r="C6730" s="6"/>
      <c r="L6730" s="7"/>
      <c r="M6730" s="5"/>
      <c r="N6730" s="5"/>
      <c r="O6730" s="5"/>
    </row>
    <row r="6731">
      <c r="A6731" s="6"/>
      <c r="C6731" s="6"/>
      <c r="L6731" s="7"/>
      <c r="M6731" s="5"/>
      <c r="N6731" s="5"/>
      <c r="O6731" s="5"/>
    </row>
    <row r="6732">
      <c r="A6732" s="6"/>
      <c r="C6732" s="6"/>
      <c r="L6732" s="7"/>
      <c r="M6732" s="5"/>
      <c r="N6732" s="5"/>
      <c r="O6732" s="5"/>
    </row>
    <row r="6733">
      <c r="A6733" s="6"/>
      <c r="C6733" s="6"/>
      <c r="L6733" s="7"/>
      <c r="M6733" s="5"/>
      <c r="N6733" s="5"/>
      <c r="O6733" s="5"/>
    </row>
    <row r="6734">
      <c r="A6734" s="6"/>
      <c r="C6734" s="6"/>
      <c r="L6734" s="7"/>
      <c r="M6734" s="5"/>
      <c r="N6734" s="5"/>
      <c r="O6734" s="5"/>
    </row>
    <row r="6735">
      <c r="A6735" s="6"/>
      <c r="C6735" s="6"/>
      <c r="L6735" s="7"/>
      <c r="M6735" s="5"/>
      <c r="N6735" s="5"/>
      <c r="O6735" s="5"/>
    </row>
    <row r="6736">
      <c r="A6736" s="6"/>
      <c r="C6736" s="6"/>
      <c r="L6736" s="7"/>
      <c r="M6736" s="5"/>
      <c r="N6736" s="5"/>
      <c r="O6736" s="5"/>
    </row>
    <row r="6737">
      <c r="A6737" s="6"/>
      <c r="C6737" s="6"/>
      <c r="L6737" s="7"/>
      <c r="M6737" s="5"/>
      <c r="N6737" s="5"/>
      <c r="O6737" s="5"/>
    </row>
    <row r="6738">
      <c r="A6738" s="6"/>
      <c r="C6738" s="6"/>
      <c r="L6738" s="7"/>
      <c r="M6738" s="5"/>
      <c r="N6738" s="5"/>
      <c r="O6738" s="5"/>
    </row>
    <row r="6739">
      <c r="A6739" s="6"/>
      <c r="C6739" s="6"/>
      <c r="L6739" s="7"/>
      <c r="M6739" s="5"/>
      <c r="N6739" s="5"/>
      <c r="O6739" s="5"/>
    </row>
    <row r="6740">
      <c r="A6740" s="6"/>
      <c r="C6740" s="6"/>
      <c r="L6740" s="7"/>
      <c r="M6740" s="5"/>
      <c r="N6740" s="5"/>
      <c r="O6740" s="5"/>
    </row>
    <row r="6741">
      <c r="A6741" s="6"/>
      <c r="C6741" s="6"/>
      <c r="L6741" s="7"/>
      <c r="M6741" s="5"/>
      <c r="N6741" s="5"/>
      <c r="O6741" s="5"/>
    </row>
    <row r="6742">
      <c r="A6742" s="6"/>
      <c r="C6742" s="6"/>
      <c r="L6742" s="7"/>
      <c r="M6742" s="5"/>
      <c r="N6742" s="5"/>
      <c r="O6742" s="5"/>
    </row>
    <row r="6743">
      <c r="A6743" s="6"/>
      <c r="C6743" s="6"/>
      <c r="L6743" s="7"/>
      <c r="M6743" s="5"/>
      <c r="N6743" s="5"/>
      <c r="O6743" s="5"/>
    </row>
    <row r="6744">
      <c r="A6744" s="6"/>
      <c r="C6744" s="6"/>
      <c r="L6744" s="7"/>
      <c r="M6744" s="5"/>
      <c r="N6744" s="5"/>
      <c r="O6744" s="5"/>
    </row>
    <row r="6745">
      <c r="A6745" s="6"/>
      <c r="C6745" s="6"/>
      <c r="L6745" s="7"/>
      <c r="M6745" s="5"/>
      <c r="N6745" s="5"/>
      <c r="O6745" s="5"/>
    </row>
    <row r="6746">
      <c r="A6746" s="6"/>
      <c r="C6746" s="6"/>
      <c r="L6746" s="7"/>
      <c r="M6746" s="5"/>
      <c r="N6746" s="5"/>
      <c r="O6746" s="5"/>
    </row>
    <row r="6747">
      <c r="A6747" s="6"/>
      <c r="C6747" s="6"/>
      <c r="L6747" s="7"/>
      <c r="M6747" s="5"/>
      <c r="N6747" s="5"/>
      <c r="O6747" s="5"/>
    </row>
    <row r="6748">
      <c r="A6748" s="6"/>
      <c r="C6748" s="6"/>
      <c r="L6748" s="7"/>
      <c r="M6748" s="5"/>
      <c r="N6748" s="5"/>
      <c r="O6748" s="5"/>
    </row>
    <row r="6749">
      <c r="A6749" s="6"/>
      <c r="C6749" s="6"/>
      <c r="L6749" s="7"/>
      <c r="M6749" s="5"/>
      <c r="N6749" s="5"/>
      <c r="O6749" s="5"/>
    </row>
    <row r="6750">
      <c r="A6750" s="6"/>
      <c r="C6750" s="6"/>
      <c r="L6750" s="7"/>
      <c r="M6750" s="5"/>
      <c r="N6750" s="5"/>
      <c r="O6750" s="5"/>
    </row>
    <row r="6751">
      <c r="A6751" s="6"/>
      <c r="C6751" s="6"/>
      <c r="L6751" s="7"/>
      <c r="M6751" s="5"/>
      <c r="N6751" s="5"/>
      <c r="O6751" s="5"/>
    </row>
    <row r="6752">
      <c r="A6752" s="6"/>
      <c r="C6752" s="6"/>
      <c r="L6752" s="7"/>
      <c r="M6752" s="5"/>
      <c r="N6752" s="5"/>
      <c r="O6752" s="5"/>
    </row>
    <row r="6753">
      <c r="A6753" s="6"/>
      <c r="C6753" s="6"/>
      <c r="L6753" s="7"/>
      <c r="M6753" s="5"/>
      <c r="N6753" s="5"/>
      <c r="O6753" s="5"/>
    </row>
    <row r="6754">
      <c r="A6754" s="6"/>
      <c r="C6754" s="6"/>
      <c r="L6754" s="7"/>
      <c r="M6754" s="5"/>
      <c r="N6754" s="5"/>
      <c r="O6754" s="5"/>
    </row>
    <row r="6755">
      <c r="A6755" s="6"/>
      <c r="C6755" s="6"/>
      <c r="L6755" s="7"/>
      <c r="M6755" s="5"/>
      <c r="N6755" s="5"/>
      <c r="O6755" s="5"/>
    </row>
    <row r="6756">
      <c r="A6756" s="6"/>
      <c r="C6756" s="6"/>
      <c r="L6756" s="7"/>
      <c r="M6756" s="5"/>
      <c r="N6756" s="5"/>
      <c r="O6756" s="5"/>
    </row>
    <row r="6757">
      <c r="A6757" s="6"/>
      <c r="C6757" s="6"/>
      <c r="L6757" s="7"/>
      <c r="M6757" s="5"/>
      <c r="N6757" s="5"/>
      <c r="O6757" s="5"/>
    </row>
    <row r="6758">
      <c r="A6758" s="6"/>
      <c r="C6758" s="6"/>
      <c r="L6758" s="7"/>
      <c r="M6758" s="5"/>
      <c r="N6758" s="5"/>
      <c r="O6758" s="5"/>
    </row>
    <row r="6759">
      <c r="A6759" s="6"/>
      <c r="C6759" s="6"/>
      <c r="L6759" s="7"/>
      <c r="M6759" s="5"/>
      <c r="N6759" s="5"/>
      <c r="O6759" s="5"/>
    </row>
    <row r="6760">
      <c r="A6760" s="6"/>
      <c r="C6760" s="6"/>
      <c r="L6760" s="7"/>
      <c r="M6760" s="5"/>
      <c r="N6760" s="5"/>
      <c r="O6760" s="5"/>
    </row>
    <row r="6761">
      <c r="A6761" s="6"/>
      <c r="C6761" s="6"/>
      <c r="L6761" s="7"/>
      <c r="M6761" s="5"/>
      <c r="N6761" s="5"/>
      <c r="O6761" s="5"/>
    </row>
    <row r="6762">
      <c r="A6762" s="6"/>
      <c r="C6762" s="6"/>
      <c r="L6762" s="7"/>
      <c r="M6762" s="5"/>
      <c r="N6762" s="5"/>
      <c r="O6762" s="5"/>
    </row>
    <row r="6763">
      <c r="A6763" s="6"/>
      <c r="C6763" s="6"/>
      <c r="L6763" s="7"/>
      <c r="M6763" s="5"/>
      <c r="N6763" s="5"/>
      <c r="O6763" s="5"/>
    </row>
    <row r="6764">
      <c r="A6764" s="6"/>
      <c r="C6764" s="6"/>
      <c r="L6764" s="7"/>
      <c r="M6764" s="5"/>
      <c r="N6764" s="5"/>
      <c r="O6764" s="5"/>
    </row>
    <row r="6765">
      <c r="A6765" s="6"/>
      <c r="C6765" s="6"/>
      <c r="L6765" s="7"/>
      <c r="M6765" s="5"/>
      <c r="N6765" s="5"/>
      <c r="O6765" s="5"/>
    </row>
    <row r="6766">
      <c r="A6766" s="6"/>
      <c r="C6766" s="6"/>
      <c r="L6766" s="7"/>
      <c r="M6766" s="5"/>
      <c r="N6766" s="5"/>
      <c r="O6766" s="5"/>
    </row>
    <row r="6767">
      <c r="A6767" s="6"/>
      <c r="C6767" s="6"/>
      <c r="L6767" s="7"/>
      <c r="M6767" s="5"/>
      <c r="N6767" s="5"/>
      <c r="O6767" s="5"/>
    </row>
    <row r="6768">
      <c r="A6768" s="6"/>
      <c r="C6768" s="6"/>
      <c r="L6768" s="7"/>
      <c r="M6768" s="5"/>
      <c r="N6768" s="5"/>
      <c r="O6768" s="5"/>
    </row>
    <row r="6769">
      <c r="A6769" s="6"/>
      <c r="C6769" s="6"/>
      <c r="L6769" s="7"/>
      <c r="M6769" s="5"/>
      <c r="N6769" s="5"/>
      <c r="O6769" s="5"/>
    </row>
    <row r="6770">
      <c r="A6770" s="6"/>
      <c r="C6770" s="6"/>
      <c r="L6770" s="7"/>
      <c r="M6770" s="5"/>
      <c r="N6770" s="5"/>
      <c r="O6770" s="5"/>
    </row>
    <row r="6771">
      <c r="A6771" s="6"/>
      <c r="C6771" s="6"/>
      <c r="L6771" s="7"/>
      <c r="M6771" s="5"/>
      <c r="N6771" s="5"/>
      <c r="O6771" s="5"/>
    </row>
    <row r="6772">
      <c r="A6772" s="6"/>
      <c r="C6772" s="6"/>
      <c r="L6772" s="7"/>
      <c r="M6772" s="5"/>
      <c r="N6772" s="5"/>
      <c r="O6772" s="5"/>
    </row>
    <row r="6773">
      <c r="A6773" s="6"/>
      <c r="C6773" s="6"/>
      <c r="L6773" s="7"/>
      <c r="M6773" s="5"/>
      <c r="N6773" s="5"/>
      <c r="O6773" s="5"/>
    </row>
    <row r="6774">
      <c r="A6774" s="6"/>
      <c r="C6774" s="6"/>
      <c r="L6774" s="7"/>
      <c r="M6774" s="5"/>
      <c r="N6774" s="5"/>
      <c r="O6774" s="5"/>
    </row>
    <row r="6775">
      <c r="A6775" s="6"/>
      <c r="C6775" s="6"/>
      <c r="L6775" s="7"/>
      <c r="M6775" s="5"/>
      <c r="N6775" s="5"/>
      <c r="O6775" s="5"/>
    </row>
    <row r="6776">
      <c r="A6776" s="6"/>
      <c r="C6776" s="6"/>
      <c r="L6776" s="7"/>
      <c r="M6776" s="5"/>
      <c r="N6776" s="5"/>
      <c r="O6776" s="5"/>
    </row>
    <row r="6777">
      <c r="A6777" s="6"/>
      <c r="C6777" s="6"/>
      <c r="L6777" s="7"/>
      <c r="M6777" s="5"/>
      <c r="N6777" s="5"/>
      <c r="O6777" s="5"/>
    </row>
    <row r="6778">
      <c r="A6778" s="6"/>
      <c r="C6778" s="6"/>
      <c r="L6778" s="7"/>
      <c r="M6778" s="5"/>
      <c r="N6778" s="5"/>
      <c r="O6778" s="5"/>
    </row>
    <row r="6779">
      <c r="A6779" s="6"/>
      <c r="C6779" s="6"/>
      <c r="L6779" s="7"/>
      <c r="M6779" s="5"/>
      <c r="N6779" s="5"/>
      <c r="O6779" s="5"/>
    </row>
    <row r="6780">
      <c r="A6780" s="6"/>
      <c r="C6780" s="6"/>
      <c r="L6780" s="7"/>
      <c r="M6780" s="5"/>
      <c r="N6780" s="5"/>
      <c r="O6780" s="5"/>
    </row>
    <row r="6781">
      <c r="A6781" s="6"/>
      <c r="C6781" s="6"/>
      <c r="L6781" s="7"/>
      <c r="M6781" s="5"/>
      <c r="N6781" s="5"/>
      <c r="O6781" s="5"/>
    </row>
    <row r="6782">
      <c r="A6782" s="6"/>
      <c r="C6782" s="6"/>
      <c r="L6782" s="7"/>
      <c r="M6782" s="5"/>
      <c r="N6782" s="5"/>
      <c r="O6782" s="5"/>
    </row>
    <row r="6783">
      <c r="A6783" s="6"/>
      <c r="C6783" s="6"/>
      <c r="L6783" s="7"/>
      <c r="M6783" s="5"/>
      <c r="N6783" s="5"/>
      <c r="O6783" s="5"/>
    </row>
    <row r="6784">
      <c r="A6784" s="6"/>
      <c r="C6784" s="6"/>
      <c r="L6784" s="7"/>
      <c r="M6784" s="5"/>
      <c r="N6784" s="5"/>
      <c r="O6784" s="5"/>
    </row>
    <row r="6785">
      <c r="A6785" s="6"/>
      <c r="C6785" s="6"/>
      <c r="L6785" s="7"/>
      <c r="M6785" s="5"/>
      <c r="N6785" s="5"/>
      <c r="O6785" s="5"/>
    </row>
    <row r="6786">
      <c r="A6786" s="6"/>
      <c r="C6786" s="6"/>
      <c r="L6786" s="7"/>
      <c r="M6786" s="5"/>
      <c r="N6786" s="5"/>
      <c r="O6786" s="5"/>
    </row>
    <row r="6787">
      <c r="A6787" s="6"/>
      <c r="C6787" s="6"/>
      <c r="L6787" s="7"/>
      <c r="M6787" s="5"/>
      <c r="N6787" s="5"/>
      <c r="O6787" s="5"/>
    </row>
    <row r="6788">
      <c r="A6788" s="6"/>
      <c r="C6788" s="6"/>
      <c r="L6788" s="7"/>
      <c r="M6788" s="5"/>
      <c r="N6788" s="5"/>
      <c r="O6788" s="5"/>
    </row>
    <row r="6789">
      <c r="A6789" s="6"/>
      <c r="C6789" s="6"/>
      <c r="L6789" s="7"/>
      <c r="M6789" s="5"/>
      <c r="N6789" s="5"/>
      <c r="O6789" s="5"/>
    </row>
    <row r="6790">
      <c r="A6790" s="6"/>
      <c r="C6790" s="6"/>
      <c r="L6790" s="7"/>
      <c r="M6790" s="5"/>
      <c r="N6790" s="5"/>
      <c r="O6790" s="5"/>
    </row>
    <row r="6791">
      <c r="A6791" s="6"/>
      <c r="C6791" s="6"/>
      <c r="L6791" s="7"/>
      <c r="M6791" s="5"/>
      <c r="N6791" s="5"/>
      <c r="O6791" s="5"/>
    </row>
    <row r="6792">
      <c r="A6792" s="6"/>
      <c r="C6792" s="6"/>
      <c r="L6792" s="7"/>
      <c r="M6792" s="5"/>
      <c r="N6792" s="5"/>
      <c r="O6792" s="5"/>
    </row>
    <row r="6793">
      <c r="A6793" s="6"/>
      <c r="C6793" s="6"/>
      <c r="L6793" s="7"/>
      <c r="M6793" s="5"/>
      <c r="N6793" s="5"/>
      <c r="O6793" s="5"/>
    </row>
    <row r="6794">
      <c r="A6794" s="6"/>
      <c r="C6794" s="6"/>
      <c r="L6794" s="7"/>
      <c r="M6794" s="5"/>
      <c r="N6794" s="5"/>
      <c r="O6794" s="5"/>
    </row>
    <row r="6795">
      <c r="A6795" s="6"/>
      <c r="C6795" s="6"/>
      <c r="L6795" s="7"/>
      <c r="M6795" s="5"/>
      <c r="N6795" s="5"/>
      <c r="O6795" s="5"/>
    </row>
    <row r="6796">
      <c r="A6796" s="6"/>
      <c r="C6796" s="6"/>
      <c r="L6796" s="7"/>
      <c r="M6796" s="5"/>
      <c r="N6796" s="5"/>
      <c r="O6796" s="5"/>
    </row>
    <row r="6797">
      <c r="A6797" s="6"/>
      <c r="C6797" s="6"/>
      <c r="L6797" s="7"/>
      <c r="M6797" s="5"/>
      <c r="N6797" s="5"/>
      <c r="O6797" s="5"/>
    </row>
    <row r="6798">
      <c r="A6798" s="6"/>
      <c r="C6798" s="6"/>
      <c r="L6798" s="7"/>
      <c r="M6798" s="5"/>
      <c r="N6798" s="5"/>
      <c r="O6798" s="5"/>
    </row>
    <row r="6799">
      <c r="A6799" s="6"/>
      <c r="C6799" s="6"/>
      <c r="L6799" s="7"/>
      <c r="M6799" s="5"/>
      <c r="N6799" s="5"/>
      <c r="O6799" s="5"/>
    </row>
    <row r="6800">
      <c r="A6800" s="6"/>
      <c r="C6800" s="6"/>
      <c r="L6800" s="7"/>
      <c r="M6800" s="5"/>
      <c r="N6800" s="5"/>
      <c r="O6800" s="5"/>
    </row>
    <row r="6801">
      <c r="A6801" s="6"/>
      <c r="C6801" s="6"/>
      <c r="L6801" s="7"/>
      <c r="M6801" s="5"/>
      <c r="N6801" s="5"/>
      <c r="O6801" s="5"/>
    </row>
    <row r="6802">
      <c r="A6802" s="6"/>
      <c r="C6802" s="6"/>
      <c r="L6802" s="7"/>
      <c r="M6802" s="5"/>
      <c r="N6802" s="5"/>
      <c r="O6802" s="5"/>
    </row>
    <row r="6803">
      <c r="A6803" s="6"/>
      <c r="C6803" s="6"/>
      <c r="L6803" s="7"/>
      <c r="M6803" s="5"/>
      <c r="N6803" s="5"/>
      <c r="O6803" s="5"/>
    </row>
    <row r="6804">
      <c r="A6804" s="6"/>
      <c r="C6804" s="6"/>
      <c r="L6804" s="7"/>
      <c r="M6804" s="5"/>
      <c r="N6804" s="5"/>
      <c r="O6804" s="5"/>
    </row>
    <row r="6805">
      <c r="A6805" s="6"/>
      <c r="C6805" s="6"/>
      <c r="L6805" s="7"/>
      <c r="M6805" s="5"/>
      <c r="N6805" s="5"/>
      <c r="O6805" s="5"/>
    </row>
    <row r="6806">
      <c r="A6806" s="6"/>
      <c r="C6806" s="6"/>
      <c r="L6806" s="7"/>
      <c r="M6806" s="5"/>
      <c r="N6806" s="5"/>
      <c r="O6806" s="5"/>
    </row>
    <row r="6807">
      <c r="A6807" s="6"/>
      <c r="C6807" s="6"/>
      <c r="L6807" s="7"/>
      <c r="M6807" s="5"/>
      <c r="N6807" s="5"/>
      <c r="O6807" s="5"/>
    </row>
    <row r="6808">
      <c r="A6808" s="6"/>
      <c r="C6808" s="6"/>
      <c r="L6808" s="7"/>
      <c r="M6808" s="5"/>
      <c r="N6808" s="5"/>
      <c r="O6808" s="5"/>
    </row>
    <row r="6809">
      <c r="A6809" s="6"/>
      <c r="C6809" s="6"/>
      <c r="L6809" s="7"/>
      <c r="M6809" s="5"/>
      <c r="N6809" s="5"/>
      <c r="O6809" s="5"/>
    </row>
    <row r="6810">
      <c r="A6810" s="6"/>
      <c r="C6810" s="6"/>
      <c r="L6810" s="7"/>
      <c r="M6810" s="5"/>
      <c r="N6810" s="5"/>
      <c r="O6810" s="5"/>
    </row>
    <row r="6811">
      <c r="A6811" s="6"/>
      <c r="C6811" s="6"/>
      <c r="L6811" s="7"/>
      <c r="M6811" s="5"/>
      <c r="N6811" s="5"/>
      <c r="O6811" s="5"/>
    </row>
    <row r="6812">
      <c r="A6812" s="6"/>
      <c r="C6812" s="6"/>
      <c r="L6812" s="7"/>
      <c r="M6812" s="5"/>
      <c r="N6812" s="5"/>
      <c r="O6812" s="5"/>
    </row>
    <row r="6813">
      <c r="A6813" s="6"/>
      <c r="C6813" s="6"/>
      <c r="L6813" s="7"/>
      <c r="M6813" s="5"/>
      <c r="N6813" s="5"/>
      <c r="O6813" s="5"/>
    </row>
    <row r="6814">
      <c r="A6814" s="6"/>
      <c r="C6814" s="6"/>
      <c r="L6814" s="7"/>
      <c r="M6814" s="5"/>
      <c r="N6814" s="5"/>
      <c r="O6814" s="5"/>
    </row>
    <row r="6815">
      <c r="A6815" s="6"/>
      <c r="C6815" s="6"/>
      <c r="L6815" s="7"/>
      <c r="M6815" s="5"/>
      <c r="N6815" s="5"/>
      <c r="O6815" s="5"/>
    </row>
    <row r="6816">
      <c r="A6816" s="6"/>
      <c r="C6816" s="6"/>
      <c r="L6816" s="7"/>
      <c r="M6816" s="5"/>
      <c r="N6816" s="5"/>
      <c r="O6816" s="5"/>
    </row>
    <row r="6817">
      <c r="A6817" s="6"/>
      <c r="C6817" s="6"/>
      <c r="L6817" s="7"/>
      <c r="M6817" s="5"/>
      <c r="N6817" s="5"/>
      <c r="O6817" s="5"/>
    </row>
    <row r="6818">
      <c r="A6818" s="6"/>
      <c r="C6818" s="6"/>
      <c r="L6818" s="7"/>
      <c r="M6818" s="5"/>
      <c r="N6818" s="5"/>
      <c r="O6818" s="5"/>
    </row>
    <row r="6819">
      <c r="A6819" s="6"/>
      <c r="C6819" s="6"/>
      <c r="L6819" s="7"/>
      <c r="M6819" s="5"/>
      <c r="N6819" s="5"/>
      <c r="O6819" s="5"/>
    </row>
    <row r="6820">
      <c r="A6820" s="6"/>
      <c r="C6820" s="6"/>
      <c r="L6820" s="7"/>
      <c r="M6820" s="5"/>
      <c r="N6820" s="5"/>
      <c r="O6820" s="5"/>
    </row>
    <row r="6821">
      <c r="A6821" s="6"/>
      <c r="C6821" s="6"/>
      <c r="L6821" s="7"/>
      <c r="M6821" s="5"/>
      <c r="N6821" s="5"/>
      <c r="O6821" s="5"/>
    </row>
    <row r="6822">
      <c r="A6822" s="6"/>
      <c r="C6822" s="6"/>
      <c r="L6822" s="7"/>
      <c r="M6822" s="5"/>
      <c r="N6822" s="5"/>
      <c r="O6822" s="5"/>
    </row>
    <row r="6823">
      <c r="A6823" s="6"/>
      <c r="C6823" s="6"/>
      <c r="L6823" s="7"/>
      <c r="M6823" s="5"/>
      <c r="N6823" s="5"/>
      <c r="O6823" s="5"/>
    </row>
    <row r="6824">
      <c r="A6824" s="6"/>
      <c r="C6824" s="6"/>
      <c r="L6824" s="7"/>
      <c r="M6824" s="5"/>
      <c r="N6824" s="5"/>
      <c r="O6824" s="5"/>
    </row>
    <row r="6825">
      <c r="A6825" s="6"/>
      <c r="C6825" s="6"/>
      <c r="L6825" s="7"/>
      <c r="M6825" s="5"/>
      <c r="N6825" s="5"/>
      <c r="O6825" s="5"/>
    </row>
    <row r="6826">
      <c r="A6826" s="6"/>
      <c r="C6826" s="6"/>
      <c r="L6826" s="7"/>
      <c r="M6826" s="5"/>
      <c r="N6826" s="5"/>
      <c r="O6826" s="5"/>
    </row>
    <row r="6827">
      <c r="A6827" s="6"/>
      <c r="C6827" s="6"/>
      <c r="L6827" s="7"/>
      <c r="M6827" s="5"/>
      <c r="N6827" s="5"/>
      <c r="O6827" s="5"/>
    </row>
    <row r="6828">
      <c r="A6828" s="6"/>
      <c r="C6828" s="6"/>
      <c r="L6828" s="7"/>
      <c r="M6828" s="5"/>
      <c r="N6828" s="5"/>
      <c r="O6828" s="5"/>
    </row>
    <row r="6829">
      <c r="A6829" s="6"/>
      <c r="C6829" s="6"/>
      <c r="L6829" s="7"/>
      <c r="M6829" s="5"/>
      <c r="N6829" s="5"/>
      <c r="O6829" s="5"/>
    </row>
    <row r="6830">
      <c r="A6830" s="6"/>
      <c r="C6830" s="6"/>
      <c r="L6830" s="7"/>
      <c r="M6830" s="5"/>
      <c r="N6830" s="5"/>
      <c r="O6830" s="5"/>
    </row>
    <row r="6831">
      <c r="A6831" s="6"/>
      <c r="C6831" s="6"/>
      <c r="L6831" s="7"/>
      <c r="M6831" s="5"/>
      <c r="N6831" s="5"/>
      <c r="O6831" s="5"/>
    </row>
    <row r="6832">
      <c r="A6832" s="6"/>
      <c r="C6832" s="6"/>
      <c r="L6832" s="7"/>
      <c r="M6832" s="5"/>
      <c r="N6832" s="5"/>
      <c r="O6832" s="5"/>
    </row>
    <row r="6833">
      <c r="A6833" s="6"/>
      <c r="C6833" s="6"/>
      <c r="L6833" s="7"/>
      <c r="M6833" s="5"/>
      <c r="N6833" s="5"/>
      <c r="O6833" s="5"/>
    </row>
    <row r="6834">
      <c r="A6834" s="6"/>
      <c r="C6834" s="6"/>
      <c r="L6834" s="7"/>
      <c r="M6834" s="5"/>
      <c r="N6834" s="5"/>
      <c r="O6834" s="5"/>
    </row>
    <row r="6835">
      <c r="A6835" s="6"/>
      <c r="C6835" s="6"/>
      <c r="L6835" s="7"/>
      <c r="M6835" s="5"/>
      <c r="N6835" s="5"/>
      <c r="O6835" s="5"/>
    </row>
    <row r="6836">
      <c r="A6836" s="6"/>
      <c r="C6836" s="6"/>
      <c r="L6836" s="7"/>
      <c r="M6836" s="5"/>
      <c r="N6836" s="5"/>
      <c r="O6836" s="5"/>
    </row>
    <row r="6837">
      <c r="A6837" s="6"/>
      <c r="C6837" s="6"/>
      <c r="L6837" s="7"/>
      <c r="M6837" s="5"/>
      <c r="N6837" s="5"/>
      <c r="O6837" s="5"/>
    </row>
    <row r="6838">
      <c r="A6838" s="6"/>
      <c r="C6838" s="6"/>
      <c r="L6838" s="7"/>
      <c r="M6838" s="5"/>
      <c r="N6838" s="5"/>
      <c r="O6838" s="5"/>
    </row>
    <row r="6839">
      <c r="A6839" s="6"/>
      <c r="C6839" s="6"/>
      <c r="L6839" s="7"/>
      <c r="M6839" s="5"/>
      <c r="N6839" s="5"/>
      <c r="O6839" s="5"/>
    </row>
    <row r="6840">
      <c r="A6840" s="6"/>
      <c r="C6840" s="6"/>
      <c r="L6840" s="7"/>
      <c r="M6840" s="5"/>
      <c r="N6840" s="5"/>
      <c r="O6840" s="5"/>
    </row>
    <row r="6841">
      <c r="A6841" s="6"/>
      <c r="C6841" s="6"/>
      <c r="L6841" s="7"/>
      <c r="M6841" s="5"/>
      <c r="N6841" s="5"/>
      <c r="O6841" s="5"/>
    </row>
    <row r="6842">
      <c r="A6842" s="6"/>
      <c r="C6842" s="6"/>
      <c r="L6842" s="7"/>
      <c r="M6842" s="5"/>
      <c r="N6842" s="5"/>
      <c r="O6842" s="5"/>
    </row>
    <row r="6843">
      <c r="A6843" s="6"/>
      <c r="C6843" s="6"/>
      <c r="L6843" s="7"/>
      <c r="M6843" s="5"/>
      <c r="N6843" s="5"/>
      <c r="O6843" s="5"/>
    </row>
    <row r="6844">
      <c r="A6844" s="6"/>
      <c r="C6844" s="6"/>
      <c r="L6844" s="7"/>
      <c r="M6844" s="5"/>
      <c r="N6844" s="5"/>
      <c r="O6844" s="5"/>
    </row>
    <row r="6845">
      <c r="A6845" s="6"/>
      <c r="C6845" s="6"/>
      <c r="L6845" s="7"/>
      <c r="M6845" s="5"/>
      <c r="N6845" s="5"/>
      <c r="O6845" s="5"/>
    </row>
    <row r="6846">
      <c r="A6846" s="6"/>
      <c r="C6846" s="6"/>
      <c r="L6846" s="7"/>
      <c r="M6846" s="5"/>
      <c r="N6846" s="5"/>
      <c r="O6846" s="5"/>
    </row>
    <row r="6847">
      <c r="A6847" s="6"/>
      <c r="C6847" s="6"/>
      <c r="L6847" s="7"/>
      <c r="M6847" s="5"/>
      <c r="N6847" s="5"/>
      <c r="O6847" s="5"/>
    </row>
    <row r="6848">
      <c r="A6848" s="6"/>
      <c r="C6848" s="6"/>
      <c r="L6848" s="7"/>
      <c r="M6848" s="5"/>
      <c r="N6848" s="5"/>
      <c r="O6848" s="5"/>
    </row>
    <row r="6849">
      <c r="A6849" s="6"/>
      <c r="C6849" s="6"/>
      <c r="L6849" s="7"/>
      <c r="M6849" s="5"/>
      <c r="N6849" s="5"/>
      <c r="O6849" s="5"/>
    </row>
    <row r="6850">
      <c r="A6850" s="6"/>
      <c r="C6850" s="6"/>
      <c r="L6850" s="7"/>
      <c r="M6850" s="5"/>
      <c r="N6850" s="5"/>
      <c r="O6850" s="5"/>
    </row>
    <row r="6851">
      <c r="A6851" s="6"/>
      <c r="C6851" s="6"/>
      <c r="L6851" s="7"/>
      <c r="M6851" s="5"/>
      <c r="N6851" s="5"/>
      <c r="O6851" s="5"/>
    </row>
    <row r="6852">
      <c r="A6852" s="6"/>
      <c r="C6852" s="6"/>
      <c r="L6852" s="7"/>
      <c r="M6852" s="5"/>
      <c r="N6852" s="5"/>
      <c r="O6852" s="5"/>
    </row>
    <row r="6853">
      <c r="A6853" s="6"/>
      <c r="C6853" s="6"/>
      <c r="L6853" s="7"/>
      <c r="M6853" s="5"/>
      <c r="N6853" s="5"/>
      <c r="O6853" s="5"/>
    </row>
    <row r="6854">
      <c r="A6854" s="6"/>
      <c r="C6854" s="6"/>
      <c r="L6854" s="7"/>
      <c r="M6854" s="5"/>
      <c r="N6854" s="5"/>
      <c r="O6854" s="5"/>
    </row>
    <row r="6855">
      <c r="A6855" s="6"/>
      <c r="C6855" s="6"/>
      <c r="L6855" s="7"/>
      <c r="M6855" s="5"/>
      <c r="N6855" s="5"/>
      <c r="O6855" s="5"/>
    </row>
    <row r="6856">
      <c r="A6856" s="6"/>
      <c r="C6856" s="6"/>
      <c r="L6856" s="7"/>
      <c r="M6856" s="5"/>
      <c r="N6856" s="5"/>
      <c r="O6856" s="5"/>
    </row>
    <row r="6857">
      <c r="A6857" s="6"/>
      <c r="C6857" s="6"/>
      <c r="L6857" s="7"/>
      <c r="M6857" s="5"/>
      <c r="N6857" s="5"/>
      <c r="O6857" s="5"/>
    </row>
    <row r="6858">
      <c r="A6858" s="6"/>
      <c r="C6858" s="6"/>
      <c r="L6858" s="7"/>
      <c r="M6858" s="5"/>
      <c r="N6858" s="5"/>
      <c r="O6858" s="5"/>
    </row>
    <row r="6859">
      <c r="A6859" s="6"/>
      <c r="C6859" s="6"/>
      <c r="L6859" s="7"/>
      <c r="M6859" s="5"/>
      <c r="N6859" s="5"/>
      <c r="O6859" s="5"/>
    </row>
    <row r="6860">
      <c r="A6860" s="6"/>
      <c r="C6860" s="6"/>
      <c r="L6860" s="7"/>
      <c r="M6860" s="5"/>
      <c r="N6860" s="5"/>
      <c r="O6860" s="5"/>
    </row>
    <row r="6861">
      <c r="A6861" s="6"/>
      <c r="C6861" s="6"/>
      <c r="L6861" s="7"/>
      <c r="M6861" s="5"/>
      <c r="N6861" s="5"/>
      <c r="O6861" s="5"/>
    </row>
    <row r="6862">
      <c r="A6862" s="6"/>
      <c r="C6862" s="6"/>
      <c r="L6862" s="7"/>
      <c r="M6862" s="5"/>
      <c r="N6862" s="5"/>
      <c r="O6862" s="5"/>
    </row>
    <row r="6863">
      <c r="A6863" s="6"/>
      <c r="C6863" s="6"/>
      <c r="L6863" s="7"/>
      <c r="M6863" s="5"/>
      <c r="N6863" s="5"/>
      <c r="O6863" s="5"/>
    </row>
    <row r="6864">
      <c r="A6864" s="6"/>
      <c r="C6864" s="6"/>
      <c r="L6864" s="7"/>
      <c r="M6864" s="5"/>
      <c r="N6864" s="5"/>
      <c r="O6864" s="5"/>
    </row>
    <row r="6865">
      <c r="A6865" s="6"/>
      <c r="C6865" s="6"/>
      <c r="L6865" s="7"/>
      <c r="M6865" s="5"/>
      <c r="N6865" s="5"/>
      <c r="O6865" s="5"/>
    </row>
    <row r="6866">
      <c r="A6866" s="6"/>
      <c r="C6866" s="6"/>
      <c r="L6866" s="7"/>
      <c r="M6866" s="5"/>
      <c r="N6866" s="5"/>
      <c r="O6866" s="5"/>
    </row>
    <row r="6867">
      <c r="A6867" s="6"/>
      <c r="C6867" s="6"/>
      <c r="L6867" s="7"/>
      <c r="M6867" s="5"/>
      <c r="N6867" s="5"/>
      <c r="O6867" s="5"/>
    </row>
    <row r="6868">
      <c r="A6868" s="6"/>
      <c r="C6868" s="6"/>
      <c r="L6868" s="7"/>
      <c r="M6868" s="5"/>
      <c r="N6868" s="5"/>
      <c r="O6868" s="5"/>
    </row>
    <row r="6869">
      <c r="A6869" s="6"/>
      <c r="C6869" s="6"/>
      <c r="L6869" s="7"/>
      <c r="M6869" s="5"/>
      <c r="N6869" s="5"/>
      <c r="O6869" s="5"/>
    </row>
    <row r="6870">
      <c r="A6870" s="6"/>
      <c r="C6870" s="6"/>
      <c r="L6870" s="7"/>
      <c r="M6870" s="5"/>
      <c r="N6870" s="5"/>
      <c r="O6870" s="5"/>
    </row>
    <row r="6871">
      <c r="A6871" s="6"/>
      <c r="C6871" s="6"/>
      <c r="L6871" s="7"/>
      <c r="M6871" s="5"/>
      <c r="N6871" s="5"/>
      <c r="O6871" s="5"/>
    </row>
    <row r="6872">
      <c r="A6872" s="6"/>
      <c r="C6872" s="6"/>
      <c r="L6872" s="7"/>
      <c r="M6872" s="5"/>
      <c r="N6872" s="5"/>
      <c r="O6872" s="5"/>
    </row>
    <row r="6873">
      <c r="A6873" s="6"/>
      <c r="C6873" s="6"/>
      <c r="L6873" s="7"/>
      <c r="M6873" s="5"/>
      <c r="N6873" s="5"/>
      <c r="O6873" s="5"/>
    </row>
    <row r="6874">
      <c r="A6874" s="6"/>
      <c r="C6874" s="6"/>
      <c r="L6874" s="7"/>
      <c r="M6874" s="5"/>
      <c r="N6874" s="5"/>
      <c r="O6874" s="5"/>
    </row>
    <row r="6875">
      <c r="A6875" s="6"/>
      <c r="C6875" s="6"/>
      <c r="L6875" s="7"/>
      <c r="M6875" s="5"/>
      <c r="N6875" s="5"/>
      <c r="O6875" s="5"/>
    </row>
    <row r="6876">
      <c r="A6876" s="6"/>
      <c r="C6876" s="6"/>
      <c r="L6876" s="7"/>
      <c r="M6876" s="5"/>
      <c r="N6876" s="5"/>
      <c r="O6876" s="5"/>
    </row>
    <row r="6877">
      <c r="A6877" s="6"/>
      <c r="C6877" s="6"/>
      <c r="L6877" s="7"/>
      <c r="M6877" s="5"/>
      <c r="N6877" s="5"/>
      <c r="O6877" s="5"/>
    </row>
    <row r="6878">
      <c r="A6878" s="6"/>
      <c r="C6878" s="6"/>
      <c r="L6878" s="7"/>
      <c r="M6878" s="5"/>
      <c r="N6878" s="5"/>
      <c r="O6878" s="5"/>
    </row>
    <row r="6879">
      <c r="A6879" s="6"/>
      <c r="C6879" s="6"/>
      <c r="L6879" s="7"/>
      <c r="M6879" s="5"/>
      <c r="N6879" s="5"/>
      <c r="O6879" s="5"/>
    </row>
    <row r="6880">
      <c r="A6880" s="6"/>
      <c r="C6880" s="6"/>
      <c r="L6880" s="7"/>
      <c r="M6880" s="5"/>
      <c r="N6880" s="5"/>
      <c r="O6880" s="5"/>
    </row>
    <row r="6881">
      <c r="A6881" s="6"/>
      <c r="C6881" s="6"/>
      <c r="L6881" s="7"/>
      <c r="M6881" s="5"/>
      <c r="N6881" s="5"/>
      <c r="O6881" s="5"/>
    </row>
    <row r="6882">
      <c r="A6882" s="6"/>
      <c r="C6882" s="6"/>
      <c r="L6882" s="7"/>
      <c r="M6882" s="5"/>
      <c r="N6882" s="5"/>
      <c r="O6882" s="5"/>
    </row>
    <row r="6883">
      <c r="A6883" s="6"/>
      <c r="C6883" s="6"/>
      <c r="L6883" s="7"/>
      <c r="M6883" s="5"/>
      <c r="N6883" s="5"/>
      <c r="O6883" s="5"/>
    </row>
    <row r="6884">
      <c r="A6884" s="6"/>
      <c r="C6884" s="6"/>
      <c r="L6884" s="7"/>
      <c r="M6884" s="5"/>
      <c r="N6884" s="5"/>
      <c r="O6884" s="5"/>
    </row>
    <row r="6885">
      <c r="A6885" s="6"/>
      <c r="C6885" s="6"/>
      <c r="L6885" s="7"/>
      <c r="M6885" s="5"/>
      <c r="N6885" s="5"/>
      <c r="O6885" s="5"/>
    </row>
    <row r="6886">
      <c r="A6886" s="6"/>
      <c r="C6886" s="6"/>
      <c r="L6886" s="7"/>
      <c r="M6886" s="5"/>
      <c r="N6886" s="5"/>
      <c r="O6886" s="5"/>
    </row>
    <row r="6887">
      <c r="A6887" s="6"/>
      <c r="C6887" s="6"/>
      <c r="L6887" s="7"/>
      <c r="M6887" s="5"/>
      <c r="N6887" s="5"/>
      <c r="O6887" s="5"/>
    </row>
    <row r="6888">
      <c r="A6888" s="6"/>
      <c r="C6888" s="6"/>
      <c r="L6888" s="7"/>
      <c r="M6888" s="5"/>
      <c r="N6888" s="5"/>
      <c r="O6888" s="5"/>
    </row>
    <row r="6889">
      <c r="A6889" s="6"/>
      <c r="C6889" s="6"/>
      <c r="L6889" s="7"/>
      <c r="M6889" s="5"/>
      <c r="N6889" s="5"/>
      <c r="O6889" s="5"/>
    </row>
    <row r="6890">
      <c r="A6890" s="6"/>
      <c r="C6890" s="6"/>
      <c r="L6890" s="7"/>
      <c r="M6890" s="5"/>
      <c r="N6890" s="5"/>
      <c r="O6890" s="5"/>
    </row>
    <row r="6891">
      <c r="A6891" s="6"/>
      <c r="C6891" s="6"/>
      <c r="L6891" s="7"/>
      <c r="M6891" s="5"/>
      <c r="N6891" s="5"/>
      <c r="O6891" s="5"/>
    </row>
    <row r="6892">
      <c r="A6892" s="6"/>
      <c r="C6892" s="6"/>
      <c r="L6892" s="7"/>
      <c r="M6892" s="5"/>
      <c r="N6892" s="5"/>
      <c r="O6892" s="5"/>
    </row>
    <row r="6893">
      <c r="A6893" s="6"/>
      <c r="C6893" s="6"/>
      <c r="L6893" s="7"/>
      <c r="M6893" s="5"/>
      <c r="N6893" s="5"/>
      <c r="O6893" s="5"/>
    </row>
    <row r="6894">
      <c r="A6894" s="6"/>
      <c r="C6894" s="6"/>
      <c r="L6894" s="7"/>
      <c r="M6894" s="5"/>
      <c r="N6894" s="5"/>
      <c r="O6894" s="5"/>
    </row>
    <row r="6895">
      <c r="A6895" s="6"/>
      <c r="C6895" s="6"/>
      <c r="L6895" s="7"/>
      <c r="M6895" s="5"/>
      <c r="N6895" s="5"/>
      <c r="O6895" s="5"/>
    </row>
    <row r="6896">
      <c r="A6896" s="6"/>
      <c r="C6896" s="6"/>
      <c r="L6896" s="7"/>
      <c r="M6896" s="5"/>
      <c r="N6896" s="5"/>
      <c r="O6896" s="5"/>
    </row>
    <row r="6897">
      <c r="A6897" s="6"/>
      <c r="C6897" s="6"/>
      <c r="L6897" s="7"/>
      <c r="M6897" s="5"/>
      <c r="N6897" s="5"/>
      <c r="O6897" s="5"/>
    </row>
    <row r="6898">
      <c r="A6898" s="6"/>
      <c r="C6898" s="6"/>
      <c r="L6898" s="7"/>
      <c r="M6898" s="5"/>
      <c r="N6898" s="5"/>
      <c r="O6898" s="5"/>
    </row>
    <row r="6899">
      <c r="A6899" s="6"/>
      <c r="C6899" s="6"/>
      <c r="L6899" s="7"/>
      <c r="M6899" s="5"/>
      <c r="N6899" s="5"/>
      <c r="O6899" s="5"/>
    </row>
    <row r="6900">
      <c r="A6900" s="6"/>
      <c r="C6900" s="6"/>
      <c r="L6900" s="7"/>
      <c r="M6900" s="5"/>
      <c r="N6900" s="5"/>
      <c r="O6900" s="5"/>
    </row>
    <row r="6901">
      <c r="A6901" s="6"/>
      <c r="C6901" s="6"/>
      <c r="L6901" s="7"/>
      <c r="M6901" s="5"/>
      <c r="N6901" s="5"/>
      <c r="O6901" s="5"/>
    </row>
    <row r="6902">
      <c r="A6902" s="6"/>
      <c r="C6902" s="6"/>
      <c r="L6902" s="7"/>
      <c r="M6902" s="5"/>
      <c r="N6902" s="5"/>
      <c r="O6902" s="5"/>
    </row>
    <row r="6903">
      <c r="A6903" s="6"/>
      <c r="C6903" s="6"/>
      <c r="L6903" s="7"/>
      <c r="M6903" s="5"/>
      <c r="N6903" s="5"/>
      <c r="O6903" s="5"/>
    </row>
    <row r="6904">
      <c r="A6904" s="6"/>
      <c r="C6904" s="6"/>
      <c r="L6904" s="7"/>
      <c r="M6904" s="5"/>
      <c r="N6904" s="5"/>
      <c r="O6904" s="5"/>
    </row>
    <row r="6905">
      <c r="A6905" s="6"/>
      <c r="C6905" s="6"/>
      <c r="L6905" s="7"/>
      <c r="M6905" s="5"/>
      <c r="N6905" s="5"/>
      <c r="O6905" s="5"/>
    </row>
    <row r="6906">
      <c r="A6906" s="6"/>
      <c r="C6906" s="6"/>
      <c r="L6906" s="7"/>
      <c r="M6906" s="5"/>
      <c r="N6906" s="5"/>
      <c r="O6906" s="5"/>
    </row>
    <row r="6907">
      <c r="A6907" s="6"/>
      <c r="C6907" s="6"/>
      <c r="L6907" s="7"/>
      <c r="M6907" s="5"/>
      <c r="N6907" s="5"/>
      <c r="O6907" s="5"/>
    </row>
    <row r="6908">
      <c r="A6908" s="6"/>
      <c r="C6908" s="6"/>
      <c r="L6908" s="7"/>
      <c r="M6908" s="5"/>
      <c r="N6908" s="5"/>
      <c r="O6908" s="5"/>
    </row>
    <row r="6909">
      <c r="A6909" s="6"/>
      <c r="C6909" s="6"/>
      <c r="L6909" s="7"/>
      <c r="M6909" s="5"/>
      <c r="N6909" s="5"/>
      <c r="O6909" s="5"/>
    </row>
    <row r="6910">
      <c r="A6910" s="6"/>
      <c r="C6910" s="6"/>
      <c r="L6910" s="7"/>
      <c r="M6910" s="5"/>
      <c r="N6910" s="5"/>
      <c r="O6910" s="5"/>
    </row>
    <row r="6911">
      <c r="A6911" s="6"/>
      <c r="C6911" s="6"/>
      <c r="L6911" s="7"/>
      <c r="M6911" s="5"/>
      <c r="N6911" s="5"/>
      <c r="O6911" s="5"/>
    </row>
    <row r="6912">
      <c r="A6912" s="6"/>
      <c r="C6912" s="6"/>
      <c r="L6912" s="7"/>
      <c r="M6912" s="5"/>
      <c r="N6912" s="5"/>
      <c r="O6912" s="5"/>
    </row>
    <row r="6913">
      <c r="A6913" s="6"/>
      <c r="C6913" s="6"/>
      <c r="L6913" s="7"/>
      <c r="M6913" s="5"/>
      <c r="N6913" s="5"/>
      <c r="O6913" s="5"/>
    </row>
    <row r="6914">
      <c r="A6914" s="6"/>
      <c r="C6914" s="6"/>
      <c r="L6914" s="7"/>
      <c r="M6914" s="5"/>
      <c r="N6914" s="5"/>
      <c r="O6914" s="5"/>
    </row>
    <row r="6915">
      <c r="A6915" s="6"/>
      <c r="C6915" s="6"/>
      <c r="L6915" s="7"/>
      <c r="M6915" s="5"/>
      <c r="N6915" s="5"/>
      <c r="O6915" s="5"/>
    </row>
    <row r="6916">
      <c r="A6916" s="6"/>
      <c r="C6916" s="6"/>
      <c r="L6916" s="7"/>
      <c r="M6916" s="5"/>
      <c r="N6916" s="5"/>
      <c r="O6916" s="5"/>
    </row>
    <row r="6917">
      <c r="A6917" s="6"/>
      <c r="C6917" s="6"/>
      <c r="L6917" s="7"/>
      <c r="M6917" s="5"/>
      <c r="N6917" s="5"/>
      <c r="O6917" s="5"/>
    </row>
    <row r="6918">
      <c r="A6918" s="6"/>
      <c r="C6918" s="6"/>
      <c r="L6918" s="7"/>
      <c r="M6918" s="5"/>
      <c r="N6918" s="5"/>
      <c r="O6918" s="5"/>
    </row>
    <row r="6919">
      <c r="A6919" s="6"/>
      <c r="C6919" s="6"/>
      <c r="L6919" s="7"/>
      <c r="M6919" s="5"/>
      <c r="N6919" s="5"/>
      <c r="O6919" s="5"/>
    </row>
    <row r="6920">
      <c r="A6920" s="6"/>
      <c r="C6920" s="6"/>
      <c r="L6920" s="7"/>
      <c r="M6920" s="5"/>
      <c r="N6920" s="5"/>
      <c r="O6920" s="5"/>
    </row>
    <row r="6921">
      <c r="A6921" s="6"/>
      <c r="C6921" s="6"/>
      <c r="L6921" s="7"/>
      <c r="M6921" s="5"/>
      <c r="N6921" s="5"/>
      <c r="O6921" s="5"/>
    </row>
    <row r="6922">
      <c r="A6922" s="6"/>
      <c r="C6922" s="6"/>
      <c r="L6922" s="7"/>
      <c r="M6922" s="5"/>
      <c r="N6922" s="5"/>
      <c r="O6922" s="5"/>
    </row>
    <row r="6923">
      <c r="A6923" s="6"/>
      <c r="C6923" s="6"/>
      <c r="L6923" s="7"/>
      <c r="M6923" s="5"/>
      <c r="N6923" s="5"/>
      <c r="O6923" s="5"/>
    </row>
    <row r="6924">
      <c r="A6924" s="6"/>
      <c r="C6924" s="6"/>
      <c r="L6924" s="7"/>
      <c r="M6924" s="5"/>
      <c r="N6924" s="5"/>
      <c r="O6924" s="5"/>
    </row>
    <row r="6925">
      <c r="A6925" s="6"/>
      <c r="C6925" s="6"/>
      <c r="L6925" s="7"/>
      <c r="M6925" s="5"/>
      <c r="N6925" s="5"/>
      <c r="O6925" s="5"/>
    </row>
    <row r="6926">
      <c r="A6926" s="6"/>
      <c r="C6926" s="6"/>
      <c r="L6926" s="7"/>
      <c r="M6926" s="5"/>
      <c r="N6926" s="5"/>
      <c r="O6926" s="5"/>
    </row>
    <row r="6927">
      <c r="A6927" s="6"/>
      <c r="C6927" s="6"/>
      <c r="L6927" s="7"/>
      <c r="M6927" s="5"/>
      <c r="N6927" s="5"/>
      <c r="O6927" s="5"/>
    </row>
    <row r="6928">
      <c r="A6928" s="6"/>
      <c r="C6928" s="6"/>
      <c r="L6928" s="7"/>
      <c r="M6928" s="5"/>
      <c r="N6928" s="5"/>
      <c r="O6928" s="5"/>
    </row>
    <row r="6929">
      <c r="A6929" s="6"/>
      <c r="C6929" s="6"/>
      <c r="L6929" s="7"/>
      <c r="M6929" s="5"/>
      <c r="N6929" s="5"/>
      <c r="O6929" s="5"/>
    </row>
    <row r="6930">
      <c r="A6930" s="6"/>
      <c r="C6930" s="6"/>
      <c r="L6930" s="7"/>
      <c r="M6930" s="5"/>
      <c r="N6930" s="5"/>
      <c r="O6930" s="5"/>
    </row>
    <row r="6931">
      <c r="A6931" s="6"/>
      <c r="C6931" s="6"/>
      <c r="L6931" s="7"/>
      <c r="M6931" s="5"/>
      <c r="N6931" s="5"/>
      <c r="O6931" s="5"/>
    </row>
    <row r="6932">
      <c r="A6932" s="6"/>
      <c r="C6932" s="6"/>
      <c r="L6932" s="7"/>
      <c r="M6932" s="5"/>
      <c r="N6932" s="5"/>
      <c r="O6932" s="5"/>
    </row>
    <row r="6933">
      <c r="A6933" s="6"/>
      <c r="C6933" s="6"/>
      <c r="L6933" s="7"/>
      <c r="M6933" s="5"/>
      <c r="N6933" s="5"/>
      <c r="O6933" s="5"/>
    </row>
    <row r="6934">
      <c r="A6934" s="6"/>
      <c r="C6934" s="6"/>
      <c r="L6934" s="7"/>
      <c r="M6934" s="5"/>
      <c r="N6934" s="5"/>
      <c r="O6934" s="5"/>
    </row>
    <row r="6935">
      <c r="A6935" s="6"/>
      <c r="C6935" s="6"/>
      <c r="L6935" s="7"/>
      <c r="M6935" s="5"/>
      <c r="N6935" s="5"/>
      <c r="O6935" s="5"/>
    </row>
    <row r="6936">
      <c r="A6936" s="6"/>
      <c r="C6936" s="6"/>
      <c r="L6936" s="7"/>
      <c r="M6936" s="5"/>
      <c r="N6936" s="5"/>
      <c r="O6936" s="5"/>
    </row>
    <row r="6937">
      <c r="A6937" s="6"/>
      <c r="C6937" s="6"/>
      <c r="L6937" s="7"/>
      <c r="M6937" s="5"/>
      <c r="N6937" s="5"/>
      <c r="O6937" s="5"/>
    </row>
    <row r="6938">
      <c r="A6938" s="6"/>
      <c r="C6938" s="6"/>
      <c r="L6938" s="7"/>
      <c r="M6938" s="5"/>
      <c r="N6938" s="5"/>
      <c r="O6938" s="5"/>
    </row>
    <row r="6939">
      <c r="A6939" s="6"/>
      <c r="C6939" s="6"/>
      <c r="L6939" s="7"/>
      <c r="M6939" s="5"/>
      <c r="N6939" s="5"/>
      <c r="O6939" s="5"/>
    </row>
    <row r="6940">
      <c r="A6940" s="6"/>
      <c r="C6940" s="6"/>
      <c r="L6940" s="7"/>
      <c r="M6940" s="5"/>
      <c r="N6940" s="5"/>
      <c r="O6940" s="5"/>
    </row>
    <row r="6941">
      <c r="A6941" s="6"/>
      <c r="C6941" s="6"/>
      <c r="L6941" s="7"/>
      <c r="M6941" s="5"/>
      <c r="N6941" s="5"/>
      <c r="O6941" s="5"/>
    </row>
    <row r="6942">
      <c r="A6942" s="6"/>
      <c r="C6942" s="6"/>
      <c r="L6942" s="7"/>
      <c r="M6942" s="5"/>
      <c r="N6942" s="5"/>
      <c r="O6942" s="5"/>
    </row>
    <row r="6943">
      <c r="A6943" s="6"/>
      <c r="C6943" s="6"/>
      <c r="L6943" s="7"/>
      <c r="M6943" s="5"/>
      <c r="N6943" s="5"/>
      <c r="O6943" s="5"/>
    </row>
    <row r="6944">
      <c r="A6944" s="6"/>
      <c r="C6944" s="6"/>
      <c r="L6944" s="7"/>
      <c r="M6944" s="5"/>
      <c r="N6944" s="5"/>
      <c r="O6944" s="5"/>
    </row>
    <row r="6945">
      <c r="A6945" s="6"/>
      <c r="C6945" s="6"/>
      <c r="L6945" s="7"/>
      <c r="M6945" s="5"/>
      <c r="N6945" s="5"/>
      <c r="O6945" s="5"/>
    </row>
    <row r="6946">
      <c r="A6946" s="6"/>
      <c r="C6946" s="6"/>
      <c r="L6946" s="7"/>
      <c r="M6946" s="5"/>
      <c r="N6946" s="5"/>
      <c r="O6946" s="5"/>
    </row>
    <row r="6947">
      <c r="A6947" s="6"/>
      <c r="C6947" s="6"/>
      <c r="L6947" s="7"/>
      <c r="M6947" s="5"/>
      <c r="N6947" s="5"/>
      <c r="O6947" s="5"/>
    </row>
    <row r="6948">
      <c r="A6948" s="6"/>
      <c r="C6948" s="6"/>
      <c r="L6948" s="7"/>
      <c r="M6948" s="5"/>
      <c r="N6948" s="5"/>
      <c r="O6948" s="5"/>
    </row>
    <row r="6949">
      <c r="A6949" s="6"/>
      <c r="C6949" s="6"/>
      <c r="L6949" s="7"/>
      <c r="M6949" s="5"/>
      <c r="N6949" s="5"/>
      <c r="O6949" s="5"/>
    </row>
    <row r="6950">
      <c r="A6950" s="6"/>
      <c r="C6950" s="6"/>
      <c r="L6950" s="7"/>
      <c r="M6950" s="5"/>
      <c r="N6950" s="5"/>
      <c r="O6950" s="5"/>
    </row>
    <row r="6951">
      <c r="A6951" s="6"/>
      <c r="C6951" s="6"/>
      <c r="L6951" s="7"/>
      <c r="M6951" s="5"/>
      <c r="N6951" s="5"/>
      <c r="O6951" s="5"/>
    </row>
    <row r="6952">
      <c r="A6952" s="6"/>
      <c r="C6952" s="6"/>
      <c r="L6952" s="7"/>
      <c r="M6952" s="5"/>
      <c r="N6952" s="5"/>
      <c r="O6952" s="5"/>
    </row>
    <row r="6953">
      <c r="A6953" s="6"/>
      <c r="C6953" s="6"/>
      <c r="L6953" s="7"/>
      <c r="M6953" s="5"/>
      <c r="N6953" s="5"/>
      <c r="O6953" s="5"/>
    </row>
    <row r="6954">
      <c r="A6954" s="6"/>
      <c r="C6954" s="6"/>
      <c r="L6954" s="7"/>
      <c r="M6954" s="5"/>
      <c r="N6954" s="5"/>
      <c r="O6954" s="5"/>
    </row>
    <row r="6955">
      <c r="A6955" s="6"/>
      <c r="C6955" s="6"/>
      <c r="L6955" s="7"/>
      <c r="M6955" s="5"/>
      <c r="N6955" s="5"/>
      <c r="O6955" s="5"/>
    </row>
    <row r="6956">
      <c r="A6956" s="6"/>
      <c r="C6956" s="6"/>
      <c r="L6956" s="7"/>
      <c r="M6956" s="5"/>
      <c r="N6956" s="5"/>
      <c r="O6956" s="5"/>
    </row>
    <row r="6957">
      <c r="A6957" s="6"/>
      <c r="C6957" s="6"/>
      <c r="L6957" s="7"/>
      <c r="M6957" s="5"/>
      <c r="N6957" s="5"/>
      <c r="O6957" s="5"/>
    </row>
    <row r="6958">
      <c r="A6958" s="6"/>
      <c r="C6958" s="6"/>
      <c r="L6958" s="7"/>
      <c r="M6958" s="5"/>
      <c r="N6958" s="5"/>
      <c r="O6958" s="5"/>
    </row>
    <row r="6959">
      <c r="A6959" s="6"/>
      <c r="C6959" s="6"/>
      <c r="L6959" s="7"/>
      <c r="M6959" s="5"/>
      <c r="N6959" s="5"/>
      <c r="O6959" s="5"/>
    </row>
    <row r="6960">
      <c r="A6960" s="6"/>
      <c r="C6960" s="6"/>
      <c r="L6960" s="7"/>
      <c r="M6960" s="5"/>
      <c r="N6960" s="5"/>
      <c r="O6960" s="5"/>
    </row>
    <row r="6961">
      <c r="A6961" s="6"/>
      <c r="C6961" s="6"/>
      <c r="L6961" s="7"/>
      <c r="M6961" s="5"/>
      <c r="N6961" s="5"/>
      <c r="O6961" s="5"/>
    </row>
    <row r="6962">
      <c r="A6962" s="6"/>
      <c r="C6962" s="6"/>
      <c r="L6962" s="7"/>
      <c r="M6962" s="5"/>
      <c r="N6962" s="5"/>
      <c r="O6962" s="5"/>
    </row>
    <row r="6963">
      <c r="A6963" s="6"/>
      <c r="C6963" s="6"/>
      <c r="L6963" s="7"/>
      <c r="M6963" s="5"/>
      <c r="N6963" s="5"/>
      <c r="O6963" s="5"/>
    </row>
    <row r="6964">
      <c r="A6964" s="6"/>
      <c r="C6964" s="6"/>
      <c r="L6964" s="7"/>
      <c r="M6964" s="5"/>
      <c r="N6964" s="5"/>
      <c r="O6964" s="5"/>
    </row>
    <row r="6965">
      <c r="A6965" s="6"/>
      <c r="C6965" s="6"/>
      <c r="L6965" s="7"/>
      <c r="M6965" s="5"/>
      <c r="N6965" s="5"/>
      <c r="O6965" s="5"/>
    </row>
    <row r="6966">
      <c r="A6966" s="6"/>
      <c r="C6966" s="6"/>
      <c r="L6966" s="7"/>
      <c r="M6966" s="5"/>
      <c r="N6966" s="5"/>
      <c r="O6966" s="5"/>
    </row>
    <row r="6967">
      <c r="A6967" s="6"/>
      <c r="C6967" s="6"/>
      <c r="L6967" s="7"/>
      <c r="M6967" s="5"/>
      <c r="N6967" s="5"/>
      <c r="O6967" s="5"/>
    </row>
    <row r="6968">
      <c r="A6968" s="6"/>
      <c r="C6968" s="6"/>
      <c r="L6968" s="7"/>
      <c r="M6968" s="5"/>
      <c r="N6968" s="5"/>
      <c r="O6968" s="5"/>
    </row>
    <row r="6969">
      <c r="A6969" s="6"/>
      <c r="C6969" s="6"/>
      <c r="L6969" s="7"/>
      <c r="M6969" s="5"/>
      <c r="N6969" s="5"/>
      <c r="O6969" s="5"/>
    </row>
    <row r="6970">
      <c r="A6970" s="6"/>
      <c r="C6970" s="6"/>
      <c r="L6970" s="7"/>
      <c r="M6970" s="5"/>
      <c r="N6970" s="5"/>
      <c r="O6970" s="5"/>
    </row>
    <row r="6971">
      <c r="A6971" s="6"/>
      <c r="C6971" s="6"/>
      <c r="L6971" s="7"/>
      <c r="M6971" s="5"/>
      <c r="N6971" s="5"/>
      <c r="O6971" s="5"/>
    </row>
    <row r="6972">
      <c r="A6972" s="6"/>
      <c r="C6972" s="6"/>
      <c r="L6972" s="7"/>
      <c r="M6972" s="5"/>
      <c r="N6972" s="5"/>
      <c r="O6972" s="5"/>
    </row>
    <row r="6973">
      <c r="A6973" s="6"/>
      <c r="C6973" s="6"/>
      <c r="L6973" s="7"/>
      <c r="M6973" s="5"/>
      <c r="N6973" s="5"/>
      <c r="O6973" s="5"/>
    </row>
    <row r="6974">
      <c r="A6974" s="6"/>
      <c r="C6974" s="6"/>
      <c r="L6974" s="7"/>
      <c r="M6974" s="5"/>
      <c r="N6974" s="5"/>
      <c r="O6974" s="5"/>
    </row>
    <row r="6975">
      <c r="A6975" s="6"/>
      <c r="C6975" s="6"/>
      <c r="L6975" s="7"/>
      <c r="M6975" s="5"/>
      <c r="N6975" s="5"/>
      <c r="O6975" s="5"/>
    </row>
    <row r="6976">
      <c r="A6976" s="6"/>
      <c r="C6976" s="6"/>
      <c r="L6976" s="7"/>
      <c r="M6976" s="5"/>
      <c r="N6976" s="5"/>
      <c r="O6976" s="5"/>
    </row>
    <row r="6977">
      <c r="A6977" s="6"/>
      <c r="C6977" s="6"/>
      <c r="L6977" s="7"/>
      <c r="M6977" s="5"/>
      <c r="N6977" s="5"/>
      <c r="O6977" s="5"/>
    </row>
    <row r="6978">
      <c r="A6978" s="6"/>
      <c r="C6978" s="6"/>
      <c r="L6978" s="7"/>
      <c r="M6978" s="5"/>
      <c r="N6978" s="5"/>
      <c r="O6978" s="5"/>
    </row>
    <row r="6979">
      <c r="A6979" s="6"/>
      <c r="C6979" s="6"/>
      <c r="L6979" s="7"/>
      <c r="M6979" s="5"/>
      <c r="N6979" s="5"/>
      <c r="O6979" s="5"/>
    </row>
    <row r="6980">
      <c r="A6980" s="6"/>
      <c r="C6980" s="6"/>
      <c r="L6980" s="7"/>
      <c r="M6980" s="5"/>
      <c r="N6980" s="5"/>
      <c r="O6980" s="5"/>
    </row>
    <row r="6981">
      <c r="A6981" s="6"/>
      <c r="C6981" s="6"/>
      <c r="L6981" s="7"/>
      <c r="M6981" s="5"/>
      <c r="N6981" s="5"/>
      <c r="O6981" s="5"/>
    </row>
    <row r="6982">
      <c r="A6982" s="6"/>
      <c r="C6982" s="6"/>
      <c r="L6982" s="7"/>
      <c r="M6982" s="5"/>
      <c r="N6982" s="5"/>
      <c r="O6982" s="5"/>
    </row>
    <row r="6983">
      <c r="A6983" s="6"/>
      <c r="C6983" s="6"/>
      <c r="L6983" s="7"/>
      <c r="M6983" s="5"/>
      <c r="N6983" s="5"/>
      <c r="O6983" s="5"/>
    </row>
    <row r="6984">
      <c r="A6984" s="6"/>
      <c r="C6984" s="6"/>
      <c r="L6984" s="7"/>
      <c r="M6984" s="5"/>
      <c r="N6984" s="5"/>
      <c r="O6984" s="5"/>
    </row>
    <row r="6985">
      <c r="A6985" s="6"/>
      <c r="C6985" s="6"/>
      <c r="L6985" s="7"/>
      <c r="M6985" s="5"/>
      <c r="N6985" s="5"/>
      <c r="O6985" s="5"/>
    </row>
    <row r="6986">
      <c r="A6986" s="6"/>
      <c r="C6986" s="6"/>
      <c r="L6986" s="7"/>
      <c r="M6986" s="5"/>
      <c r="N6986" s="5"/>
      <c r="O6986" s="5"/>
    </row>
    <row r="6987">
      <c r="A6987" s="6"/>
      <c r="C6987" s="6"/>
      <c r="L6987" s="7"/>
      <c r="M6987" s="5"/>
      <c r="N6987" s="5"/>
      <c r="O6987" s="5"/>
    </row>
    <row r="6988">
      <c r="A6988" s="6"/>
      <c r="C6988" s="6"/>
      <c r="L6988" s="7"/>
      <c r="M6988" s="5"/>
      <c r="N6988" s="5"/>
      <c r="O6988" s="5"/>
    </row>
    <row r="6989">
      <c r="A6989" s="6"/>
      <c r="C6989" s="6"/>
      <c r="L6989" s="7"/>
      <c r="M6989" s="5"/>
      <c r="N6989" s="5"/>
      <c r="O6989" s="5"/>
    </row>
    <row r="6990">
      <c r="A6990" s="6"/>
      <c r="C6990" s="6"/>
      <c r="L6990" s="7"/>
      <c r="M6990" s="5"/>
      <c r="N6990" s="5"/>
      <c r="O6990" s="5"/>
    </row>
    <row r="6991">
      <c r="A6991" s="6"/>
      <c r="C6991" s="6"/>
      <c r="L6991" s="7"/>
      <c r="M6991" s="5"/>
      <c r="N6991" s="5"/>
      <c r="O6991" s="5"/>
    </row>
    <row r="6992">
      <c r="A6992" s="6"/>
      <c r="C6992" s="6"/>
      <c r="L6992" s="7"/>
      <c r="M6992" s="5"/>
      <c r="N6992" s="5"/>
      <c r="O6992" s="5"/>
    </row>
    <row r="6993">
      <c r="A6993" s="6"/>
      <c r="C6993" s="6"/>
      <c r="L6993" s="7"/>
      <c r="M6993" s="5"/>
      <c r="N6993" s="5"/>
      <c r="O6993" s="5"/>
    </row>
    <row r="6994">
      <c r="A6994" s="6"/>
      <c r="C6994" s="6"/>
      <c r="L6994" s="7"/>
      <c r="M6994" s="5"/>
      <c r="N6994" s="5"/>
      <c r="O6994" s="5"/>
    </row>
    <row r="6995">
      <c r="A6995" s="6"/>
      <c r="C6995" s="6"/>
      <c r="L6995" s="7"/>
      <c r="M6995" s="5"/>
      <c r="N6995" s="5"/>
      <c r="O6995" s="5"/>
    </row>
    <row r="6996">
      <c r="A6996" s="6"/>
      <c r="C6996" s="6"/>
      <c r="L6996" s="7"/>
      <c r="M6996" s="5"/>
      <c r="N6996" s="5"/>
      <c r="O6996" s="5"/>
    </row>
    <row r="6997">
      <c r="A6997" s="6"/>
      <c r="C6997" s="6"/>
      <c r="L6997" s="7"/>
      <c r="M6997" s="5"/>
      <c r="N6997" s="5"/>
      <c r="O6997" s="5"/>
    </row>
    <row r="6998">
      <c r="A6998" s="6"/>
      <c r="C6998" s="6"/>
      <c r="L6998" s="7"/>
      <c r="M6998" s="5"/>
      <c r="N6998" s="5"/>
      <c r="O6998" s="5"/>
    </row>
    <row r="6999">
      <c r="A6999" s="6"/>
      <c r="C6999" s="6"/>
      <c r="L6999" s="7"/>
      <c r="M6999" s="5"/>
      <c r="N6999" s="5"/>
      <c r="O6999" s="5"/>
    </row>
    <row r="7000">
      <c r="A7000" s="6"/>
      <c r="C7000" s="6"/>
      <c r="L7000" s="7"/>
      <c r="M7000" s="5"/>
      <c r="N7000" s="5"/>
      <c r="O7000" s="5"/>
    </row>
    <row r="7001">
      <c r="A7001" s="6"/>
      <c r="C7001" s="6"/>
      <c r="L7001" s="7"/>
      <c r="M7001" s="5"/>
      <c r="N7001" s="5"/>
      <c r="O7001" s="5"/>
    </row>
    <row r="7002">
      <c r="A7002" s="6"/>
      <c r="C7002" s="6"/>
      <c r="L7002" s="7"/>
      <c r="M7002" s="5"/>
      <c r="N7002" s="5"/>
      <c r="O7002" s="5"/>
    </row>
    <row r="7003">
      <c r="A7003" s="6"/>
      <c r="C7003" s="6"/>
      <c r="L7003" s="7"/>
      <c r="M7003" s="5"/>
      <c r="N7003" s="5"/>
      <c r="O7003" s="5"/>
    </row>
    <row r="7004">
      <c r="A7004" s="6"/>
      <c r="C7004" s="6"/>
      <c r="L7004" s="7"/>
      <c r="M7004" s="5"/>
      <c r="N7004" s="5"/>
      <c r="O7004" s="5"/>
    </row>
    <row r="7005">
      <c r="A7005" s="6"/>
      <c r="C7005" s="6"/>
      <c r="L7005" s="7"/>
      <c r="M7005" s="5"/>
      <c r="N7005" s="5"/>
      <c r="O7005" s="5"/>
    </row>
    <row r="7006">
      <c r="A7006" s="6"/>
      <c r="C7006" s="6"/>
      <c r="L7006" s="7"/>
      <c r="M7006" s="5"/>
      <c r="N7006" s="5"/>
      <c r="O7006" s="5"/>
    </row>
    <row r="7007">
      <c r="A7007" s="6"/>
      <c r="C7007" s="6"/>
      <c r="L7007" s="7"/>
      <c r="M7007" s="5"/>
      <c r="N7007" s="5"/>
      <c r="O7007" s="5"/>
    </row>
    <row r="7008">
      <c r="A7008" s="6"/>
      <c r="C7008" s="6"/>
      <c r="L7008" s="7"/>
      <c r="M7008" s="5"/>
      <c r="N7008" s="5"/>
      <c r="O7008" s="5"/>
    </row>
    <row r="7009">
      <c r="A7009" s="6"/>
      <c r="C7009" s="6"/>
      <c r="L7009" s="7"/>
      <c r="M7009" s="5"/>
      <c r="N7009" s="5"/>
      <c r="O7009" s="5"/>
    </row>
    <row r="7010">
      <c r="A7010" s="6"/>
      <c r="C7010" s="6"/>
      <c r="L7010" s="7"/>
      <c r="M7010" s="5"/>
      <c r="N7010" s="5"/>
      <c r="O7010" s="5"/>
    </row>
    <row r="7011">
      <c r="A7011" s="6"/>
      <c r="C7011" s="6"/>
      <c r="L7011" s="7"/>
      <c r="M7011" s="5"/>
      <c r="N7011" s="5"/>
      <c r="O7011" s="5"/>
    </row>
    <row r="7012">
      <c r="A7012" s="6"/>
      <c r="C7012" s="6"/>
      <c r="L7012" s="7"/>
      <c r="M7012" s="5"/>
      <c r="N7012" s="5"/>
      <c r="O7012" s="5"/>
    </row>
    <row r="7013">
      <c r="A7013" s="6"/>
      <c r="C7013" s="6"/>
      <c r="L7013" s="7"/>
      <c r="M7013" s="5"/>
      <c r="N7013" s="5"/>
      <c r="O7013" s="5"/>
    </row>
    <row r="7014">
      <c r="A7014" s="6"/>
      <c r="C7014" s="6"/>
      <c r="L7014" s="7"/>
      <c r="M7014" s="5"/>
      <c r="N7014" s="5"/>
      <c r="O7014" s="5"/>
    </row>
    <row r="7015">
      <c r="A7015" s="6"/>
      <c r="C7015" s="6"/>
      <c r="L7015" s="7"/>
      <c r="M7015" s="5"/>
      <c r="N7015" s="5"/>
      <c r="O7015" s="5"/>
    </row>
    <row r="7016">
      <c r="A7016" s="6"/>
      <c r="C7016" s="6"/>
      <c r="L7016" s="7"/>
      <c r="M7016" s="5"/>
      <c r="N7016" s="5"/>
      <c r="O7016" s="5"/>
    </row>
    <row r="7017">
      <c r="A7017" s="6"/>
      <c r="C7017" s="6"/>
      <c r="L7017" s="7"/>
      <c r="M7017" s="5"/>
      <c r="N7017" s="5"/>
      <c r="O7017" s="5"/>
    </row>
    <row r="7018">
      <c r="A7018" s="6"/>
      <c r="C7018" s="6"/>
      <c r="L7018" s="7"/>
      <c r="M7018" s="5"/>
      <c r="N7018" s="5"/>
      <c r="O7018" s="5"/>
    </row>
    <row r="7019">
      <c r="A7019" s="6"/>
      <c r="C7019" s="6"/>
      <c r="L7019" s="7"/>
      <c r="M7019" s="5"/>
      <c r="N7019" s="5"/>
      <c r="O7019" s="5"/>
    </row>
    <row r="7020">
      <c r="A7020" s="6"/>
      <c r="C7020" s="6"/>
      <c r="L7020" s="7"/>
      <c r="M7020" s="5"/>
      <c r="N7020" s="5"/>
      <c r="O7020" s="5"/>
    </row>
    <row r="7021">
      <c r="A7021" s="6"/>
      <c r="C7021" s="6"/>
      <c r="L7021" s="7"/>
      <c r="M7021" s="5"/>
      <c r="N7021" s="5"/>
      <c r="O7021" s="5"/>
    </row>
    <row r="7022">
      <c r="A7022" s="6"/>
      <c r="C7022" s="6"/>
      <c r="L7022" s="7"/>
      <c r="M7022" s="5"/>
      <c r="N7022" s="5"/>
      <c r="O7022" s="5"/>
    </row>
    <row r="7023">
      <c r="A7023" s="6"/>
      <c r="C7023" s="6"/>
      <c r="L7023" s="7"/>
      <c r="M7023" s="5"/>
      <c r="N7023" s="5"/>
      <c r="O7023" s="5"/>
    </row>
    <row r="7024">
      <c r="A7024" s="6"/>
      <c r="C7024" s="6"/>
      <c r="L7024" s="7"/>
      <c r="M7024" s="5"/>
      <c r="N7024" s="5"/>
      <c r="O7024" s="5"/>
    </row>
    <row r="7025">
      <c r="A7025" s="6"/>
      <c r="C7025" s="6"/>
      <c r="L7025" s="7"/>
      <c r="M7025" s="5"/>
      <c r="N7025" s="5"/>
      <c r="O7025" s="5"/>
    </row>
    <row r="7026">
      <c r="A7026" s="6"/>
      <c r="C7026" s="6"/>
      <c r="L7026" s="7"/>
      <c r="M7026" s="5"/>
      <c r="N7026" s="5"/>
      <c r="O7026" s="5"/>
    </row>
    <row r="7027">
      <c r="A7027" s="6"/>
      <c r="C7027" s="6"/>
      <c r="L7027" s="7"/>
      <c r="M7027" s="5"/>
      <c r="N7027" s="5"/>
      <c r="O7027" s="5"/>
    </row>
    <row r="7028">
      <c r="A7028" s="6"/>
      <c r="C7028" s="6"/>
      <c r="L7028" s="7"/>
      <c r="M7028" s="5"/>
      <c r="N7028" s="5"/>
      <c r="O7028" s="5"/>
    </row>
    <row r="7029">
      <c r="A7029" s="6"/>
      <c r="C7029" s="6"/>
      <c r="L7029" s="7"/>
      <c r="M7029" s="5"/>
      <c r="N7029" s="5"/>
      <c r="O7029" s="5"/>
    </row>
    <row r="7030">
      <c r="A7030" s="6"/>
      <c r="C7030" s="6"/>
      <c r="L7030" s="7"/>
      <c r="M7030" s="5"/>
      <c r="N7030" s="5"/>
      <c r="O7030" s="5"/>
    </row>
    <row r="7031">
      <c r="A7031" s="6"/>
      <c r="C7031" s="6"/>
      <c r="L7031" s="7"/>
      <c r="M7031" s="5"/>
      <c r="N7031" s="5"/>
      <c r="O7031" s="5"/>
    </row>
    <row r="7032">
      <c r="A7032" s="6"/>
      <c r="C7032" s="6"/>
      <c r="L7032" s="7"/>
      <c r="M7032" s="5"/>
      <c r="N7032" s="5"/>
      <c r="O7032" s="5"/>
    </row>
    <row r="7033">
      <c r="A7033" s="6"/>
      <c r="C7033" s="6"/>
      <c r="L7033" s="7"/>
      <c r="M7033" s="5"/>
      <c r="N7033" s="5"/>
      <c r="O7033" s="5"/>
    </row>
    <row r="7034">
      <c r="A7034" s="6"/>
      <c r="C7034" s="6"/>
      <c r="L7034" s="7"/>
      <c r="M7034" s="5"/>
      <c r="N7034" s="5"/>
      <c r="O7034" s="5"/>
    </row>
    <row r="7035">
      <c r="A7035" s="6"/>
      <c r="C7035" s="6"/>
      <c r="L7035" s="7"/>
      <c r="M7035" s="5"/>
      <c r="N7035" s="5"/>
      <c r="O7035" s="5"/>
    </row>
    <row r="7036">
      <c r="A7036" s="6"/>
      <c r="C7036" s="6"/>
      <c r="L7036" s="7"/>
      <c r="M7036" s="5"/>
      <c r="N7036" s="5"/>
      <c r="O7036" s="5"/>
    </row>
    <row r="7037">
      <c r="A7037" s="6"/>
      <c r="C7037" s="6"/>
      <c r="L7037" s="7"/>
      <c r="M7037" s="5"/>
      <c r="N7037" s="5"/>
      <c r="O7037" s="5"/>
    </row>
    <row r="7038">
      <c r="A7038" s="6"/>
      <c r="C7038" s="6"/>
      <c r="L7038" s="7"/>
      <c r="M7038" s="5"/>
      <c r="N7038" s="5"/>
      <c r="O7038" s="5"/>
    </row>
    <row r="7039">
      <c r="A7039" s="6"/>
      <c r="C7039" s="6"/>
      <c r="L7039" s="7"/>
      <c r="M7039" s="5"/>
      <c r="N7039" s="5"/>
      <c r="O7039" s="5"/>
    </row>
    <row r="7040">
      <c r="A7040" s="6"/>
      <c r="C7040" s="6"/>
      <c r="L7040" s="7"/>
      <c r="M7040" s="5"/>
      <c r="N7040" s="5"/>
      <c r="O7040" s="5"/>
    </row>
    <row r="7041">
      <c r="A7041" s="6"/>
      <c r="C7041" s="6"/>
      <c r="L7041" s="7"/>
      <c r="M7041" s="5"/>
      <c r="N7041" s="5"/>
      <c r="O7041" s="5"/>
    </row>
    <row r="7042">
      <c r="A7042" s="6"/>
      <c r="C7042" s="6"/>
      <c r="L7042" s="7"/>
      <c r="M7042" s="5"/>
      <c r="N7042" s="5"/>
      <c r="O7042" s="5"/>
    </row>
    <row r="7043">
      <c r="A7043" s="6"/>
      <c r="C7043" s="6"/>
      <c r="L7043" s="7"/>
      <c r="M7043" s="5"/>
      <c r="N7043" s="5"/>
      <c r="O7043" s="5"/>
    </row>
    <row r="7044">
      <c r="A7044" s="6"/>
      <c r="C7044" s="6"/>
      <c r="L7044" s="7"/>
      <c r="M7044" s="5"/>
      <c r="N7044" s="5"/>
      <c r="O7044" s="5"/>
    </row>
    <row r="7045">
      <c r="A7045" s="6"/>
      <c r="C7045" s="6"/>
      <c r="L7045" s="7"/>
      <c r="M7045" s="5"/>
      <c r="N7045" s="5"/>
      <c r="O7045" s="5"/>
    </row>
    <row r="7046">
      <c r="A7046" s="6"/>
      <c r="C7046" s="6"/>
      <c r="L7046" s="7"/>
      <c r="M7046" s="5"/>
      <c r="N7046" s="5"/>
      <c r="O7046" s="5"/>
    </row>
    <row r="7047">
      <c r="A7047" s="6"/>
      <c r="C7047" s="6"/>
      <c r="L7047" s="7"/>
      <c r="M7047" s="5"/>
      <c r="N7047" s="5"/>
      <c r="O7047" s="5"/>
    </row>
    <row r="7048">
      <c r="A7048" s="6"/>
      <c r="C7048" s="6"/>
      <c r="L7048" s="7"/>
      <c r="M7048" s="5"/>
      <c r="N7048" s="5"/>
      <c r="O7048" s="5"/>
    </row>
    <row r="7049">
      <c r="A7049" s="6"/>
      <c r="C7049" s="6"/>
      <c r="L7049" s="7"/>
      <c r="M7049" s="5"/>
      <c r="N7049" s="5"/>
      <c r="O7049" s="5"/>
    </row>
    <row r="7050">
      <c r="A7050" s="6"/>
      <c r="C7050" s="6"/>
      <c r="L7050" s="7"/>
      <c r="M7050" s="5"/>
      <c r="N7050" s="5"/>
      <c r="O7050" s="5"/>
    </row>
    <row r="7051">
      <c r="A7051" s="6"/>
      <c r="C7051" s="6"/>
      <c r="L7051" s="7"/>
      <c r="M7051" s="5"/>
      <c r="N7051" s="5"/>
      <c r="O7051" s="5"/>
    </row>
    <row r="7052">
      <c r="A7052" s="6"/>
      <c r="C7052" s="6"/>
      <c r="L7052" s="7"/>
      <c r="M7052" s="5"/>
      <c r="N7052" s="5"/>
      <c r="O7052" s="5"/>
    </row>
    <row r="7053">
      <c r="A7053" s="6"/>
      <c r="C7053" s="6"/>
      <c r="L7053" s="7"/>
      <c r="M7053" s="5"/>
      <c r="N7053" s="5"/>
      <c r="O7053" s="5"/>
    </row>
    <row r="7054">
      <c r="A7054" s="6"/>
      <c r="C7054" s="6"/>
      <c r="L7054" s="7"/>
      <c r="M7054" s="5"/>
      <c r="N7054" s="5"/>
      <c r="O7054" s="5"/>
    </row>
    <row r="7055">
      <c r="A7055" s="6"/>
      <c r="C7055" s="6"/>
      <c r="L7055" s="7"/>
      <c r="M7055" s="5"/>
      <c r="N7055" s="5"/>
      <c r="O7055" s="5"/>
    </row>
    <row r="7056">
      <c r="A7056" s="6"/>
      <c r="C7056" s="6"/>
      <c r="L7056" s="7"/>
      <c r="M7056" s="5"/>
      <c r="N7056" s="5"/>
      <c r="O7056" s="5"/>
    </row>
    <row r="7057">
      <c r="A7057" s="6"/>
      <c r="C7057" s="6"/>
      <c r="L7057" s="7"/>
      <c r="M7057" s="5"/>
      <c r="N7057" s="5"/>
      <c r="O7057" s="5"/>
    </row>
    <row r="7058">
      <c r="A7058" s="6"/>
      <c r="C7058" s="6"/>
      <c r="L7058" s="7"/>
      <c r="M7058" s="5"/>
      <c r="N7058" s="5"/>
      <c r="O7058" s="5"/>
    </row>
    <row r="7059">
      <c r="A7059" s="6"/>
      <c r="C7059" s="6"/>
      <c r="L7059" s="7"/>
      <c r="M7059" s="5"/>
      <c r="N7059" s="5"/>
      <c r="O7059" s="5"/>
    </row>
    <row r="7060">
      <c r="A7060" s="6"/>
      <c r="C7060" s="6"/>
      <c r="L7060" s="7"/>
      <c r="M7060" s="5"/>
      <c r="N7060" s="5"/>
      <c r="O7060" s="5"/>
    </row>
    <row r="7061">
      <c r="A7061" s="6"/>
      <c r="C7061" s="6"/>
      <c r="L7061" s="7"/>
      <c r="M7061" s="5"/>
      <c r="N7061" s="5"/>
      <c r="O7061" s="5"/>
    </row>
    <row r="7062">
      <c r="A7062" s="6"/>
      <c r="C7062" s="6"/>
      <c r="L7062" s="7"/>
      <c r="M7062" s="5"/>
      <c r="N7062" s="5"/>
      <c r="O7062" s="5"/>
    </row>
    <row r="7063">
      <c r="A7063" s="6"/>
      <c r="C7063" s="6"/>
      <c r="L7063" s="7"/>
      <c r="M7063" s="5"/>
      <c r="N7063" s="5"/>
      <c r="O7063" s="5"/>
    </row>
    <row r="7064">
      <c r="A7064" s="6"/>
      <c r="C7064" s="6"/>
      <c r="L7064" s="7"/>
      <c r="M7064" s="5"/>
      <c r="N7064" s="5"/>
      <c r="O7064" s="5"/>
    </row>
    <row r="7065">
      <c r="A7065" s="6"/>
      <c r="C7065" s="6"/>
      <c r="L7065" s="7"/>
      <c r="M7065" s="5"/>
      <c r="N7065" s="5"/>
      <c r="O7065" s="5"/>
    </row>
    <row r="7066">
      <c r="A7066" s="6"/>
      <c r="C7066" s="6"/>
      <c r="L7066" s="7"/>
      <c r="M7066" s="5"/>
      <c r="N7066" s="5"/>
      <c r="O7066" s="5"/>
    </row>
    <row r="7067">
      <c r="A7067" s="6"/>
      <c r="C7067" s="6"/>
      <c r="L7067" s="7"/>
      <c r="M7067" s="5"/>
      <c r="N7067" s="5"/>
      <c r="O7067" s="5"/>
    </row>
    <row r="7068">
      <c r="A7068" s="6"/>
      <c r="C7068" s="6"/>
      <c r="L7068" s="7"/>
      <c r="M7068" s="5"/>
      <c r="N7068" s="5"/>
      <c r="O7068" s="5"/>
    </row>
    <row r="7069">
      <c r="A7069" s="6"/>
      <c r="C7069" s="6"/>
      <c r="L7069" s="7"/>
      <c r="M7069" s="5"/>
      <c r="N7069" s="5"/>
      <c r="O7069" s="5"/>
    </row>
    <row r="7070">
      <c r="A7070" s="6"/>
      <c r="C7070" s="6"/>
      <c r="L7070" s="7"/>
      <c r="M7070" s="5"/>
      <c r="N7070" s="5"/>
      <c r="O7070" s="5"/>
    </row>
    <row r="7071">
      <c r="A7071" s="6"/>
      <c r="C7071" s="6"/>
      <c r="L7071" s="7"/>
      <c r="M7071" s="5"/>
      <c r="N7071" s="5"/>
      <c r="O7071" s="5"/>
    </row>
    <row r="7072">
      <c r="A7072" s="6"/>
      <c r="C7072" s="6"/>
      <c r="L7072" s="7"/>
      <c r="M7072" s="5"/>
      <c r="N7072" s="5"/>
      <c r="O7072" s="5"/>
    </row>
    <row r="7073">
      <c r="A7073" s="6"/>
      <c r="C7073" s="6"/>
      <c r="L7073" s="7"/>
      <c r="M7073" s="5"/>
      <c r="N7073" s="5"/>
      <c r="O7073" s="5"/>
    </row>
    <row r="7074">
      <c r="A7074" s="6"/>
      <c r="C7074" s="6"/>
      <c r="L7074" s="7"/>
      <c r="M7074" s="5"/>
      <c r="N7074" s="5"/>
      <c r="O7074" s="5"/>
    </row>
    <row r="7075">
      <c r="A7075" s="6"/>
      <c r="C7075" s="6"/>
      <c r="L7075" s="7"/>
      <c r="M7075" s="5"/>
      <c r="N7075" s="5"/>
      <c r="O7075" s="5"/>
    </row>
    <row r="7076">
      <c r="A7076" s="6"/>
      <c r="C7076" s="6"/>
      <c r="L7076" s="7"/>
      <c r="M7076" s="5"/>
      <c r="N7076" s="5"/>
      <c r="O7076" s="5"/>
    </row>
    <row r="7077">
      <c r="A7077" s="6"/>
      <c r="C7077" s="6"/>
      <c r="L7077" s="7"/>
      <c r="M7077" s="5"/>
      <c r="N7077" s="5"/>
      <c r="O7077" s="5"/>
    </row>
    <row r="7078">
      <c r="A7078" s="6"/>
      <c r="C7078" s="6"/>
      <c r="L7078" s="7"/>
      <c r="M7078" s="5"/>
      <c r="N7078" s="5"/>
      <c r="O7078" s="5"/>
    </row>
    <row r="7079">
      <c r="A7079" s="6"/>
      <c r="C7079" s="6"/>
      <c r="L7079" s="7"/>
      <c r="M7079" s="5"/>
      <c r="N7079" s="5"/>
      <c r="O7079" s="5"/>
    </row>
    <row r="7080">
      <c r="A7080" s="6"/>
      <c r="C7080" s="6"/>
      <c r="L7080" s="7"/>
      <c r="M7080" s="5"/>
      <c r="N7080" s="5"/>
      <c r="O7080" s="5"/>
    </row>
    <row r="7081">
      <c r="A7081" s="6"/>
      <c r="C7081" s="6"/>
      <c r="L7081" s="7"/>
      <c r="M7081" s="5"/>
      <c r="N7081" s="5"/>
      <c r="O7081" s="5"/>
    </row>
    <row r="7082">
      <c r="A7082" s="6"/>
      <c r="C7082" s="6"/>
      <c r="L7082" s="7"/>
      <c r="M7082" s="5"/>
      <c r="N7082" s="5"/>
      <c r="O7082" s="5"/>
    </row>
    <row r="7083">
      <c r="A7083" s="6"/>
      <c r="C7083" s="6"/>
      <c r="L7083" s="7"/>
      <c r="M7083" s="5"/>
      <c r="N7083" s="5"/>
      <c r="O7083" s="5"/>
    </row>
    <row r="7084">
      <c r="A7084" s="6"/>
      <c r="C7084" s="6"/>
      <c r="L7084" s="7"/>
      <c r="M7084" s="5"/>
      <c r="N7084" s="5"/>
      <c r="O7084" s="5"/>
    </row>
    <row r="7085">
      <c r="A7085" s="6"/>
      <c r="C7085" s="6"/>
      <c r="L7085" s="7"/>
      <c r="M7085" s="5"/>
      <c r="N7085" s="5"/>
      <c r="O7085" s="5"/>
    </row>
    <row r="7086">
      <c r="A7086" s="6"/>
      <c r="C7086" s="6"/>
      <c r="L7086" s="7"/>
      <c r="M7086" s="5"/>
      <c r="N7086" s="5"/>
      <c r="O7086" s="5"/>
    </row>
    <row r="7087">
      <c r="A7087" s="6"/>
      <c r="C7087" s="6"/>
      <c r="L7087" s="7"/>
      <c r="M7087" s="5"/>
      <c r="N7087" s="5"/>
      <c r="O7087" s="5"/>
    </row>
    <row r="7088">
      <c r="A7088" s="6"/>
      <c r="C7088" s="6"/>
      <c r="L7088" s="7"/>
      <c r="M7088" s="5"/>
      <c r="N7088" s="5"/>
      <c r="O7088" s="5"/>
    </row>
    <row r="7089">
      <c r="A7089" s="6"/>
      <c r="C7089" s="6"/>
      <c r="L7089" s="7"/>
      <c r="M7089" s="5"/>
      <c r="N7089" s="5"/>
      <c r="O7089" s="5"/>
    </row>
    <row r="7090">
      <c r="A7090" s="6"/>
      <c r="C7090" s="6"/>
      <c r="L7090" s="7"/>
      <c r="M7090" s="5"/>
      <c r="N7090" s="5"/>
      <c r="O7090" s="5"/>
    </row>
    <row r="7091">
      <c r="A7091" s="6"/>
      <c r="C7091" s="6"/>
      <c r="L7091" s="7"/>
      <c r="M7091" s="5"/>
      <c r="N7091" s="5"/>
      <c r="O7091" s="5"/>
    </row>
    <row r="7092">
      <c r="A7092" s="6"/>
      <c r="C7092" s="6"/>
      <c r="L7092" s="7"/>
      <c r="M7092" s="5"/>
      <c r="N7092" s="5"/>
      <c r="O7092" s="5"/>
    </row>
    <row r="7093">
      <c r="A7093" s="6"/>
      <c r="C7093" s="6"/>
      <c r="L7093" s="7"/>
      <c r="M7093" s="5"/>
      <c r="N7093" s="5"/>
      <c r="O7093" s="5"/>
    </row>
    <row r="7094">
      <c r="A7094" s="6"/>
      <c r="C7094" s="6"/>
      <c r="L7094" s="7"/>
      <c r="M7094" s="5"/>
      <c r="N7094" s="5"/>
      <c r="O7094" s="5"/>
    </row>
    <row r="7095">
      <c r="A7095" s="6"/>
      <c r="C7095" s="6"/>
      <c r="L7095" s="7"/>
      <c r="M7095" s="5"/>
      <c r="N7095" s="5"/>
      <c r="O7095" s="5"/>
    </row>
    <row r="7096">
      <c r="A7096" s="6"/>
      <c r="C7096" s="6"/>
      <c r="L7096" s="7"/>
      <c r="M7096" s="5"/>
      <c r="N7096" s="5"/>
      <c r="O7096" s="5"/>
    </row>
    <row r="7097">
      <c r="A7097" s="6"/>
      <c r="C7097" s="6"/>
      <c r="L7097" s="7"/>
      <c r="M7097" s="5"/>
      <c r="N7097" s="5"/>
      <c r="O7097" s="5"/>
    </row>
    <row r="7098">
      <c r="A7098" s="6"/>
      <c r="C7098" s="6"/>
      <c r="L7098" s="7"/>
      <c r="M7098" s="5"/>
      <c r="N7098" s="5"/>
      <c r="O7098" s="5"/>
    </row>
    <row r="7099">
      <c r="A7099" s="6"/>
      <c r="C7099" s="6"/>
      <c r="L7099" s="7"/>
      <c r="M7099" s="5"/>
      <c r="N7099" s="5"/>
      <c r="O7099" s="5"/>
    </row>
    <row r="7100">
      <c r="A7100" s="6"/>
      <c r="C7100" s="6"/>
      <c r="L7100" s="7"/>
      <c r="M7100" s="5"/>
      <c r="N7100" s="5"/>
      <c r="O7100" s="5"/>
    </row>
    <row r="7101">
      <c r="A7101" s="6"/>
      <c r="C7101" s="6"/>
      <c r="L7101" s="7"/>
      <c r="M7101" s="5"/>
      <c r="N7101" s="5"/>
      <c r="O7101" s="5"/>
    </row>
    <row r="7102">
      <c r="A7102" s="6"/>
      <c r="C7102" s="6"/>
      <c r="L7102" s="7"/>
      <c r="M7102" s="5"/>
      <c r="N7102" s="5"/>
      <c r="O7102" s="5"/>
    </row>
    <row r="7103">
      <c r="A7103" s="6"/>
      <c r="C7103" s="6"/>
      <c r="L7103" s="7"/>
      <c r="M7103" s="5"/>
      <c r="N7103" s="5"/>
      <c r="O7103" s="5"/>
    </row>
    <row r="7104">
      <c r="A7104" s="6"/>
      <c r="C7104" s="6"/>
      <c r="L7104" s="7"/>
      <c r="M7104" s="5"/>
      <c r="N7104" s="5"/>
      <c r="O7104" s="5"/>
    </row>
    <row r="7105">
      <c r="A7105" s="6"/>
      <c r="C7105" s="6"/>
      <c r="L7105" s="7"/>
      <c r="M7105" s="5"/>
      <c r="N7105" s="5"/>
      <c r="O7105" s="5"/>
    </row>
    <row r="7106">
      <c r="A7106" s="6"/>
      <c r="C7106" s="6"/>
      <c r="L7106" s="7"/>
      <c r="M7106" s="5"/>
      <c r="N7106" s="5"/>
      <c r="O7106" s="5"/>
    </row>
    <row r="7107">
      <c r="A7107" s="6"/>
      <c r="C7107" s="6"/>
      <c r="L7107" s="7"/>
      <c r="M7107" s="5"/>
      <c r="N7107" s="5"/>
      <c r="O7107" s="5"/>
    </row>
    <row r="7108">
      <c r="A7108" s="6"/>
      <c r="C7108" s="6"/>
      <c r="L7108" s="7"/>
      <c r="M7108" s="5"/>
      <c r="N7108" s="5"/>
      <c r="O7108" s="5"/>
    </row>
    <row r="7109">
      <c r="A7109" s="6"/>
      <c r="C7109" s="6"/>
      <c r="L7109" s="7"/>
      <c r="M7109" s="5"/>
      <c r="N7109" s="5"/>
      <c r="O7109" s="5"/>
    </row>
    <row r="7110">
      <c r="A7110" s="6"/>
      <c r="C7110" s="6"/>
      <c r="L7110" s="7"/>
      <c r="M7110" s="5"/>
      <c r="N7110" s="5"/>
      <c r="O7110" s="5"/>
    </row>
    <row r="7111">
      <c r="A7111" s="6"/>
      <c r="C7111" s="6"/>
      <c r="L7111" s="7"/>
      <c r="M7111" s="5"/>
      <c r="N7111" s="5"/>
      <c r="O7111" s="5"/>
    </row>
    <row r="7112">
      <c r="A7112" s="6"/>
      <c r="C7112" s="6"/>
      <c r="L7112" s="7"/>
      <c r="M7112" s="5"/>
      <c r="N7112" s="5"/>
      <c r="O7112" s="5"/>
    </row>
    <row r="7113">
      <c r="A7113" s="6"/>
      <c r="C7113" s="6"/>
      <c r="L7113" s="7"/>
      <c r="M7113" s="5"/>
      <c r="N7113" s="5"/>
      <c r="O7113" s="5"/>
    </row>
    <row r="7114">
      <c r="A7114" s="6"/>
      <c r="C7114" s="6"/>
      <c r="L7114" s="7"/>
      <c r="M7114" s="5"/>
      <c r="N7114" s="5"/>
      <c r="O7114" s="5"/>
    </row>
    <row r="7115">
      <c r="A7115" s="6"/>
      <c r="C7115" s="6"/>
      <c r="L7115" s="7"/>
      <c r="M7115" s="5"/>
      <c r="N7115" s="5"/>
      <c r="O7115" s="5"/>
    </row>
    <row r="7116">
      <c r="A7116" s="6"/>
      <c r="C7116" s="6"/>
      <c r="L7116" s="7"/>
      <c r="M7116" s="5"/>
      <c r="N7116" s="5"/>
      <c r="O7116" s="5"/>
    </row>
    <row r="7117">
      <c r="A7117" s="6"/>
      <c r="C7117" s="6"/>
      <c r="L7117" s="7"/>
      <c r="M7117" s="5"/>
      <c r="N7117" s="5"/>
      <c r="O7117" s="5"/>
    </row>
    <row r="7118">
      <c r="A7118" s="6"/>
      <c r="C7118" s="6"/>
      <c r="L7118" s="7"/>
      <c r="M7118" s="5"/>
      <c r="N7118" s="5"/>
      <c r="O7118" s="5"/>
    </row>
    <row r="7119">
      <c r="A7119" s="6"/>
      <c r="C7119" s="6"/>
      <c r="L7119" s="7"/>
      <c r="M7119" s="5"/>
      <c r="N7119" s="5"/>
      <c r="O7119" s="5"/>
    </row>
    <row r="7120">
      <c r="A7120" s="6"/>
      <c r="C7120" s="6"/>
      <c r="L7120" s="7"/>
      <c r="M7120" s="5"/>
      <c r="N7120" s="5"/>
      <c r="O7120" s="5"/>
    </row>
    <row r="7121">
      <c r="A7121" s="6"/>
      <c r="C7121" s="6"/>
      <c r="L7121" s="7"/>
      <c r="M7121" s="5"/>
      <c r="N7121" s="5"/>
      <c r="O7121" s="5"/>
    </row>
    <row r="7122">
      <c r="A7122" s="6"/>
      <c r="C7122" s="6"/>
      <c r="L7122" s="7"/>
      <c r="M7122" s="5"/>
      <c r="N7122" s="5"/>
      <c r="O7122" s="5"/>
    </row>
    <row r="7123">
      <c r="A7123" s="6"/>
      <c r="C7123" s="6"/>
      <c r="L7123" s="7"/>
      <c r="M7123" s="5"/>
      <c r="N7123" s="5"/>
      <c r="O7123" s="5"/>
    </row>
    <row r="7124">
      <c r="A7124" s="6"/>
      <c r="C7124" s="6"/>
      <c r="L7124" s="7"/>
      <c r="M7124" s="5"/>
      <c r="N7124" s="5"/>
      <c r="O7124" s="5"/>
    </row>
    <row r="7125">
      <c r="A7125" s="6"/>
      <c r="C7125" s="6"/>
      <c r="L7125" s="7"/>
      <c r="M7125" s="5"/>
      <c r="N7125" s="5"/>
      <c r="O7125" s="5"/>
    </row>
    <row r="7126">
      <c r="A7126" s="6"/>
      <c r="C7126" s="6"/>
      <c r="L7126" s="7"/>
      <c r="M7126" s="5"/>
      <c r="N7126" s="5"/>
      <c r="O7126" s="5"/>
    </row>
    <row r="7127">
      <c r="A7127" s="6"/>
      <c r="C7127" s="6"/>
      <c r="L7127" s="7"/>
      <c r="M7127" s="5"/>
      <c r="N7127" s="5"/>
      <c r="O7127" s="5"/>
    </row>
    <row r="7128">
      <c r="A7128" s="6"/>
      <c r="C7128" s="6"/>
      <c r="L7128" s="7"/>
      <c r="M7128" s="5"/>
      <c r="N7128" s="5"/>
      <c r="O7128" s="5"/>
    </row>
    <row r="7129">
      <c r="A7129" s="6"/>
      <c r="C7129" s="6"/>
      <c r="L7129" s="7"/>
      <c r="M7129" s="5"/>
      <c r="N7129" s="5"/>
      <c r="O7129" s="5"/>
    </row>
    <row r="7130">
      <c r="A7130" s="6"/>
      <c r="C7130" s="6"/>
      <c r="L7130" s="7"/>
      <c r="M7130" s="5"/>
      <c r="N7130" s="5"/>
      <c r="O7130" s="5"/>
    </row>
    <row r="7131">
      <c r="A7131" s="6"/>
      <c r="C7131" s="6"/>
      <c r="L7131" s="7"/>
      <c r="M7131" s="5"/>
      <c r="N7131" s="5"/>
      <c r="O7131" s="5"/>
    </row>
    <row r="7132">
      <c r="A7132" s="6"/>
      <c r="C7132" s="6"/>
      <c r="L7132" s="7"/>
      <c r="M7132" s="5"/>
      <c r="N7132" s="5"/>
      <c r="O7132" s="5"/>
    </row>
    <row r="7133">
      <c r="A7133" s="6"/>
      <c r="C7133" s="6"/>
      <c r="L7133" s="7"/>
      <c r="M7133" s="5"/>
      <c r="N7133" s="5"/>
      <c r="O7133" s="5"/>
    </row>
    <row r="7134">
      <c r="A7134" s="6"/>
      <c r="C7134" s="6"/>
      <c r="L7134" s="7"/>
      <c r="M7134" s="5"/>
      <c r="N7134" s="5"/>
      <c r="O7134" s="5"/>
    </row>
    <row r="7135">
      <c r="A7135" s="6"/>
      <c r="C7135" s="6"/>
      <c r="L7135" s="7"/>
      <c r="M7135" s="5"/>
      <c r="N7135" s="5"/>
      <c r="O7135" s="5"/>
    </row>
    <row r="7136">
      <c r="A7136" s="6"/>
      <c r="C7136" s="6"/>
      <c r="L7136" s="7"/>
      <c r="M7136" s="5"/>
      <c r="N7136" s="5"/>
      <c r="O7136" s="5"/>
    </row>
    <row r="7137">
      <c r="A7137" s="6"/>
      <c r="C7137" s="6"/>
      <c r="L7137" s="7"/>
      <c r="M7137" s="5"/>
      <c r="N7137" s="5"/>
      <c r="O7137" s="5"/>
    </row>
    <row r="7138">
      <c r="A7138" s="6"/>
      <c r="C7138" s="6"/>
      <c r="L7138" s="7"/>
      <c r="M7138" s="5"/>
      <c r="N7138" s="5"/>
      <c r="O7138" s="5"/>
    </row>
    <row r="7139">
      <c r="A7139" s="6"/>
      <c r="C7139" s="6"/>
      <c r="L7139" s="7"/>
      <c r="M7139" s="5"/>
      <c r="N7139" s="5"/>
      <c r="O7139" s="5"/>
    </row>
    <row r="7140">
      <c r="A7140" s="6"/>
      <c r="C7140" s="6"/>
      <c r="L7140" s="7"/>
      <c r="M7140" s="5"/>
      <c r="N7140" s="5"/>
      <c r="O7140" s="5"/>
    </row>
    <row r="7141">
      <c r="A7141" s="6"/>
      <c r="C7141" s="6"/>
      <c r="L7141" s="7"/>
      <c r="M7141" s="5"/>
      <c r="N7141" s="5"/>
      <c r="O7141" s="5"/>
    </row>
    <row r="7142">
      <c r="A7142" s="6"/>
      <c r="C7142" s="6"/>
      <c r="L7142" s="7"/>
      <c r="M7142" s="5"/>
      <c r="N7142" s="5"/>
      <c r="O7142" s="5"/>
    </row>
    <row r="7143">
      <c r="A7143" s="6"/>
      <c r="C7143" s="6"/>
      <c r="L7143" s="7"/>
      <c r="M7143" s="5"/>
      <c r="N7143" s="5"/>
      <c r="O7143" s="5"/>
    </row>
    <row r="7144">
      <c r="A7144" s="6"/>
      <c r="C7144" s="6"/>
      <c r="L7144" s="7"/>
      <c r="M7144" s="5"/>
      <c r="N7144" s="5"/>
      <c r="O7144" s="5"/>
    </row>
    <row r="7145">
      <c r="A7145" s="6"/>
      <c r="C7145" s="6"/>
      <c r="L7145" s="7"/>
      <c r="M7145" s="5"/>
      <c r="N7145" s="5"/>
      <c r="O7145" s="5"/>
    </row>
    <row r="7146">
      <c r="A7146" s="6"/>
      <c r="C7146" s="6"/>
      <c r="L7146" s="7"/>
      <c r="M7146" s="5"/>
      <c r="N7146" s="5"/>
      <c r="O7146" s="5"/>
    </row>
    <row r="7147">
      <c r="A7147" s="6"/>
      <c r="C7147" s="6"/>
      <c r="L7147" s="7"/>
      <c r="M7147" s="5"/>
      <c r="N7147" s="5"/>
      <c r="O7147" s="5"/>
    </row>
    <row r="7148">
      <c r="A7148" s="6"/>
      <c r="C7148" s="6"/>
      <c r="L7148" s="7"/>
      <c r="M7148" s="5"/>
      <c r="N7148" s="5"/>
      <c r="O7148" s="5"/>
    </row>
    <row r="7149">
      <c r="A7149" s="6"/>
      <c r="C7149" s="6"/>
      <c r="L7149" s="7"/>
      <c r="M7149" s="5"/>
      <c r="N7149" s="5"/>
      <c r="O7149" s="5"/>
    </row>
    <row r="7150">
      <c r="A7150" s="6"/>
      <c r="C7150" s="6"/>
      <c r="L7150" s="7"/>
      <c r="M7150" s="5"/>
      <c r="N7150" s="5"/>
      <c r="O7150" s="5"/>
    </row>
    <row r="7151">
      <c r="A7151" s="6"/>
      <c r="C7151" s="6"/>
      <c r="L7151" s="7"/>
      <c r="M7151" s="5"/>
      <c r="N7151" s="5"/>
      <c r="O7151" s="5"/>
    </row>
    <row r="7152">
      <c r="A7152" s="6"/>
      <c r="C7152" s="6"/>
      <c r="L7152" s="7"/>
      <c r="M7152" s="5"/>
      <c r="N7152" s="5"/>
      <c r="O7152" s="5"/>
    </row>
    <row r="7153">
      <c r="A7153" s="6"/>
      <c r="C7153" s="6"/>
      <c r="L7153" s="7"/>
      <c r="M7153" s="5"/>
      <c r="N7153" s="5"/>
      <c r="O7153" s="5"/>
    </row>
    <row r="7154">
      <c r="A7154" s="6"/>
      <c r="C7154" s="6"/>
      <c r="L7154" s="7"/>
      <c r="M7154" s="5"/>
      <c r="N7154" s="5"/>
      <c r="O7154" s="5"/>
    </row>
    <row r="7155">
      <c r="A7155" s="6"/>
      <c r="C7155" s="6"/>
      <c r="L7155" s="7"/>
      <c r="M7155" s="5"/>
      <c r="N7155" s="5"/>
      <c r="O7155" s="5"/>
    </row>
    <row r="7156">
      <c r="A7156" s="6"/>
      <c r="C7156" s="6"/>
      <c r="L7156" s="7"/>
      <c r="M7156" s="5"/>
      <c r="N7156" s="5"/>
      <c r="O7156" s="5"/>
    </row>
    <row r="7157">
      <c r="A7157" s="6"/>
      <c r="C7157" s="6"/>
      <c r="L7157" s="7"/>
      <c r="M7157" s="5"/>
      <c r="N7157" s="5"/>
      <c r="O7157" s="5"/>
    </row>
    <row r="7158">
      <c r="A7158" s="6"/>
      <c r="C7158" s="6"/>
      <c r="L7158" s="7"/>
      <c r="M7158" s="5"/>
      <c r="N7158" s="5"/>
      <c r="O7158" s="5"/>
    </row>
    <row r="7159">
      <c r="A7159" s="6"/>
      <c r="C7159" s="6"/>
      <c r="L7159" s="7"/>
      <c r="M7159" s="5"/>
      <c r="N7159" s="5"/>
      <c r="O7159" s="5"/>
    </row>
    <row r="7160">
      <c r="A7160" s="6"/>
      <c r="C7160" s="6"/>
      <c r="L7160" s="7"/>
      <c r="M7160" s="5"/>
      <c r="N7160" s="5"/>
      <c r="O7160" s="5"/>
    </row>
    <row r="7161">
      <c r="A7161" s="6"/>
      <c r="C7161" s="6"/>
      <c r="L7161" s="7"/>
      <c r="M7161" s="5"/>
      <c r="N7161" s="5"/>
      <c r="O7161" s="5"/>
    </row>
    <row r="7162">
      <c r="A7162" s="6"/>
      <c r="C7162" s="6"/>
      <c r="L7162" s="7"/>
      <c r="M7162" s="5"/>
      <c r="N7162" s="5"/>
      <c r="O7162" s="5"/>
    </row>
    <row r="7163">
      <c r="A7163" s="6"/>
      <c r="C7163" s="6"/>
      <c r="L7163" s="7"/>
      <c r="M7163" s="5"/>
      <c r="N7163" s="5"/>
      <c r="O7163" s="5"/>
    </row>
    <row r="7164">
      <c r="A7164" s="6"/>
      <c r="C7164" s="6"/>
      <c r="L7164" s="7"/>
      <c r="M7164" s="5"/>
      <c r="N7164" s="5"/>
      <c r="O7164" s="5"/>
    </row>
    <row r="7165">
      <c r="A7165" s="6"/>
      <c r="C7165" s="6"/>
      <c r="L7165" s="7"/>
      <c r="M7165" s="5"/>
      <c r="N7165" s="5"/>
      <c r="O7165" s="5"/>
    </row>
    <row r="7166">
      <c r="A7166" s="6"/>
      <c r="C7166" s="6"/>
      <c r="L7166" s="7"/>
      <c r="M7166" s="5"/>
      <c r="N7166" s="5"/>
      <c r="O7166" s="5"/>
    </row>
    <row r="7167">
      <c r="A7167" s="6"/>
      <c r="C7167" s="6"/>
      <c r="L7167" s="7"/>
      <c r="M7167" s="5"/>
      <c r="N7167" s="5"/>
      <c r="O7167" s="5"/>
    </row>
    <row r="7168">
      <c r="A7168" s="6"/>
      <c r="C7168" s="6"/>
      <c r="L7168" s="7"/>
      <c r="M7168" s="5"/>
      <c r="N7168" s="5"/>
      <c r="O7168" s="5"/>
    </row>
    <row r="7169">
      <c r="A7169" s="6"/>
      <c r="C7169" s="6"/>
      <c r="L7169" s="7"/>
      <c r="M7169" s="5"/>
      <c r="N7169" s="5"/>
      <c r="O7169" s="5"/>
    </row>
    <row r="7170">
      <c r="A7170" s="6"/>
      <c r="C7170" s="6"/>
      <c r="L7170" s="7"/>
      <c r="M7170" s="5"/>
      <c r="N7170" s="5"/>
      <c r="O7170" s="5"/>
    </row>
    <row r="7171">
      <c r="A7171" s="6"/>
      <c r="C7171" s="6"/>
      <c r="L7171" s="7"/>
      <c r="M7171" s="5"/>
      <c r="N7171" s="5"/>
      <c r="O7171" s="5"/>
    </row>
    <row r="7172">
      <c r="A7172" s="6"/>
      <c r="C7172" s="6"/>
      <c r="L7172" s="7"/>
      <c r="M7172" s="5"/>
      <c r="N7172" s="5"/>
      <c r="O7172" s="5"/>
    </row>
    <row r="7173">
      <c r="A7173" s="6"/>
      <c r="C7173" s="6"/>
      <c r="L7173" s="7"/>
      <c r="M7173" s="5"/>
      <c r="N7173" s="5"/>
      <c r="O7173" s="5"/>
    </row>
    <row r="7174">
      <c r="A7174" s="6"/>
      <c r="C7174" s="6"/>
      <c r="L7174" s="7"/>
      <c r="M7174" s="5"/>
      <c r="N7174" s="5"/>
      <c r="O7174" s="5"/>
    </row>
    <row r="7175">
      <c r="A7175" s="6"/>
      <c r="C7175" s="6"/>
      <c r="L7175" s="7"/>
      <c r="M7175" s="5"/>
      <c r="N7175" s="5"/>
      <c r="O7175" s="5"/>
    </row>
    <row r="7176">
      <c r="A7176" s="6"/>
      <c r="C7176" s="6"/>
      <c r="L7176" s="7"/>
      <c r="M7176" s="5"/>
      <c r="N7176" s="5"/>
      <c r="O7176" s="5"/>
    </row>
    <row r="7177">
      <c r="A7177" s="6"/>
      <c r="C7177" s="6"/>
      <c r="L7177" s="7"/>
      <c r="M7177" s="5"/>
      <c r="N7177" s="5"/>
      <c r="O7177" s="5"/>
    </row>
    <row r="7178">
      <c r="A7178" s="6"/>
      <c r="C7178" s="6"/>
      <c r="L7178" s="7"/>
      <c r="M7178" s="5"/>
      <c r="N7178" s="5"/>
      <c r="O7178" s="5"/>
    </row>
    <row r="7179">
      <c r="A7179" s="6"/>
      <c r="C7179" s="6"/>
      <c r="L7179" s="7"/>
      <c r="M7179" s="5"/>
      <c r="N7179" s="5"/>
      <c r="O7179" s="5"/>
    </row>
    <row r="7180">
      <c r="A7180" s="6"/>
      <c r="C7180" s="6"/>
      <c r="L7180" s="7"/>
      <c r="M7180" s="5"/>
      <c r="N7180" s="5"/>
      <c r="O7180" s="5"/>
    </row>
    <row r="7181">
      <c r="A7181" s="6"/>
      <c r="C7181" s="6"/>
      <c r="L7181" s="7"/>
      <c r="M7181" s="5"/>
      <c r="N7181" s="5"/>
      <c r="O7181" s="5"/>
    </row>
    <row r="7182">
      <c r="A7182" s="6"/>
      <c r="C7182" s="6"/>
      <c r="L7182" s="7"/>
      <c r="M7182" s="5"/>
      <c r="N7182" s="5"/>
      <c r="O7182" s="5"/>
    </row>
    <row r="7183">
      <c r="A7183" s="6"/>
      <c r="C7183" s="6"/>
      <c r="L7183" s="7"/>
      <c r="M7183" s="5"/>
      <c r="N7183" s="5"/>
      <c r="O7183" s="5"/>
    </row>
    <row r="7184">
      <c r="A7184" s="6"/>
      <c r="C7184" s="6"/>
      <c r="L7184" s="7"/>
      <c r="M7184" s="5"/>
      <c r="N7184" s="5"/>
      <c r="O7184" s="5"/>
    </row>
    <row r="7185">
      <c r="A7185" s="6"/>
      <c r="C7185" s="6"/>
      <c r="L7185" s="7"/>
      <c r="M7185" s="5"/>
      <c r="N7185" s="5"/>
      <c r="O7185" s="5"/>
    </row>
    <row r="7186">
      <c r="A7186" s="6"/>
      <c r="C7186" s="6"/>
      <c r="L7186" s="7"/>
      <c r="M7186" s="5"/>
      <c r="N7186" s="5"/>
      <c r="O7186" s="5"/>
    </row>
    <row r="7187">
      <c r="A7187" s="6"/>
      <c r="C7187" s="6"/>
      <c r="L7187" s="7"/>
      <c r="M7187" s="5"/>
      <c r="N7187" s="5"/>
      <c r="O7187" s="5"/>
    </row>
    <row r="7188">
      <c r="A7188" s="6"/>
      <c r="C7188" s="6"/>
      <c r="L7188" s="7"/>
      <c r="M7188" s="5"/>
      <c r="N7188" s="5"/>
      <c r="O7188" s="5"/>
    </row>
    <row r="7189">
      <c r="A7189" s="6"/>
      <c r="C7189" s="6"/>
      <c r="L7189" s="7"/>
      <c r="M7189" s="5"/>
      <c r="N7189" s="5"/>
      <c r="O7189" s="5"/>
    </row>
    <row r="7190">
      <c r="A7190" s="6"/>
      <c r="C7190" s="6"/>
      <c r="L7190" s="7"/>
      <c r="M7190" s="5"/>
      <c r="N7190" s="5"/>
      <c r="O7190" s="5"/>
    </row>
    <row r="7191">
      <c r="A7191" s="6"/>
      <c r="C7191" s="6"/>
      <c r="L7191" s="7"/>
      <c r="M7191" s="5"/>
      <c r="N7191" s="5"/>
      <c r="O7191" s="5"/>
    </row>
    <row r="7192">
      <c r="A7192" s="6"/>
      <c r="C7192" s="6"/>
      <c r="L7192" s="7"/>
      <c r="M7192" s="5"/>
      <c r="N7192" s="5"/>
      <c r="O7192" s="5"/>
    </row>
    <row r="7193">
      <c r="A7193" s="6"/>
      <c r="C7193" s="6"/>
      <c r="L7193" s="7"/>
      <c r="M7193" s="5"/>
      <c r="N7193" s="5"/>
      <c r="O7193" s="5"/>
    </row>
    <row r="7194">
      <c r="A7194" s="6"/>
      <c r="C7194" s="6"/>
      <c r="L7194" s="7"/>
      <c r="M7194" s="5"/>
      <c r="N7194" s="5"/>
      <c r="O7194" s="5"/>
    </row>
    <row r="7195">
      <c r="A7195" s="6"/>
      <c r="C7195" s="6"/>
      <c r="L7195" s="7"/>
      <c r="M7195" s="5"/>
      <c r="N7195" s="5"/>
      <c r="O7195" s="5"/>
    </row>
    <row r="7196">
      <c r="A7196" s="6"/>
      <c r="C7196" s="6"/>
      <c r="L7196" s="7"/>
      <c r="M7196" s="5"/>
      <c r="N7196" s="5"/>
      <c r="O7196" s="5"/>
    </row>
    <row r="7197">
      <c r="A7197" s="6"/>
      <c r="C7197" s="6"/>
      <c r="L7197" s="7"/>
      <c r="M7197" s="5"/>
      <c r="N7197" s="5"/>
      <c r="O7197" s="5"/>
    </row>
    <row r="7198">
      <c r="A7198" s="6"/>
      <c r="C7198" s="6"/>
      <c r="L7198" s="7"/>
      <c r="M7198" s="5"/>
      <c r="N7198" s="5"/>
      <c r="O7198" s="5"/>
    </row>
    <row r="7199">
      <c r="A7199" s="6"/>
      <c r="C7199" s="6"/>
      <c r="L7199" s="7"/>
      <c r="M7199" s="5"/>
      <c r="N7199" s="5"/>
      <c r="O7199" s="5"/>
    </row>
    <row r="7200">
      <c r="A7200" s="6"/>
      <c r="C7200" s="6"/>
      <c r="L7200" s="7"/>
      <c r="M7200" s="5"/>
      <c r="N7200" s="5"/>
      <c r="O7200" s="5"/>
    </row>
    <row r="7201">
      <c r="A7201" s="6"/>
      <c r="C7201" s="6"/>
      <c r="L7201" s="7"/>
      <c r="M7201" s="5"/>
      <c r="N7201" s="5"/>
      <c r="O7201" s="5"/>
    </row>
    <row r="7202">
      <c r="A7202" s="6"/>
      <c r="C7202" s="6"/>
      <c r="L7202" s="7"/>
      <c r="M7202" s="5"/>
      <c r="N7202" s="5"/>
      <c r="O7202" s="5"/>
    </row>
    <row r="7203">
      <c r="A7203" s="6"/>
      <c r="C7203" s="6"/>
      <c r="L7203" s="7"/>
      <c r="M7203" s="5"/>
      <c r="N7203" s="5"/>
      <c r="O7203" s="5"/>
    </row>
    <row r="7204">
      <c r="A7204" s="6"/>
      <c r="C7204" s="6"/>
      <c r="L7204" s="7"/>
      <c r="M7204" s="5"/>
      <c r="N7204" s="5"/>
      <c r="O7204" s="5"/>
    </row>
    <row r="7205">
      <c r="A7205" s="6"/>
      <c r="C7205" s="6"/>
      <c r="L7205" s="7"/>
      <c r="M7205" s="5"/>
      <c r="N7205" s="5"/>
      <c r="O7205" s="5"/>
    </row>
    <row r="7206">
      <c r="A7206" s="6"/>
      <c r="C7206" s="6"/>
      <c r="L7206" s="7"/>
      <c r="M7206" s="5"/>
      <c r="N7206" s="5"/>
      <c r="O7206" s="5"/>
    </row>
    <row r="7207">
      <c r="A7207" s="6"/>
      <c r="C7207" s="6"/>
      <c r="L7207" s="7"/>
      <c r="M7207" s="5"/>
      <c r="N7207" s="5"/>
      <c r="O7207" s="5"/>
    </row>
    <row r="7208">
      <c r="A7208" s="6"/>
      <c r="C7208" s="6"/>
      <c r="L7208" s="7"/>
      <c r="M7208" s="5"/>
      <c r="N7208" s="5"/>
      <c r="O7208" s="5"/>
    </row>
    <row r="7209">
      <c r="A7209" s="6"/>
      <c r="C7209" s="6"/>
      <c r="L7209" s="7"/>
      <c r="M7209" s="5"/>
      <c r="N7209" s="5"/>
      <c r="O7209" s="5"/>
    </row>
    <row r="7210">
      <c r="A7210" s="6"/>
      <c r="C7210" s="6"/>
      <c r="L7210" s="7"/>
      <c r="M7210" s="5"/>
      <c r="N7210" s="5"/>
      <c r="O7210" s="5"/>
    </row>
    <row r="7211">
      <c r="A7211" s="6"/>
      <c r="C7211" s="6"/>
      <c r="L7211" s="7"/>
      <c r="M7211" s="5"/>
      <c r="N7211" s="5"/>
      <c r="O7211" s="5"/>
    </row>
    <row r="7212">
      <c r="A7212" s="6"/>
      <c r="C7212" s="6"/>
      <c r="L7212" s="7"/>
      <c r="M7212" s="5"/>
      <c r="N7212" s="5"/>
      <c r="O7212" s="5"/>
    </row>
    <row r="7213">
      <c r="A7213" s="6"/>
      <c r="C7213" s="6"/>
      <c r="L7213" s="7"/>
      <c r="M7213" s="5"/>
      <c r="N7213" s="5"/>
      <c r="O7213" s="5"/>
    </row>
    <row r="7214">
      <c r="A7214" s="6"/>
      <c r="C7214" s="6"/>
      <c r="L7214" s="7"/>
      <c r="M7214" s="5"/>
      <c r="N7214" s="5"/>
      <c r="O7214" s="5"/>
    </row>
    <row r="7215">
      <c r="A7215" s="6"/>
      <c r="C7215" s="6"/>
      <c r="L7215" s="7"/>
      <c r="M7215" s="5"/>
      <c r="N7215" s="5"/>
      <c r="O7215" s="5"/>
    </row>
    <row r="7216">
      <c r="A7216" s="6"/>
      <c r="C7216" s="6"/>
      <c r="L7216" s="7"/>
      <c r="M7216" s="5"/>
      <c r="N7216" s="5"/>
      <c r="O7216" s="5"/>
    </row>
    <row r="7217">
      <c r="A7217" s="6"/>
      <c r="C7217" s="6"/>
      <c r="L7217" s="7"/>
      <c r="M7217" s="5"/>
      <c r="N7217" s="5"/>
      <c r="O7217" s="5"/>
    </row>
    <row r="7218">
      <c r="A7218" s="6"/>
      <c r="C7218" s="6"/>
      <c r="L7218" s="7"/>
      <c r="M7218" s="5"/>
      <c r="N7218" s="5"/>
      <c r="O7218" s="5"/>
    </row>
    <row r="7219">
      <c r="A7219" s="6"/>
      <c r="C7219" s="6"/>
      <c r="L7219" s="7"/>
      <c r="M7219" s="5"/>
      <c r="N7219" s="5"/>
      <c r="O7219" s="5"/>
    </row>
    <row r="7220">
      <c r="A7220" s="6"/>
      <c r="C7220" s="6"/>
      <c r="L7220" s="7"/>
      <c r="M7220" s="5"/>
      <c r="N7220" s="5"/>
      <c r="O7220" s="5"/>
    </row>
    <row r="7221">
      <c r="A7221" s="6"/>
      <c r="C7221" s="6"/>
      <c r="L7221" s="7"/>
      <c r="M7221" s="5"/>
      <c r="N7221" s="5"/>
      <c r="O7221" s="5"/>
    </row>
    <row r="7222">
      <c r="A7222" s="6"/>
      <c r="C7222" s="6"/>
      <c r="L7222" s="7"/>
      <c r="M7222" s="5"/>
      <c r="N7222" s="5"/>
      <c r="O7222" s="5"/>
    </row>
    <row r="7223">
      <c r="A7223" s="6"/>
      <c r="C7223" s="6"/>
      <c r="L7223" s="7"/>
      <c r="M7223" s="5"/>
      <c r="N7223" s="5"/>
      <c r="O7223" s="5"/>
    </row>
    <row r="7224">
      <c r="A7224" s="6"/>
      <c r="C7224" s="6"/>
      <c r="L7224" s="7"/>
      <c r="M7224" s="5"/>
      <c r="N7224" s="5"/>
      <c r="O7224" s="5"/>
    </row>
    <row r="7225">
      <c r="A7225" s="6"/>
      <c r="C7225" s="6"/>
      <c r="L7225" s="7"/>
      <c r="M7225" s="5"/>
      <c r="N7225" s="5"/>
      <c r="O7225" s="5"/>
    </row>
    <row r="7226">
      <c r="A7226" s="6"/>
      <c r="C7226" s="6"/>
      <c r="L7226" s="7"/>
      <c r="M7226" s="5"/>
      <c r="N7226" s="5"/>
      <c r="O7226" s="5"/>
    </row>
    <row r="7227">
      <c r="A7227" s="6"/>
      <c r="C7227" s="6"/>
      <c r="L7227" s="7"/>
      <c r="M7227" s="5"/>
      <c r="N7227" s="5"/>
      <c r="O7227" s="5"/>
    </row>
    <row r="7228">
      <c r="A7228" s="6"/>
      <c r="C7228" s="6"/>
      <c r="L7228" s="7"/>
      <c r="M7228" s="5"/>
      <c r="N7228" s="5"/>
      <c r="O7228" s="5"/>
    </row>
    <row r="7229">
      <c r="A7229" s="6"/>
      <c r="C7229" s="6"/>
      <c r="L7229" s="7"/>
      <c r="M7229" s="5"/>
      <c r="N7229" s="5"/>
      <c r="O7229" s="5"/>
    </row>
    <row r="7230">
      <c r="A7230" s="6"/>
      <c r="C7230" s="6"/>
      <c r="L7230" s="7"/>
      <c r="M7230" s="5"/>
      <c r="N7230" s="5"/>
      <c r="O7230" s="5"/>
    </row>
    <row r="7231">
      <c r="A7231" s="6"/>
      <c r="C7231" s="6"/>
      <c r="L7231" s="7"/>
      <c r="M7231" s="5"/>
      <c r="N7231" s="5"/>
      <c r="O7231" s="5"/>
    </row>
    <row r="7232">
      <c r="A7232" s="6"/>
      <c r="C7232" s="6"/>
      <c r="L7232" s="7"/>
      <c r="M7232" s="5"/>
      <c r="N7232" s="5"/>
      <c r="O7232" s="5"/>
    </row>
    <row r="7233">
      <c r="A7233" s="6"/>
      <c r="C7233" s="6"/>
      <c r="L7233" s="7"/>
      <c r="M7233" s="5"/>
      <c r="N7233" s="5"/>
      <c r="O7233" s="5"/>
    </row>
    <row r="7234">
      <c r="A7234" s="6"/>
      <c r="C7234" s="6"/>
      <c r="L7234" s="7"/>
      <c r="M7234" s="5"/>
      <c r="N7234" s="5"/>
      <c r="O7234" s="5"/>
    </row>
    <row r="7235">
      <c r="A7235" s="6"/>
      <c r="C7235" s="6"/>
      <c r="L7235" s="7"/>
      <c r="M7235" s="5"/>
      <c r="N7235" s="5"/>
      <c r="O7235" s="5"/>
    </row>
    <row r="7236">
      <c r="A7236" s="6"/>
      <c r="C7236" s="6"/>
      <c r="L7236" s="7"/>
      <c r="M7236" s="5"/>
      <c r="N7236" s="5"/>
      <c r="O7236" s="5"/>
    </row>
    <row r="7237">
      <c r="A7237" s="6"/>
      <c r="C7237" s="6"/>
      <c r="L7237" s="7"/>
      <c r="M7237" s="5"/>
      <c r="N7237" s="5"/>
      <c r="O7237" s="5"/>
    </row>
    <row r="7238">
      <c r="A7238" s="6"/>
      <c r="C7238" s="6"/>
      <c r="L7238" s="7"/>
      <c r="M7238" s="5"/>
      <c r="N7238" s="5"/>
      <c r="O7238" s="5"/>
    </row>
    <row r="7239">
      <c r="A7239" s="6"/>
      <c r="C7239" s="6"/>
      <c r="L7239" s="7"/>
      <c r="M7239" s="5"/>
      <c r="N7239" s="5"/>
      <c r="O7239" s="5"/>
    </row>
    <row r="7240">
      <c r="A7240" s="6"/>
      <c r="C7240" s="6"/>
      <c r="L7240" s="7"/>
      <c r="M7240" s="5"/>
      <c r="N7240" s="5"/>
      <c r="O7240" s="5"/>
    </row>
    <row r="7241">
      <c r="A7241" s="6"/>
      <c r="C7241" s="6"/>
      <c r="L7241" s="7"/>
      <c r="M7241" s="5"/>
      <c r="N7241" s="5"/>
      <c r="O7241" s="5"/>
    </row>
    <row r="7242">
      <c r="A7242" s="6"/>
      <c r="C7242" s="6"/>
      <c r="L7242" s="7"/>
      <c r="M7242" s="5"/>
      <c r="N7242" s="5"/>
      <c r="O7242" s="5"/>
    </row>
    <row r="7243">
      <c r="A7243" s="6"/>
      <c r="C7243" s="6"/>
      <c r="L7243" s="7"/>
      <c r="M7243" s="5"/>
      <c r="N7243" s="5"/>
      <c r="O7243" s="5"/>
    </row>
    <row r="7244">
      <c r="A7244" s="6"/>
      <c r="C7244" s="6"/>
      <c r="L7244" s="7"/>
      <c r="M7244" s="5"/>
      <c r="N7244" s="5"/>
      <c r="O7244" s="5"/>
    </row>
    <row r="7245">
      <c r="A7245" s="6"/>
      <c r="C7245" s="6"/>
      <c r="L7245" s="7"/>
      <c r="M7245" s="5"/>
      <c r="N7245" s="5"/>
      <c r="O7245" s="5"/>
    </row>
    <row r="7246">
      <c r="A7246" s="6"/>
      <c r="C7246" s="6"/>
      <c r="L7246" s="7"/>
      <c r="M7246" s="5"/>
      <c r="N7246" s="5"/>
      <c r="O7246" s="5"/>
    </row>
    <row r="7247">
      <c r="A7247" s="6"/>
      <c r="C7247" s="6"/>
      <c r="L7247" s="7"/>
      <c r="M7247" s="5"/>
      <c r="N7247" s="5"/>
      <c r="O7247" s="5"/>
    </row>
    <row r="7248">
      <c r="A7248" s="6"/>
      <c r="C7248" s="6"/>
      <c r="L7248" s="7"/>
      <c r="M7248" s="5"/>
      <c r="N7248" s="5"/>
      <c r="O7248" s="5"/>
    </row>
    <row r="7249">
      <c r="A7249" s="6"/>
      <c r="C7249" s="6"/>
      <c r="L7249" s="7"/>
      <c r="M7249" s="5"/>
      <c r="N7249" s="5"/>
      <c r="O7249" s="5"/>
    </row>
    <row r="7250">
      <c r="A7250" s="6"/>
      <c r="C7250" s="6"/>
      <c r="L7250" s="7"/>
      <c r="M7250" s="5"/>
      <c r="N7250" s="5"/>
      <c r="O7250" s="5"/>
    </row>
    <row r="7251">
      <c r="A7251" s="6"/>
      <c r="C7251" s="6"/>
      <c r="L7251" s="7"/>
      <c r="M7251" s="5"/>
      <c r="N7251" s="5"/>
      <c r="O7251" s="5"/>
    </row>
    <row r="7252">
      <c r="A7252" s="6"/>
      <c r="C7252" s="6"/>
      <c r="L7252" s="7"/>
      <c r="M7252" s="5"/>
      <c r="N7252" s="5"/>
      <c r="O7252" s="5"/>
    </row>
    <row r="7253">
      <c r="A7253" s="6"/>
      <c r="C7253" s="6"/>
      <c r="L7253" s="7"/>
      <c r="M7253" s="5"/>
      <c r="N7253" s="5"/>
      <c r="O7253" s="5"/>
    </row>
    <row r="7254">
      <c r="A7254" s="6"/>
      <c r="C7254" s="6"/>
      <c r="L7254" s="7"/>
      <c r="M7254" s="5"/>
      <c r="N7254" s="5"/>
      <c r="O7254" s="5"/>
    </row>
    <row r="7255">
      <c r="A7255" s="6"/>
      <c r="C7255" s="6"/>
      <c r="L7255" s="7"/>
      <c r="M7255" s="5"/>
      <c r="N7255" s="5"/>
      <c r="O7255" s="5"/>
    </row>
    <row r="7256">
      <c r="A7256" s="6"/>
      <c r="C7256" s="6"/>
      <c r="L7256" s="7"/>
      <c r="M7256" s="5"/>
      <c r="N7256" s="5"/>
      <c r="O7256" s="5"/>
    </row>
    <row r="7257">
      <c r="A7257" s="6"/>
      <c r="C7257" s="6"/>
      <c r="L7257" s="7"/>
      <c r="M7257" s="5"/>
      <c r="N7257" s="5"/>
      <c r="O7257" s="5"/>
    </row>
    <row r="7258">
      <c r="A7258" s="6"/>
      <c r="C7258" s="6"/>
      <c r="L7258" s="7"/>
      <c r="M7258" s="5"/>
      <c r="N7258" s="5"/>
      <c r="O7258" s="5"/>
    </row>
    <row r="7259">
      <c r="A7259" s="6"/>
      <c r="C7259" s="6"/>
      <c r="L7259" s="7"/>
      <c r="M7259" s="5"/>
      <c r="N7259" s="5"/>
      <c r="O7259" s="5"/>
    </row>
    <row r="7260">
      <c r="A7260" s="6"/>
      <c r="C7260" s="6"/>
      <c r="L7260" s="7"/>
      <c r="M7260" s="5"/>
      <c r="N7260" s="5"/>
      <c r="O7260" s="5"/>
    </row>
    <row r="7261">
      <c r="A7261" s="6"/>
      <c r="C7261" s="6"/>
      <c r="L7261" s="7"/>
      <c r="M7261" s="5"/>
      <c r="N7261" s="5"/>
      <c r="O7261" s="5"/>
    </row>
    <row r="7262">
      <c r="A7262" s="6"/>
      <c r="C7262" s="6"/>
      <c r="L7262" s="7"/>
      <c r="M7262" s="5"/>
      <c r="N7262" s="5"/>
      <c r="O7262" s="5"/>
    </row>
    <row r="7263">
      <c r="A7263" s="6"/>
      <c r="C7263" s="6"/>
      <c r="L7263" s="7"/>
      <c r="M7263" s="5"/>
      <c r="N7263" s="5"/>
      <c r="O7263" s="5"/>
    </row>
    <row r="7264">
      <c r="A7264" s="6"/>
      <c r="C7264" s="6"/>
      <c r="L7264" s="7"/>
      <c r="M7264" s="5"/>
      <c r="N7264" s="5"/>
      <c r="O7264" s="5"/>
    </row>
    <row r="7265">
      <c r="A7265" s="6"/>
      <c r="C7265" s="6"/>
      <c r="L7265" s="7"/>
      <c r="M7265" s="5"/>
      <c r="N7265" s="5"/>
      <c r="O7265" s="5"/>
    </row>
    <row r="7266">
      <c r="A7266" s="6"/>
      <c r="C7266" s="6"/>
      <c r="L7266" s="7"/>
      <c r="M7266" s="5"/>
      <c r="N7266" s="5"/>
      <c r="O7266" s="5"/>
    </row>
    <row r="7267">
      <c r="A7267" s="6"/>
      <c r="C7267" s="6"/>
      <c r="L7267" s="7"/>
      <c r="M7267" s="5"/>
      <c r="N7267" s="5"/>
      <c r="O7267" s="5"/>
    </row>
    <row r="7268">
      <c r="A7268" s="6"/>
      <c r="C7268" s="6"/>
      <c r="L7268" s="7"/>
      <c r="M7268" s="5"/>
      <c r="N7268" s="5"/>
      <c r="O7268" s="5"/>
    </row>
    <row r="7269">
      <c r="A7269" s="6"/>
      <c r="C7269" s="6"/>
      <c r="L7269" s="7"/>
      <c r="M7269" s="5"/>
      <c r="N7269" s="5"/>
      <c r="O7269" s="5"/>
    </row>
    <row r="7270">
      <c r="A7270" s="6"/>
      <c r="C7270" s="6"/>
      <c r="L7270" s="7"/>
      <c r="M7270" s="5"/>
      <c r="N7270" s="5"/>
      <c r="O7270" s="5"/>
    </row>
    <row r="7271">
      <c r="A7271" s="6"/>
      <c r="C7271" s="6"/>
      <c r="L7271" s="7"/>
      <c r="M7271" s="5"/>
      <c r="N7271" s="5"/>
      <c r="O7271" s="5"/>
    </row>
    <row r="7272">
      <c r="A7272" s="6"/>
      <c r="C7272" s="6"/>
      <c r="L7272" s="7"/>
      <c r="M7272" s="5"/>
      <c r="N7272" s="5"/>
      <c r="O7272" s="5"/>
    </row>
    <row r="7273">
      <c r="A7273" s="6"/>
      <c r="C7273" s="6"/>
      <c r="L7273" s="7"/>
      <c r="M7273" s="5"/>
      <c r="N7273" s="5"/>
      <c r="O7273" s="5"/>
    </row>
    <row r="7274">
      <c r="A7274" s="6"/>
      <c r="C7274" s="6"/>
      <c r="L7274" s="7"/>
      <c r="M7274" s="5"/>
      <c r="N7274" s="5"/>
      <c r="O7274" s="5"/>
    </row>
    <row r="7275">
      <c r="A7275" s="6"/>
      <c r="C7275" s="6"/>
      <c r="L7275" s="7"/>
      <c r="M7275" s="5"/>
      <c r="N7275" s="5"/>
      <c r="O7275" s="5"/>
    </row>
    <row r="7276">
      <c r="A7276" s="6"/>
      <c r="C7276" s="6"/>
      <c r="L7276" s="7"/>
      <c r="M7276" s="5"/>
      <c r="N7276" s="5"/>
      <c r="O7276" s="5"/>
    </row>
    <row r="7277">
      <c r="A7277" s="6"/>
      <c r="C7277" s="6"/>
      <c r="L7277" s="7"/>
      <c r="M7277" s="5"/>
      <c r="N7277" s="5"/>
      <c r="O7277" s="5"/>
    </row>
    <row r="7278">
      <c r="A7278" s="6"/>
      <c r="C7278" s="6"/>
      <c r="L7278" s="7"/>
      <c r="M7278" s="5"/>
      <c r="N7278" s="5"/>
      <c r="O7278" s="5"/>
    </row>
    <row r="7279">
      <c r="A7279" s="6"/>
      <c r="C7279" s="6"/>
      <c r="L7279" s="7"/>
      <c r="M7279" s="5"/>
      <c r="N7279" s="5"/>
      <c r="O7279" s="5"/>
    </row>
    <row r="7280">
      <c r="A7280" s="6"/>
      <c r="C7280" s="6"/>
      <c r="L7280" s="7"/>
      <c r="M7280" s="5"/>
      <c r="N7280" s="5"/>
      <c r="O7280" s="5"/>
    </row>
    <row r="7281">
      <c r="A7281" s="6"/>
      <c r="C7281" s="6"/>
      <c r="L7281" s="7"/>
      <c r="M7281" s="5"/>
      <c r="N7281" s="5"/>
      <c r="O7281" s="5"/>
    </row>
    <row r="7282">
      <c r="A7282" s="6"/>
      <c r="C7282" s="6"/>
      <c r="L7282" s="7"/>
      <c r="M7282" s="5"/>
      <c r="N7282" s="5"/>
      <c r="O7282" s="5"/>
    </row>
    <row r="7283">
      <c r="A7283" s="6"/>
      <c r="C7283" s="6"/>
      <c r="L7283" s="7"/>
      <c r="M7283" s="5"/>
      <c r="N7283" s="5"/>
      <c r="O7283" s="5"/>
    </row>
    <row r="7284">
      <c r="A7284" s="6"/>
      <c r="C7284" s="6"/>
      <c r="L7284" s="7"/>
      <c r="M7284" s="5"/>
      <c r="N7284" s="5"/>
      <c r="O7284" s="5"/>
    </row>
    <row r="7285">
      <c r="A7285" s="6"/>
      <c r="C7285" s="6"/>
      <c r="L7285" s="7"/>
      <c r="M7285" s="5"/>
      <c r="N7285" s="5"/>
      <c r="O7285" s="5"/>
    </row>
    <row r="7286">
      <c r="A7286" s="6"/>
      <c r="C7286" s="6"/>
      <c r="L7286" s="7"/>
      <c r="M7286" s="5"/>
      <c r="N7286" s="5"/>
      <c r="O7286" s="5"/>
    </row>
    <row r="7287">
      <c r="A7287" s="6"/>
      <c r="C7287" s="6"/>
      <c r="L7287" s="7"/>
      <c r="M7287" s="5"/>
      <c r="N7287" s="5"/>
      <c r="O7287" s="5"/>
    </row>
    <row r="7288">
      <c r="A7288" s="6"/>
      <c r="C7288" s="6"/>
      <c r="L7288" s="7"/>
      <c r="M7288" s="5"/>
      <c r="N7288" s="5"/>
      <c r="O7288" s="5"/>
    </row>
    <row r="7289">
      <c r="A7289" s="6"/>
      <c r="C7289" s="6"/>
      <c r="L7289" s="7"/>
      <c r="M7289" s="5"/>
      <c r="N7289" s="5"/>
      <c r="O7289" s="5"/>
    </row>
    <row r="7290">
      <c r="A7290" s="6"/>
      <c r="C7290" s="6"/>
      <c r="L7290" s="7"/>
      <c r="M7290" s="5"/>
      <c r="N7290" s="5"/>
      <c r="O7290" s="5"/>
    </row>
    <row r="7291">
      <c r="A7291" s="6"/>
      <c r="C7291" s="6"/>
      <c r="L7291" s="7"/>
      <c r="M7291" s="5"/>
      <c r="N7291" s="5"/>
      <c r="O7291" s="5"/>
    </row>
    <row r="7292">
      <c r="A7292" s="6"/>
      <c r="C7292" s="6"/>
      <c r="L7292" s="7"/>
      <c r="M7292" s="5"/>
      <c r="N7292" s="5"/>
      <c r="O7292" s="5"/>
    </row>
    <row r="7293">
      <c r="A7293" s="6"/>
      <c r="C7293" s="6"/>
      <c r="L7293" s="7"/>
      <c r="M7293" s="5"/>
      <c r="N7293" s="5"/>
      <c r="O7293" s="5"/>
    </row>
    <row r="7294">
      <c r="A7294" s="6"/>
      <c r="C7294" s="6"/>
      <c r="L7294" s="7"/>
      <c r="M7294" s="5"/>
      <c r="N7294" s="5"/>
      <c r="O7294" s="5"/>
    </row>
    <row r="7295">
      <c r="A7295" s="6"/>
      <c r="C7295" s="6"/>
      <c r="L7295" s="7"/>
      <c r="M7295" s="5"/>
      <c r="N7295" s="5"/>
      <c r="O7295" s="5"/>
    </row>
    <row r="7296">
      <c r="A7296" s="6"/>
      <c r="C7296" s="6"/>
      <c r="L7296" s="7"/>
      <c r="M7296" s="5"/>
      <c r="N7296" s="5"/>
      <c r="O7296" s="5"/>
    </row>
    <row r="7297">
      <c r="A7297" s="6"/>
      <c r="C7297" s="6"/>
      <c r="L7297" s="7"/>
      <c r="M7297" s="5"/>
      <c r="N7297" s="5"/>
      <c r="O7297" s="5"/>
    </row>
    <row r="7298">
      <c r="A7298" s="6"/>
      <c r="C7298" s="6"/>
      <c r="L7298" s="7"/>
      <c r="M7298" s="5"/>
      <c r="N7298" s="5"/>
      <c r="O7298" s="5"/>
    </row>
    <row r="7299">
      <c r="A7299" s="6"/>
      <c r="C7299" s="6"/>
      <c r="L7299" s="7"/>
      <c r="M7299" s="5"/>
      <c r="N7299" s="5"/>
      <c r="O7299" s="5"/>
    </row>
    <row r="7300">
      <c r="A7300" s="6"/>
      <c r="C7300" s="6"/>
      <c r="L7300" s="7"/>
      <c r="M7300" s="5"/>
      <c r="N7300" s="5"/>
      <c r="O7300" s="5"/>
    </row>
    <row r="7301">
      <c r="A7301" s="6"/>
      <c r="C7301" s="6"/>
      <c r="L7301" s="7"/>
      <c r="M7301" s="5"/>
      <c r="N7301" s="5"/>
      <c r="O7301" s="5"/>
    </row>
    <row r="7302">
      <c r="A7302" s="6"/>
      <c r="C7302" s="6"/>
      <c r="L7302" s="7"/>
      <c r="M7302" s="5"/>
      <c r="N7302" s="5"/>
      <c r="O7302" s="5"/>
    </row>
    <row r="7303">
      <c r="A7303" s="6"/>
      <c r="C7303" s="6"/>
      <c r="L7303" s="7"/>
      <c r="M7303" s="5"/>
      <c r="N7303" s="5"/>
      <c r="O7303" s="5"/>
    </row>
    <row r="7304">
      <c r="A7304" s="6"/>
      <c r="C7304" s="6"/>
      <c r="L7304" s="7"/>
      <c r="M7304" s="5"/>
      <c r="N7304" s="5"/>
      <c r="O7304" s="5"/>
    </row>
    <row r="7305">
      <c r="A7305" s="6"/>
      <c r="C7305" s="6"/>
      <c r="L7305" s="7"/>
      <c r="M7305" s="5"/>
      <c r="N7305" s="5"/>
      <c r="O7305" s="5"/>
    </row>
    <row r="7306">
      <c r="A7306" s="6"/>
      <c r="C7306" s="6"/>
      <c r="L7306" s="7"/>
      <c r="M7306" s="5"/>
      <c r="N7306" s="5"/>
      <c r="O7306" s="5"/>
    </row>
    <row r="7307">
      <c r="A7307" s="6"/>
      <c r="C7307" s="6"/>
      <c r="L7307" s="7"/>
      <c r="M7307" s="5"/>
      <c r="N7307" s="5"/>
      <c r="O7307" s="5"/>
    </row>
    <row r="7308">
      <c r="A7308" s="6"/>
      <c r="C7308" s="6"/>
      <c r="L7308" s="7"/>
      <c r="M7308" s="5"/>
      <c r="N7308" s="5"/>
      <c r="O7308" s="5"/>
    </row>
    <row r="7309">
      <c r="A7309" s="6"/>
      <c r="C7309" s="6"/>
      <c r="L7309" s="7"/>
      <c r="M7309" s="5"/>
      <c r="N7309" s="5"/>
      <c r="O7309" s="5"/>
    </row>
    <row r="7310">
      <c r="A7310" s="6"/>
      <c r="C7310" s="6"/>
      <c r="L7310" s="7"/>
      <c r="M7310" s="5"/>
      <c r="N7310" s="5"/>
      <c r="O7310" s="5"/>
    </row>
    <row r="7311">
      <c r="A7311" s="6"/>
      <c r="C7311" s="6"/>
      <c r="L7311" s="7"/>
      <c r="M7311" s="5"/>
      <c r="N7311" s="5"/>
      <c r="O7311" s="5"/>
    </row>
    <row r="7312">
      <c r="A7312" s="6"/>
      <c r="C7312" s="6"/>
      <c r="L7312" s="7"/>
      <c r="M7312" s="5"/>
      <c r="N7312" s="5"/>
      <c r="O7312" s="5"/>
    </row>
    <row r="7313">
      <c r="A7313" s="6"/>
      <c r="C7313" s="6"/>
      <c r="L7313" s="7"/>
      <c r="M7313" s="5"/>
      <c r="N7313" s="5"/>
      <c r="O7313" s="5"/>
    </row>
    <row r="7314">
      <c r="A7314" s="6"/>
      <c r="C7314" s="6"/>
      <c r="L7314" s="7"/>
      <c r="M7314" s="5"/>
      <c r="N7314" s="5"/>
      <c r="O7314" s="5"/>
    </row>
    <row r="7315">
      <c r="A7315" s="6"/>
      <c r="C7315" s="6"/>
      <c r="L7315" s="7"/>
      <c r="M7315" s="5"/>
      <c r="N7315" s="5"/>
      <c r="O7315" s="5"/>
    </row>
    <row r="7316">
      <c r="A7316" s="6"/>
      <c r="C7316" s="6"/>
      <c r="L7316" s="7"/>
      <c r="M7316" s="5"/>
      <c r="N7316" s="5"/>
      <c r="O7316" s="5"/>
    </row>
    <row r="7317">
      <c r="A7317" s="6"/>
      <c r="C7317" s="6"/>
      <c r="L7317" s="7"/>
      <c r="M7317" s="5"/>
      <c r="N7317" s="5"/>
      <c r="O7317" s="5"/>
    </row>
    <row r="7318">
      <c r="A7318" s="6"/>
      <c r="C7318" s="6"/>
      <c r="L7318" s="7"/>
      <c r="M7318" s="5"/>
      <c r="N7318" s="5"/>
      <c r="O7318" s="5"/>
    </row>
    <row r="7319">
      <c r="A7319" s="6"/>
      <c r="C7319" s="6"/>
      <c r="L7319" s="7"/>
      <c r="M7319" s="5"/>
      <c r="N7319" s="5"/>
      <c r="O7319" s="5"/>
    </row>
    <row r="7320">
      <c r="A7320" s="6"/>
      <c r="C7320" s="6"/>
      <c r="L7320" s="7"/>
      <c r="M7320" s="5"/>
      <c r="N7320" s="5"/>
      <c r="O7320" s="5"/>
    </row>
    <row r="7321">
      <c r="A7321" s="6"/>
      <c r="C7321" s="6"/>
      <c r="L7321" s="7"/>
      <c r="M7321" s="5"/>
      <c r="N7321" s="5"/>
      <c r="O7321" s="5"/>
    </row>
    <row r="7322">
      <c r="A7322" s="6"/>
      <c r="C7322" s="6"/>
      <c r="L7322" s="7"/>
      <c r="M7322" s="5"/>
      <c r="N7322" s="5"/>
      <c r="O7322" s="5"/>
    </row>
    <row r="7323">
      <c r="A7323" s="6"/>
      <c r="C7323" s="6"/>
      <c r="L7323" s="7"/>
      <c r="M7323" s="5"/>
      <c r="N7323" s="5"/>
      <c r="O7323" s="5"/>
    </row>
    <row r="7324">
      <c r="A7324" s="6"/>
      <c r="C7324" s="6"/>
      <c r="L7324" s="7"/>
      <c r="M7324" s="5"/>
      <c r="N7324" s="5"/>
      <c r="O7324" s="5"/>
    </row>
    <row r="7325">
      <c r="A7325" s="6"/>
      <c r="C7325" s="6"/>
      <c r="L7325" s="7"/>
      <c r="M7325" s="5"/>
      <c r="N7325" s="5"/>
      <c r="O7325" s="5"/>
    </row>
    <row r="7326">
      <c r="A7326" s="6"/>
      <c r="C7326" s="6"/>
      <c r="L7326" s="7"/>
      <c r="M7326" s="5"/>
      <c r="N7326" s="5"/>
      <c r="O7326" s="5"/>
    </row>
    <row r="7327">
      <c r="A7327" s="6"/>
      <c r="C7327" s="6"/>
      <c r="L7327" s="7"/>
      <c r="M7327" s="5"/>
      <c r="N7327" s="5"/>
      <c r="O7327" s="5"/>
    </row>
    <row r="7328">
      <c r="A7328" s="6"/>
      <c r="C7328" s="6"/>
      <c r="L7328" s="7"/>
      <c r="M7328" s="5"/>
      <c r="N7328" s="5"/>
      <c r="O7328" s="5"/>
    </row>
    <row r="7329">
      <c r="A7329" s="6"/>
      <c r="C7329" s="6"/>
      <c r="L7329" s="7"/>
      <c r="M7329" s="5"/>
      <c r="N7329" s="5"/>
      <c r="O7329" s="5"/>
    </row>
    <row r="7330">
      <c r="A7330" s="6"/>
      <c r="C7330" s="6"/>
      <c r="L7330" s="7"/>
      <c r="M7330" s="5"/>
      <c r="N7330" s="5"/>
      <c r="O7330" s="5"/>
    </row>
    <row r="7331">
      <c r="A7331" s="6"/>
      <c r="C7331" s="6"/>
      <c r="L7331" s="7"/>
      <c r="M7331" s="5"/>
      <c r="N7331" s="5"/>
      <c r="O7331" s="5"/>
    </row>
    <row r="7332">
      <c r="A7332" s="6"/>
      <c r="C7332" s="6"/>
      <c r="L7332" s="7"/>
      <c r="M7332" s="5"/>
      <c r="N7332" s="5"/>
      <c r="O7332" s="5"/>
    </row>
    <row r="7333">
      <c r="A7333" s="6"/>
      <c r="C7333" s="6"/>
      <c r="L7333" s="7"/>
      <c r="M7333" s="5"/>
      <c r="N7333" s="5"/>
      <c r="O7333" s="5"/>
    </row>
    <row r="7334">
      <c r="A7334" s="6"/>
      <c r="C7334" s="6"/>
      <c r="L7334" s="7"/>
      <c r="M7334" s="5"/>
      <c r="N7334" s="5"/>
      <c r="O7334" s="5"/>
    </row>
    <row r="7335">
      <c r="A7335" s="6"/>
      <c r="C7335" s="6"/>
      <c r="L7335" s="7"/>
      <c r="M7335" s="5"/>
      <c r="N7335" s="5"/>
      <c r="O7335" s="5"/>
    </row>
    <row r="7336">
      <c r="A7336" s="6"/>
      <c r="C7336" s="6"/>
      <c r="L7336" s="7"/>
      <c r="M7336" s="5"/>
      <c r="N7336" s="5"/>
      <c r="O7336" s="5"/>
    </row>
    <row r="7337">
      <c r="A7337" s="6"/>
      <c r="C7337" s="6"/>
      <c r="L7337" s="7"/>
      <c r="M7337" s="5"/>
      <c r="N7337" s="5"/>
      <c r="O7337" s="5"/>
    </row>
    <row r="7338">
      <c r="A7338" s="6"/>
      <c r="C7338" s="6"/>
      <c r="L7338" s="7"/>
      <c r="M7338" s="5"/>
      <c r="N7338" s="5"/>
      <c r="O7338" s="5"/>
    </row>
    <row r="7339">
      <c r="A7339" s="6"/>
      <c r="C7339" s="6"/>
      <c r="L7339" s="7"/>
      <c r="M7339" s="5"/>
      <c r="N7339" s="5"/>
      <c r="O7339" s="5"/>
    </row>
    <row r="7340">
      <c r="A7340" s="6"/>
      <c r="C7340" s="6"/>
      <c r="L7340" s="7"/>
      <c r="M7340" s="5"/>
      <c r="N7340" s="5"/>
      <c r="O7340" s="5"/>
    </row>
    <row r="7341">
      <c r="A7341" s="6"/>
      <c r="C7341" s="6"/>
      <c r="L7341" s="7"/>
      <c r="M7341" s="5"/>
      <c r="N7341" s="5"/>
      <c r="O7341" s="5"/>
    </row>
    <row r="7342">
      <c r="A7342" s="6"/>
      <c r="C7342" s="6"/>
      <c r="L7342" s="7"/>
      <c r="M7342" s="5"/>
      <c r="N7342" s="5"/>
      <c r="O7342" s="5"/>
    </row>
    <row r="7343">
      <c r="A7343" s="6"/>
      <c r="C7343" s="6"/>
      <c r="L7343" s="7"/>
      <c r="M7343" s="5"/>
      <c r="N7343" s="5"/>
      <c r="O7343" s="5"/>
    </row>
    <row r="7344">
      <c r="A7344" s="6"/>
      <c r="C7344" s="6"/>
      <c r="L7344" s="7"/>
      <c r="M7344" s="5"/>
      <c r="N7344" s="5"/>
      <c r="O7344" s="5"/>
    </row>
    <row r="7345">
      <c r="A7345" s="6"/>
      <c r="C7345" s="6"/>
      <c r="L7345" s="7"/>
      <c r="M7345" s="5"/>
      <c r="N7345" s="5"/>
      <c r="O7345" s="5"/>
    </row>
    <row r="7346">
      <c r="A7346" s="6"/>
      <c r="C7346" s="6"/>
      <c r="L7346" s="7"/>
      <c r="M7346" s="5"/>
      <c r="N7346" s="5"/>
      <c r="O7346" s="5"/>
    </row>
    <row r="7347">
      <c r="A7347" s="6"/>
      <c r="C7347" s="6"/>
      <c r="L7347" s="7"/>
      <c r="M7347" s="5"/>
      <c r="N7347" s="5"/>
      <c r="O7347" s="5"/>
    </row>
    <row r="7348">
      <c r="A7348" s="6"/>
      <c r="C7348" s="6"/>
      <c r="L7348" s="7"/>
      <c r="M7348" s="5"/>
      <c r="N7348" s="5"/>
      <c r="O7348" s="5"/>
    </row>
    <row r="7349">
      <c r="A7349" s="6"/>
      <c r="C7349" s="6"/>
      <c r="L7349" s="7"/>
      <c r="M7349" s="5"/>
      <c r="N7349" s="5"/>
      <c r="O7349" s="5"/>
    </row>
    <row r="7350">
      <c r="A7350" s="6"/>
      <c r="C7350" s="6"/>
      <c r="L7350" s="7"/>
      <c r="M7350" s="5"/>
      <c r="N7350" s="5"/>
      <c r="O7350" s="5"/>
    </row>
    <row r="7351">
      <c r="A7351" s="6"/>
      <c r="C7351" s="6"/>
      <c r="L7351" s="7"/>
      <c r="M7351" s="5"/>
      <c r="N7351" s="5"/>
      <c r="O7351" s="5"/>
    </row>
    <row r="7352">
      <c r="A7352" s="6"/>
      <c r="C7352" s="6"/>
      <c r="L7352" s="7"/>
      <c r="M7352" s="5"/>
      <c r="N7352" s="5"/>
      <c r="O7352" s="5"/>
    </row>
    <row r="7353">
      <c r="A7353" s="6"/>
      <c r="C7353" s="6"/>
      <c r="L7353" s="7"/>
      <c r="M7353" s="5"/>
      <c r="N7353" s="5"/>
      <c r="O7353" s="5"/>
    </row>
    <row r="7354">
      <c r="A7354" s="6"/>
      <c r="C7354" s="6"/>
      <c r="L7354" s="7"/>
      <c r="M7354" s="5"/>
      <c r="N7354" s="5"/>
      <c r="O7354" s="5"/>
    </row>
    <row r="7355">
      <c r="A7355" s="6"/>
      <c r="C7355" s="6"/>
      <c r="L7355" s="7"/>
      <c r="M7355" s="5"/>
      <c r="N7355" s="5"/>
      <c r="O7355" s="5"/>
    </row>
    <row r="7356">
      <c r="A7356" s="6"/>
      <c r="C7356" s="6"/>
      <c r="L7356" s="7"/>
      <c r="M7356" s="5"/>
      <c r="N7356" s="5"/>
      <c r="O7356" s="5"/>
    </row>
    <row r="7357">
      <c r="A7357" s="6"/>
      <c r="C7357" s="6"/>
      <c r="L7357" s="7"/>
      <c r="M7357" s="5"/>
      <c r="N7357" s="5"/>
      <c r="O7357" s="5"/>
    </row>
    <row r="7358">
      <c r="A7358" s="6"/>
      <c r="C7358" s="6"/>
      <c r="L7358" s="7"/>
      <c r="M7358" s="5"/>
      <c r="N7358" s="5"/>
      <c r="O7358" s="5"/>
    </row>
    <row r="7359">
      <c r="A7359" s="6"/>
      <c r="C7359" s="6"/>
      <c r="L7359" s="7"/>
      <c r="M7359" s="5"/>
      <c r="N7359" s="5"/>
      <c r="O7359" s="5"/>
    </row>
    <row r="7360">
      <c r="A7360" s="6"/>
      <c r="C7360" s="6"/>
      <c r="L7360" s="7"/>
      <c r="M7360" s="5"/>
      <c r="N7360" s="5"/>
      <c r="O7360" s="5"/>
    </row>
    <row r="7361">
      <c r="A7361" s="6"/>
      <c r="C7361" s="6"/>
      <c r="L7361" s="7"/>
      <c r="M7361" s="5"/>
      <c r="N7361" s="5"/>
      <c r="O7361" s="5"/>
    </row>
    <row r="7362">
      <c r="A7362" s="6"/>
      <c r="C7362" s="6"/>
      <c r="L7362" s="7"/>
      <c r="M7362" s="5"/>
      <c r="N7362" s="5"/>
      <c r="O7362" s="5"/>
    </row>
    <row r="7363">
      <c r="A7363" s="6"/>
      <c r="C7363" s="6"/>
      <c r="L7363" s="7"/>
      <c r="M7363" s="5"/>
      <c r="N7363" s="5"/>
      <c r="O7363" s="5"/>
    </row>
    <row r="7364">
      <c r="A7364" s="6"/>
      <c r="C7364" s="6"/>
      <c r="L7364" s="7"/>
      <c r="M7364" s="5"/>
      <c r="N7364" s="5"/>
      <c r="O7364" s="5"/>
    </row>
    <row r="7365">
      <c r="A7365" s="6"/>
      <c r="C7365" s="6"/>
      <c r="L7365" s="7"/>
      <c r="M7365" s="5"/>
      <c r="N7365" s="5"/>
      <c r="O7365" s="5"/>
    </row>
    <row r="7366">
      <c r="A7366" s="6"/>
      <c r="C7366" s="6"/>
      <c r="L7366" s="7"/>
      <c r="M7366" s="5"/>
      <c r="N7366" s="5"/>
      <c r="O7366" s="5"/>
    </row>
    <row r="7367">
      <c r="A7367" s="6"/>
      <c r="C7367" s="6"/>
      <c r="L7367" s="7"/>
      <c r="M7367" s="5"/>
      <c r="N7367" s="5"/>
      <c r="O7367" s="5"/>
    </row>
    <row r="7368">
      <c r="A7368" s="6"/>
      <c r="C7368" s="6"/>
      <c r="L7368" s="7"/>
      <c r="M7368" s="5"/>
      <c r="N7368" s="5"/>
      <c r="O7368" s="5"/>
    </row>
    <row r="7369">
      <c r="A7369" s="6"/>
      <c r="C7369" s="6"/>
      <c r="L7369" s="7"/>
      <c r="M7369" s="5"/>
      <c r="N7369" s="5"/>
      <c r="O7369" s="5"/>
    </row>
    <row r="7370">
      <c r="A7370" s="6"/>
      <c r="C7370" s="6"/>
      <c r="L7370" s="7"/>
      <c r="M7370" s="5"/>
      <c r="N7370" s="5"/>
      <c r="O7370" s="5"/>
    </row>
    <row r="7371">
      <c r="A7371" s="6"/>
      <c r="C7371" s="6"/>
      <c r="L7371" s="7"/>
      <c r="M7371" s="5"/>
      <c r="N7371" s="5"/>
      <c r="O7371" s="5"/>
    </row>
    <row r="7372">
      <c r="A7372" s="6"/>
      <c r="C7372" s="6"/>
      <c r="L7372" s="7"/>
      <c r="M7372" s="5"/>
      <c r="N7372" s="5"/>
      <c r="O7372" s="5"/>
    </row>
    <row r="7373">
      <c r="A7373" s="6"/>
      <c r="C7373" s="6"/>
      <c r="L7373" s="7"/>
      <c r="M7373" s="5"/>
      <c r="N7373" s="5"/>
      <c r="O7373" s="5"/>
    </row>
    <row r="7374">
      <c r="A7374" s="6"/>
      <c r="C7374" s="6"/>
      <c r="L7374" s="7"/>
      <c r="M7374" s="5"/>
      <c r="N7374" s="5"/>
      <c r="O7374" s="5"/>
    </row>
    <row r="7375">
      <c r="A7375" s="6"/>
      <c r="C7375" s="6"/>
      <c r="L7375" s="7"/>
      <c r="M7375" s="5"/>
      <c r="N7375" s="5"/>
      <c r="O7375" s="5"/>
    </row>
    <row r="7376">
      <c r="A7376" s="6"/>
      <c r="C7376" s="6"/>
      <c r="L7376" s="7"/>
      <c r="M7376" s="5"/>
      <c r="N7376" s="5"/>
      <c r="O7376" s="5"/>
    </row>
    <row r="7377">
      <c r="A7377" s="6"/>
      <c r="C7377" s="6"/>
      <c r="L7377" s="7"/>
      <c r="M7377" s="5"/>
      <c r="N7377" s="5"/>
      <c r="O7377" s="5"/>
    </row>
    <row r="7378">
      <c r="A7378" s="6"/>
      <c r="C7378" s="6"/>
      <c r="L7378" s="7"/>
      <c r="M7378" s="5"/>
      <c r="N7378" s="5"/>
      <c r="O7378" s="5"/>
    </row>
    <row r="7379">
      <c r="A7379" s="6"/>
      <c r="C7379" s="6"/>
      <c r="L7379" s="7"/>
      <c r="M7379" s="5"/>
      <c r="N7379" s="5"/>
      <c r="O7379" s="5"/>
    </row>
    <row r="7380">
      <c r="A7380" s="6"/>
      <c r="C7380" s="6"/>
      <c r="L7380" s="7"/>
      <c r="M7380" s="5"/>
      <c r="N7380" s="5"/>
      <c r="O7380" s="5"/>
    </row>
    <row r="7381">
      <c r="A7381" s="6"/>
      <c r="C7381" s="6"/>
      <c r="L7381" s="7"/>
      <c r="M7381" s="5"/>
      <c r="N7381" s="5"/>
      <c r="O7381" s="5"/>
    </row>
    <row r="7382">
      <c r="A7382" s="6"/>
      <c r="C7382" s="6"/>
      <c r="L7382" s="7"/>
      <c r="M7382" s="5"/>
      <c r="N7382" s="5"/>
      <c r="O7382" s="5"/>
    </row>
    <row r="7383">
      <c r="A7383" s="6"/>
      <c r="C7383" s="6"/>
      <c r="L7383" s="7"/>
      <c r="M7383" s="5"/>
      <c r="N7383" s="5"/>
      <c r="O7383" s="5"/>
    </row>
    <row r="7384">
      <c r="A7384" s="6"/>
      <c r="C7384" s="6"/>
      <c r="L7384" s="7"/>
      <c r="M7384" s="5"/>
      <c r="N7384" s="5"/>
      <c r="O7384" s="5"/>
    </row>
    <row r="7385">
      <c r="A7385" s="6"/>
      <c r="C7385" s="6"/>
      <c r="L7385" s="7"/>
      <c r="M7385" s="5"/>
      <c r="N7385" s="5"/>
      <c r="O7385" s="5"/>
    </row>
    <row r="7386">
      <c r="A7386" s="6"/>
      <c r="C7386" s="6"/>
      <c r="L7386" s="7"/>
      <c r="M7386" s="5"/>
      <c r="N7386" s="5"/>
      <c r="O7386" s="5"/>
    </row>
    <row r="7387">
      <c r="A7387" s="6"/>
      <c r="C7387" s="6"/>
      <c r="L7387" s="7"/>
      <c r="M7387" s="5"/>
      <c r="N7387" s="5"/>
      <c r="O7387" s="5"/>
    </row>
    <row r="7388">
      <c r="A7388" s="6"/>
      <c r="C7388" s="6"/>
      <c r="L7388" s="7"/>
      <c r="M7388" s="5"/>
      <c r="N7388" s="5"/>
      <c r="O7388" s="5"/>
    </row>
    <row r="7389">
      <c r="A7389" s="6"/>
      <c r="C7389" s="6"/>
      <c r="L7389" s="7"/>
      <c r="M7389" s="5"/>
      <c r="N7389" s="5"/>
      <c r="O7389" s="5"/>
    </row>
    <row r="7390">
      <c r="A7390" s="6"/>
      <c r="C7390" s="6"/>
      <c r="L7390" s="7"/>
      <c r="M7390" s="5"/>
      <c r="N7390" s="5"/>
      <c r="O7390" s="5"/>
    </row>
    <row r="7391">
      <c r="A7391" s="6"/>
      <c r="C7391" s="6"/>
      <c r="L7391" s="7"/>
      <c r="M7391" s="5"/>
      <c r="N7391" s="5"/>
      <c r="O7391" s="5"/>
    </row>
    <row r="7392">
      <c r="A7392" s="6"/>
      <c r="C7392" s="6"/>
      <c r="L7392" s="7"/>
      <c r="M7392" s="5"/>
      <c r="N7392" s="5"/>
      <c r="O7392" s="5"/>
    </row>
    <row r="7393">
      <c r="A7393" s="6"/>
      <c r="C7393" s="6"/>
      <c r="L7393" s="7"/>
      <c r="M7393" s="5"/>
      <c r="N7393" s="5"/>
      <c r="O7393" s="5"/>
    </row>
    <row r="7394">
      <c r="A7394" s="6"/>
      <c r="C7394" s="6"/>
      <c r="L7394" s="7"/>
      <c r="M7394" s="5"/>
      <c r="N7394" s="5"/>
      <c r="O7394" s="5"/>
    </row>
    <row r="7395">
      <c r="A7395" s="6"/>
      <c r="C7395" s="6"/>
      <c r="L7395" s="7"/>
      <c r="M7395" s="5"/>
      <c r="N7395" s="5"/>
      <c r="O7395" s="5"/>
    </row>
    <row r="7396">
      <c r="A7396" s="6"/>
      <c r="C7396" s="6"/>
      <c r="L7396" s="7"/>
      <c r="M7396" s="5"/>
      <c r="N7396" s="5"/>
      <c r="O7396" s="5"/>
    </row>
    <row r="7397">
      <c r="A7397" s="6"/>
      <c r="C7397" s="6"/>
      <c r="L7397" s="7"/>
      <c r="M7397" s="5"/>
      <c r="N7397" s="5"/>
      <c r="O7397" s="5"/>
    </row>
    <row r="7398">
      <c r="A7398" s="6"/>
      <c r="C7398" s="6"/>
      <c r="L7398" s="7"/>
      <c r="M7398" s="5"/>
      <c r="N7398" s="5"/>
      <c r="O7398" s="5"/>
    </row>
    <row r="7399">
      <c r="A7399" s="6"/>
      <c r="C7399" s="6"/>
      <c r="L7399" s="7"/>
      <c r="M7399" s="5"/>
      <c r="N7399" s="5"/>
      <c r="O7399" s="5"/>
    </row>
    <row r="7400">
      <c r="A7400" s="6"/>
      <c r="C7400" s="6"/>
      <c r="L7400" s="7"/>
      <c r="M7400" s="5"/>
      <c r="N7400" s="5"/>
      <c r="O7400" s="5"/>
    </row>
    <row r="7401">
      <c r="A7401" s="6"/>
      <c r="C7401" s="6"/>
      <c r="L7401" s="7"/>
      <c r="M7401" s="5"/>
      <c r="N7401" s="5"/>
      <c r="O7401" s="5"/>
    </row>
    <row r="7402">
      <c r="A7402" s="6"/>
      <c r="C7402" s="6"/>
      <c r="L7402" s="7"/>
      <c r="M7402" s="5"/>
      <c r="N7402" s="5"/>
      <c r="O7402" s="5"/>
    </row>
    <row r="7403">
      <c r="A7403" s="6"/>
      <c r="C7403" s="6"/>
      <c r="L7403" s="7"/>
      <c r="M7403" s="5"/>
      <c r="N7403" s="5"/>
      <c r="O7403" s="5"/>
    </row>
    <row r="7404">
      <c r="A7404" s="6"/>
      <c r="C7404" s="6"/>
      <c r="L7404" s="7"/>
      <c r="M7404" s="5"/>
      <c r="N7404" s="5"/>
      <c r="O7404" s="5"/>
    </row>
    <row r="7405">
      <c r="A7405" s="6"/>
      <c r="C7405" s="6"/>
      <c r="L7405" s="7"/>
      <c r="M7405" s="5"/>
      <c r="N7405" s="5"/>
      <c r="O7405" s="5"/>
    </row>
    <row r="7406">
      <c r="A7406" s="6"/>
      <c r="C7406" s="6"/>
      <c r="L7406" s="7"/>
      <c r="M7406" s="5"/>
      <c r="N7406" s="5"/>
      <c r="O7406" s="5"/>
    </row>
    <row r="7407">
      <c r="A7407" s="6"/>
      <c r="C7407" s="6"/>
      <c r="L7407" s="7"/>
      <c r="M7407" s="5"/>
      <c r="N7407" s="5"/>
      <c r="O7407" s="5"/>
    </row>
    <row r="7408">
      <c r="A7408" s="6"/>
      <c r="C7408" s="6"/>
      <c r="L7408" s="7"/>
      <c r="M7408" s="5"/>
      <c r="N7408" s="5"/>
      <c r="O7408" s="5"/>
    </row>
    <row r="7409">
      <c r="A7409" s="6"/>
      <c r="C7409" s="6"/>
      <c r="L7409" s="7"/>
      <c r="M7409" s="5"/>
      <c r="N7409" s="5"/>
      <c r="O7409" s="5"/>
    </row>
    <row r="7410">
      <c r="A7410" s="6"/>
      <c r="C7410" s="6"/>
      <c r="L7410" s="7"/>
      <c r="M7410" s="5"/>
      <c r="N7410" s="5"/>
      <c r="O7410" s="5"/>
    </row>
    <row r="7411">
      <c r="A7411" s="6"/>
      <c r="C7411" s="6"/>
      <c r="L7411" s="7"/>
      <c r="M7411" s="5"/>
      <c r="N7411" s="5"/>
      <c r="O7411" s="5"/>
    </row>
    <row r="7412">
      <c r="A7412" s="6"/>
      <c r="C7412" s="6"/>
      <c r="L7412" s="7"/>
      <c r="M7412" s="5"/>
      <c r="N7412" s="5"/>
      <c r="O7412" s="5"/>
    </row>
    <row r="7413">
      <c r="A7413" s="6"/>
      <c r="C7413" s="6"/>
      <c r="L7413" s="7"/>
      <c r="M7413" s="5"/>
      <c r="N7413" s="5"/>
      <c r="O7413" s="5"/>
    </row>
    <row r="7414">
      <c r="A7414" s="6"/>
      <c r="C7414" s="6"/>
      <c r="L7414" s="7"/>
      <c r="M7414" s="5"/>
      <c r="N7414" s="5"/>
      <c r="O7414" s="5"/>
    </row>
    <row r="7415">
      <c r="A7415" s="6"/>
      <c r="C7415" s="6"/>
      <c r="L7415" s="7"/>
      <c r="M7415" s="5"/>
      <c r="N7415" s="5"/>
      <c r="O7415" s="5"/>
    </row>
    <row r="7416">
      <c r="A7416" s="6"/>
      <c r="C7416" s="6"/>
      <c r="L7416" s="7"/>
      <c r="M7416" s="5"/>
      <c r="N7416" s="5"/>
      <c r="O7416" s="5"/>
    </row>
    <row r="7417">
      <c r="A7417" s="6"/>
      <c r="C7417" s="6"/>
      <c r="L7417" s="7"/>
      <c r="M7417" s="5"/>
      <c r="N7417" s="5"/>
      <c r="O7417" s="5"/>
    </row>
    <row r="7418">
      <c r="A7418" s="6"/>
      <c r="C7418" s="6"/>
      <c r="L7418" s="7"/>
      <c r="M7418" s="5"/>
      <c r="N7418" s="5"/>
      <c r="O7418" s="5"/>
    </row>
    <row r="7419">
      <c r="A7419" s="6"/>
      <c r="C7419" s="6"/>
      <c r="L7419" s="7"/>
      <c r="M7419" s="5"/>
      <c r="N7419" s="5"/>
      <c r="O7419" s="5"/>
    </row>
    <row r="7420">
      <c r="A7420" s="6"/>
      <c r="C7420" s="6"/>
      <c r="L7420" s="7"/>
      <c r="M7420" s="5"/>
      <c r="N7420" s="5"/>
      <c r="O7420" s="5"/>
    </row>
    <row r="7421">
      <c r="A7421" s="6"/>
      <c r="C7421" s="6"/>
      <c r="L7421" s="7"/>
      <c r="M7421" s="5"/>
      <c r="N7421" s="5"/>
      <c r="O7421" s="5"/>
    </row>
    <row r="7422">
      <c r="A7422" s="6"/>
      <c r="C7422" s="6"/>
      <c r="L7422" s="7"/>
      <c r="M7422" s="5"/>
      <c r="N7422" s="5"/>
      <c r="O7422" s="5"/>
    </row>
    <row r="7423">
      <c r="A7423" s="6"/>
      <c r="C7423" s="6"/>
      <c r="L7423" s="7"/>
      <c r="M7423" s="5"/>
      <c r="N7423" s="5"/>
      <c r="O7423" s="5"/>
    </row>
    <row r="7424">
      <c r="A7424" s="6"/>
      <c r="C7424" s="6"/>
      <c r="L7424" s="7"/>
      <c r="M7424" s="5"/>
      <c r="N7424" s="5"/>
      <c r="O7424" s="5"/>
    </row>
    <row r="7425">
      <c r="A7425" s="6"/>
      <c r="C7425" s="6"/>
      <c r="L7425" s="7"/>
      <c r="M7425" s="5"/>
      <c r="N7425" s="5"/>
      <c r="O7425" s="5"/>
    </row>
    <row r="7426">
      <c r="A7426" s="6"/>
      <c r="C7426" s="6"/>
      <c r="L7426" s="7"/>
      <c r="M7426" s="5"/>
      <c r="N7426" s="5"/>
      <c r="O7426" s="5"/>
    </row>
    <row r="7427">
      <c r="A7427" s="6"/>
      <c r="C7427" s="6"/>
      <c r="L7427" s="7"/>
      <c r="M7427" s="5"/>
      <c r="N7427" s="5"/>
      <c r="O7427" s="5"/>
    </row>
    <row r="7428">
      <c r="A7428" s="6"/>
      <c r="C7428" s="6"/>
      <c r="L7428" s="7"/>
      <c r="M7428" s="5"/>
      <c r="N7428" s="5"/>
      <c r="O7428" s="5"/>
    </row>
    <row r="7429">
      <c r="A7429" s="6"/>
      <c r="C7429" s="6"/>
      <c r="L7429" s="7"/>
      <c r="M7429" s="5"/>
      <c r="N7429" s="5"/>
      <c r="O7429" s="5"/>
    </row>
    <row r="7430">
      <c r="A7430" s="6"/>
      <c r="C7430" s="6"/>
      <c r="L7430" s="7"/>
      <c r="M7430" s="5"/>
      <c r="N7430" s="5"/>
      <c r="O7430" s="5"/>
    </row>
    <row r="7431">
      <c r="A7431" s="6"/>
      <c r="C7431" s="6"/>
      <c r="L7431" s="7"/>
      <c r="M7431" s="5"/>
      <c r="N7431" s="5"/>
      <c r="O7431" s="5"/>
    </row>
    <row r="7432">
      <c r="A7432" s="6"/>
      <c r="C7432" s="6"/>
      <c r="L7432" s="7"/>
      <c r="M7432" s="5"/>
      <c r="N7432" s="5"/>
      <c r="O7432" s="5"/>
    </row>
    <row r="7433">
      <c r="A7433" s="6"/>
      <c r="C7433" s="6"/>
      <c r="L7433" s="7"/>
      <c r="M7433" s="5"/>
      <c r="N7433" s="5"/>
      <c r="O7433" s="5"/>
    </row>
    <row r="7434">
      <c r="A7434" s="6"/>
      <c r="C7434" s="6"/>
      <c r="L7434" s="7"/>
      <c r="M7434" s="5"/>
      <c r="N7434" s="5"/>
      <c r="O7434" s="5"/>
    </row>
    <row r="7435">
      <c r="A7435" s="6"/>
      <c r="C7435" s="6"/>
      <c r="L7435" s="7"/>
      <c r="M7435" s="5"/>
      <c r="N7435" s="5"/>
      <c r="O7435" s="5"/>
    </row>
    <row r="7436">
      <c r="A7436" s="6"/>
      <c r="C7436" s="6"/>
      <c r="L7436" s="7"/>
      <c r="M7436" s="5"/>
      <c r="N7436" s="5"/>
      <c r="O7436" s="5"/>
    </row>
    <row r="7437">
      <c r="A7437" s="6"/>
      <c r="C7437" s="6"/>
      <c r="L7437" s="7"/>
      <c r="M7437" s="5"/>
      <c r="N7437" s="5"/>
      <c r="O7437" s="5"/>
    </row>
    <row r="7438">
      <c r="A7438" s="6"/>
      <c r="C7438" s="6"/>
      <c r="L7438" s="7"/>
      <c r="M7438" s="5"/>
      <c r="N7438" s="5"/>
      <c r="O7438" s="5"/>
    </row>
    <row r="7439">
      <c r="A7439" s="6"/>
      <c r="C7439" s="6"/>
      <c r="L7439" s="7"/>
      <c r="M7439" s="5"/>
      <c r="N7439" s="5"/>
      <c r="O7439" s="5"/>
    </row>
    <row r="7440">
      <c r="A7440" s="6"/>
      <c r="C7440" s="6"/>
      <c r="L7440" s="7"/>
      <c r="M7440" s="5"/>
      <c r="N7440" s="5"/>
      <c r="O7440" s="5"/>
    </row>
    <row r="7441">
      <c r="A7441" s="6"/>
      <c r="C7441" s="6"/>
      <c r="L7441" s="7"/>
      <c r="M7441" s="5"/>
      <c r="N7441" s="5"/>
      <c r="O7441" s="5"/>
    </row>
    <row r="7442">
      <c r="A7442" s="6"/>
      <c r="C7442" s="6"/>
      <c r="L7442" s="7"/>
      <c r="M7442" s="5"/>
      <c r="N7442" s="5"/>
      <c r="O7442" s="5"/>
    </row>
    <row r="7443">
      <c r="A7443" s="6"/>
      <c r="C7443" s="6"/>
      <c r="L7443" s="7"/>
      <c r="M7443" s="5"/>
      <c r="N7443" s="5"/>
      <c r="O7443" s="5"/>
    </row>
    <row r="7444">
      <c r="A7444" s="6"/>
      <c r="C7444" s="6"/>
      <c r="L7444" s="7"/>
      <c r="M7444" s="5"/>
      <c r="N7444" s="5"/>
      <c r="O7444" s="5"/>
    </row>
    <row r="7445">
      <c r="A7445" s="6"/>
      <c r="C7445" s="6"/>
      <c r="L7445" s="7"/>
      <c r="M7445" s="5"/>
      <c r="N7445" s="5"/>
      <c r="O7445" s="5"/>
    </row>
    <row r="7446">
      <c r="A7446" s="6"/>
      <c r="C7446" s="6"/>
      <c r="L7446" s="7"/>
      <c r="M7446" s="5"/>
      <c r="N7446" s="5"/>
      <c r="O7446" s="5"/>
    </row>
    <row r="7447">
      <c r="A7447" s="6"/>
      <c r="C7447" s="6"/>
      <c r="L7447" s="7"/>
      <c r="M7447" s="5"/>
      <c r="N7447" s="5"/>
      <c r="O7447" s="5"/>
    </row>
    <row r="7448">
      <c r="A7448" s="6"/>
      <c r="C7448" s="6"/>
      <c r="L7448" s="7"/>
      <c r="M7448" s="5"/>
      <c r="N7448" s="5"/>
      <c r="O7448" s="5"/>
    </row>
    <row r="7449">
      <c r="A7449" s="6"/>
      <c r="C7449" s="6"/>
      <c r="L7449" s="7"/>
      <c r="M7449" s="5"/>
      <c r="N7449" s="5"/>
      <c r="O7449" s="5"/>
    </row>
    <row r="7450">
      <c r="A7450" s="6"/>
      <c r="C7450" s="6"/>
      <c r="L7450" s="7"/>
      <c r="M7450" s="5"/>
      <c r="N7450" s="5"/>
      <c r="O7450" s="5"/>
    </row>
    <row r="7451">
      <c r="A7451" s="6"/>
      <c r="C7451" s="6"/>
      <c r="L7451" s="7"/>
      <c r="M7451" s="5"/>
      <c r="N7451" s="5"/>
      <c r="O7451" s="5"/>
    </row>
    <row r="7452">
      <c r="A7452" s="6"/>
      <c r="C7452" s="6"/>
      <c r="L7452" s="7"/>
      <c r="M7452" s="5"/>
      <c r="N7452" s="5"/>
      <c r="O7452" s="5"/>
    </row>
    <row r="7453">
      <c r="A7453" s="6"/>
      <c r="C7453" s="6"/>
      <c r="L7453" s="7"/>
      <c r="M7453" s="5"/>
      <c r="N7453" s="5"/>
      <c r="O7453" s="5"/>
    </row>
    <row r="7454">
      <c r="A7454" s="6"/>
      <c r="C7454" s="6"/>
      <c r="L7454" s="7"/>
      <c r="M7454" s="5"/>
      <c r="N7454" s="5"/>
      <c r="O7454" s="5"/>
    </row>
    <row r="7455">
      <c r="A7455" s="6"/>
      <c r="C7455" s="6"/>
      <c r="L7455" s="7"/>
      <c r="M7455" s="5"/>
      <c r="N7455" s="5"/>
      <c r="O7455" s="5"/>
    </row>
    <row r="7456">
      <c r="A7456" s="6"/>
      <c r="C7456" s="6"/>
      <c r="L7456" s="7"/>
      <c r="M7456" s="5"/>
      <c r="N7456" s="5"/>
      <c r="O7456" s="5"/>
    </row>
    <row r="7457">
      <c r="A7457" s="6"/>
      <c r="C7457" s="6"/>
      <c r="L7457" s="7"/>
      <c r="M7457" s="5"/>
      <c r="N7457" s="5"/>
      <c r="O7457" s="5"/>
    </row>
    <row r="7458">
      <c r="A7458" s="6"/>
      <c r="C7458" s="6"/>
      <c r="L7458" s="7"/>
      <c r="M7458" s="5"/>
      <c r="N7458" s="5"/>
      <c r="O7458" s="5"/>
    </row>
    <row r="7459">
      <c r="A7459" s="6"/>
      <c r="C7459" s="6"/>
      <c r="L7459" s="7"/>
      <c r="M7459" s="5"/>
      <c r="N7459" s="5"/>
      <c r="O7459" s="5"/>
    </row>
    <row r="7460">
      <c r="A7460" s="6"/>
      <c r="C7460" s="6"/>
      <c r="L7460" s="7"/>
      <c r="M7460" s="5"/>
      <c r="N7460" s="5"/>
      <c r="O7460" s="5"/>
    </row>
    <row r="7461">
      <c r="A7461" s="6"/>
      <c r="C7461" s="6"/>
      <c r="L7461" s="7"/>
      <c r="M7461" s="5"/>
      <c r="N7461" s="5"/>
      <c r="O7461" s="5"/>
    </row>
    <row r="7462">
      <c r="A7462" s="6"/>
      <c r="C7462" s="6"/>
      <c r="L7462" s="7"/>
      <c r="M7462" s="5"/>
      <c r="N7462" s="5"/>
      <c r="O7462" s="5"/>
    </row>
    <row r="7463">
      <c r="A7463" s="6"/>
      <c r="C7463" s="6"/>
      <c r="L7463" s="7"/>
      <c r="M7463" s="5"/>
      <c r="N7463" s="5"/>
      <c r="O7463" s="5"/>
    </row>
    <row r="7464">
      <c r="A7464" s="6"/>
      <c r="C7464" s="6"/>
      <c r="L7464" s="7"/>
      <c r="M7464" s="5"/>
      <c r="N7464" s="5"/>
      <c r="O7464" s="5"/>
    </row>
    <row r="7465">
      <c r="A7465" s="6"/>
      <c r="C7465" s="6"/>
      <c r="L7465" s="7"/>
      <c r="M7465" s="5"/>
      <c r="N7465" s="5"/>
      <c r="O7465" s="5"/>
    </row>
    <row r="7466">
      <c r="A7466" s="6"/>
      <c r="C7466" s="6"/>
      <c r="L7466" s="7"/>
      <c r="M7466" s="5"/>
      <c r="N7466" s="5"/>
      <c r="O7466" s="5"/>
    </row>
    <row r="7467">
      <c r="A7467" s="6"/>
      <c r="C7467" s="6"/>
      <c r="L7467" s="7"/>
      <c r="M7467" s="5"/>
      <c r="N7467" s="5"/>
      <c r="O7467" s="5"/>
    </row>
    <row r="7468">
      <c r="A7468" s="6"/>
      <c r="C7468" s="6"/>
      <c r="L7468" s="7"/>
      <c r="M7468" s="5"/>
      <c r="N7468" s="5"/>
      <c r="O7468" s="5"/>
    </row>
    <row r="7469">
      <c r="A7469" s="6"/>
      <c r="C7469" s="6"/>
      <c r="L7469" s="7"/>
      <c r="M7469" s="5"/>
      <c r="N7469" s="5"/>
      <c r="O7469" s="5"/>
    </row>
    <row r="7470">
      <c r="A7470" s="6"/>
      <c r="C7470" s="6"/>
      <c r="L7470" s="7"/>
      <c r="M7470" s="5"/>
      <c r="N7470" s="5"/>
      <c r="O7470" s="5"/>
    </row>
    <row r="7471">
      <c r="A7471" s="6"/>
      <c r="C7471" s="6"/>
      <c r="L7471" s="7"/>
      <c r="M7471" s="5"/>
      <c r="N7471" s="5"/>
      <c r="O7471" s="5"/>
    </row>
    <row r="7472">
      <c r="A7472" s="6"/>
      <c r="C7472" s="6"/>
      <c r="L7472" s="7"/>
      <c r="M7472" s="5"/>
      <c r="N7472" s="5"/>
      <c r="O7472" s="5"/>
    </row>
    <row r="7473">
      <c r="A7473" s="6"/>
      <c r="C7473" s="6"/>
      <c r="L7473" s="7"/>
      <c r="M7473" s="5"/>
      <c r="N7473" s="5"/>
      <c r="O7473" s="5"/>
    </row>
    <row r="7474">
      <c r="A7474" s="6"/>
      <c r="C7474" s="6"/>
      <c r="L7474" s="7"/>
      <c r="M7474" s="5"/>
      <c r="N7474" s="5"/>
      <c r="O7474" s="5"/>
    </row>
    <row r="7475">
      <c r="A7475" s="6"/>
      <c r="C7475" s="6"/>
      <c r="L7475" s="7"/>
      <c r="M7475" s="5"/>
      <c r="N7475" s="5"/>
      <c r="O7475" s="5"/>
    </row>
    <row r="7476">
      <c r="A7476" s="6"/>
      <c r="C7476" s="6"/>
      <c r="L7476" s="7"/>
      <c r="M7476" s="5"/>
      <c r="N7476" s="5"/>
      <c r="O7476" s="5"/>
    </row>
    <row r="7477">
      <c r="A7477" s="6"/>
      <c r="C7477" s="6"/>
      <c r="L7477" s="7"/>
      <c r="M7477" s="5"/>
      <c r="N7477" s="5"/>
      <c r="O7477" s="5"/>
    </row>
    <row r="7478">
      <c r="A7478" s="6"/>
      <c r="C7478" s="6"/>
      <c r="L7478" s="7"/>
      <c r="M7478" s="5"/>
      <c r="N7478" s="5"/>
      <c r="O7478" s="5"/>
    </row>
    <row r="7479">
      <c r="A7479" s="6"/>
      <c r="C7479" s="6"/>
      <c r="L7479" s="7"/>
      <c r="M7479" s="5"/>
      <c r="N7479" s="5"/>
      <c r="O7479" s="5"/>
    </row>
    <row r="7480">
      <c r="A7480" s="6"/>
      <c r="C7480" s="6"/>
      <c r="L7480" s="7"/>
      <c r="M7480" s="5"/>
      <c r="N7480" s="5"/>
      <c r="O7480" s="5"/>
    </row>
    <row r="7481">
      <c r="A7481" s="6"/>
      <c r="C7481" s="6"/>
      <c r="L7481" s="7"/>
      <c r="M7481" s="5"/>
      <c r="N7481" s="5"/>
      <c r="O7481" s="5"/>
    </row>
    <row r="7482">
      <c r="A7482" s="6"/>
      <c r="C7482" s="6"/>
      <c r="L7482" s="7"/>
      <c r="M7482" s="5"/>
      <c r="N7482" s="5"/>
      <c r="O7482" s="5"/>
    </row>
    <row r="7483">
      <c r="A7483" s="6"/>
      <c r="C7483" s="6"/>
      <c r="L7483" s="7"/>
      <c r="M7483" s="5"/>
      <c r="N7483" s="5"/>
      <c r="O7483" s="5"/>
    </row>
    <row r="7484">
      <c r="A7484" s="6"/>
      <c r="C7484" s="6"/>
      <c r="L7484" s="7"/>
      <c r="M7484" s="5"/>
      <c r="N7484" s="5"/>
      <c r="O7484" s="5"/>
    </row>
    <row r="7485">
      <c r="A7485" s="6"/>
      <c r="C7485" s="6"/>
      <c r="L7485" s="7"/>
      <c r="M7485" s="5"/>
      <c r="N7485" s="5"/>
      <c r="O7485" s="5"/>
    </row>
    <row r="7486">
      <c r="A7486" s="6"/>
      <c r="C7486" s="6"/>
      <c r="L7486" s="7"/>
      <c r="M7486" s="5"/>
      <c r="N7486" s="5"/>
      <c r="O7486" s="5"/>
    </row>
    <row r="7487">
      <c r="A7487" s="6"/>
      <c r="C7487" s="6"/>
      <c r="L7487" s="7"/>
      <c r="M7487" s="5"/>
      <c r="N7487" s="5"/>
      <c r="O7487" s="5"/>
    </row>
    <row r="7488">
      <c r="A7488" s="6"/>
      <c r="C7488" s="6"/>
      <c r="L7488" s="7"/>
      <c r="M7488" s="5"/>
      <c r="N7488" s="5"/>
      <c r="O7488" s="5"/>
    </row>
    <row r="7489">
      <c r="A7489" s="6"/>
      <c r="C7489" s="6"/>
      <c r="L7489" s="7"/>
      <c r="M7489" s="5"/>
      <c r="N7489" s="5"/>
      <c r="O7489" s="5"/>
    </row>
    <row r="7490">
      <c r="A7490" s="6"/>
      <c r="C7490" s="6"/>
      <c r="L7490" s="7"/>
      <c r="M7490" s="5"/>
      <c r="N7490" s="5"/>
      <c r="O7490" s="5"/>
    </row>
    <row r="7491">
      <c r="A7491" s="6"/>
      <c r="C7491" s="6"/>
      <c r="L7491" s="7"/>
      <c r="M7491" s="5"/>
      <c r="N7491" s="5"/>
      <c r="O7491" s="5"/>
    </row>
    <row r="7492">
      <c r="A7492" s="6"/>
      <c r="C7492" s="6"/>
      <c r="L7492" s="7"/>
      <c r="M7492" s="5"/>
      <c r="N7492" s="5"/>
      <c r="O7492" s="5"/>
    </row>
    <row r="7493">
      <c r="A7493" s="6"/>
      <c r="C7493" s="6"/>
      <c r="L7493" s="7"/>
      <c r="M7493" s="5"/>
      <c r="N7493" s="5"/>
      <c r="O7493" s="5"/>
    </row>
    <row r="7494">
      <c r="A7494" s="6"/>
      <c r="C7494" s="6"/>
      <c r="L7494" s="7"/>
      <c r="M7494" s="5"/>
      <c r="N7494" s="5"/>
      <c r="O7494" s="5"/>
    </row>
    <row r="7495">
      <c r="A7495" s="6"/>
      <c r="C7495" s="6"/>
      <c r="L7495" s="7"/>
      <c r="M7495" s="5"/>
      <c r="N7495" s="5"/>
      <c r="O7495" s="5"/>
    </row>
    <row r="7496">
      <c r="A7496" s="6"/>
      <c r="C7496" s="6"/>
      <c r="L7496" s="7"/>
      <c r="M7496" s="5"/>
      <c r="N7496" s="5"/>
      <c r="O7496" s="5"/>
    </row>
    <row r="7497">
      <c r="A7497" s="6"/>
      <c r="C7497" s="6"/>
      <c r="L7497" s="7"/>
      <c r="M7497" s="5"/>
      <c r="N7497" s="5"/>
      <c r="O7497" s="5"/>
    </row>
    <row r="7498">
      <c r="A7498" s="6"/>
      <c r="C7498" s="6"/>
      <c r="L7498" s="7"/>
      <c r="M7498" s="5"/>
      <c r="N7498" s="5"/>
      <c r="O7498" s="5"/>
    </row>
    <row r="7499">
      <c r="A7499" s="6"/>
      <c r="C7499" s="6"/>
      <c r="L7499" s="7"/>
      <c r="M7499" s="5"/>
      <c r="N7499" s="5"/>
      <c r="O7499" s="5"/>
    </row>
    <row r="7500">
      <c r="A7500" s="6"/>
      <c r="C7500" s="6"/>
      <c r="L7500" s="7"/>
      <c r="M7500" s="5"/>
      <c r="N7500" s="5"/>
      <c r="O7500" s="5"/>
    </row>
    <row r="7501">
      <c r="A7501" s="6"/>
      <c r="C7501" s="6"/>
      <c r="L7501" s="7"/>
      <c r="M7501" s="5"/>
      <c r="N7501" s="5"/>
      <c r="O7501" s="5"/>
    </row>
    <row r="7502">
      <c r="A7502" s="6"/>
      <c r="C7502" s="6"/>
      <c r="L7502" s="7"/>
      <c r="M7502" s="5"/>
      <c r="N7502" s="5"/>
      <c r="O7502" s="5"/>
    </row>
    <row r="7503">
      <c r="A7503" s="6"/>
      <c r="C7503" s="6"/>
      <c r="L7503" s="7"/>
      <c r="M7503" s="5"/>
      <c r="N7503" s="5"/>
      <c r="O7503" s="5"/>
    </row>
    <row r="7504">
      <c r="A7504" s="6"/>
      <c r="C7504" s="6"/>
      <c r="L7504" s="7"/>
      <c r="M7504" s="5"/>
      <c r="N7504" s="5"/>
      <c r="O7504" s="5"/>
    </row>
    <row r="7505">
      <c r="A7505" s="6"/>
      <c r="C7505" s="6"/>
      <c r="L7505" s="7"/>
      <c r="M7505" s="5"/>
      <c r="N7505" s="5"/>
      <c r="O7505" s="5"/>
    </row>
    <row r="7506">
      <c r="A7506" s="6"/>
      <c r="C7506" s="6"/>
      <c r="L7506" s="7"/>
      <c r="M7506" s="5"/>
      <c r="N7506" s="5"/>
      <c r="O7506" s="5"/>
    </row>
    <row r="7507">
      <c r="A7507" s="6"/>
      <c r="C7507" s="6"/>
      <c r="L7507" s="7"/>
      <c r="M7507" s="5"/>
      <c r="N7507" s="5"/>
      <c r="O7507" s="5"/>
    </row>
    <row r="7508">
      <c r="A7508" s="6"/>
      <c r="C7508" s="6"/>
      <c r="L7508" s="7"/>
      <c r="M7508" s="5"/>
      <c r="N7508" s="5"/>
      <c r="O7508" s="5"/>
    </row>
    <row r="7509">
      <c r="A7509" s="6"/>
      <c r="C7509" s="6"/>
      <c r="L7509" s="7"/>
      <c r="M7509" s="5"/>
      <c r="N7509" s="5"/>
      <c r="O7509" s="5"/>
    </row>
    <row r="7510">
      <c r="A7510" s="6"/>
      <c r="C7510" s="6"/>
      <c r="L7510" s="7"/>
      <c r="M7510" s="5"/>
      <c r="N7510" s="5"/>
      <c r="O7510" s="5"/>
    </row>
    <row r="7511">
      <c r="A7511" s="6"/>
      <c r="C7511" s="6"/>
      <c r="L7511" s="7"/>
      <c r="M7511" s="5"/>
      <c r="N7511" s="5"/>
      <c r="O7511" s="5"/>
    </row>
    <row r="7512">
      <c r="A7512" s="6"/>
      <c r="C7512" s="6"/>
      <c r="L7512" s="7"/>
      <c r="M7512" s="5"/>
      <c r="N7512" s="5"/>
      <c r="O7512" s="5"/>
    </row>
    <row r="7513">
      <c r="A7513" s="6"/>
      <c r="C7513" s="6"/>
      <c r="L7513" s="7"/>
      <c r="M7513" s="5"/>
      <c r="N7513" s="5"/>
      <c r="O7513" s="5"/>
    </row>
    <row r="7514">
      <c r="A7514" s="6"/>
      <c r="C7514" s="6"/>
      <c r="L7514" s="7"/>
      <c r="M7514" s="5"/>
      <c r="N7514" s="5"/>
      <c r="O7514" s="5"/>
    </row>
    <row r="7515">
      <c r="A7515" s="6"/>
      <c r="C7515" s="6"/>
      <c r="L7515" s="7"/>
      <c r="M7515" s="5"/>
      <c r="N7515" s="5"/>
      <c r="O7515" s="5"/>
    </row>
    <row r="7516">
      <c r="A7516" s="6"/>
      <c r="C7516" s="6"/>
      <c r="L7516" s="7"/>
      <c r="M7516" s="5"/>
      <c r="N7516" s="5"/>
      <c r="O7516" s="5"/>
    </row>
    <row r="7517">
      <c r="A7517" s="6"/>
      <c r="C7517" s="6"/>
      <c r="L7517" s="7"/>
      <c r="M7517" s="5"/>
      <c r="N7517" s="5"/>
      <c r="O7517" s="5"/>
    </row>
    <row r="7518">
      <c r="A7518" s="6"/>
      <c r="C7518" s="6"/>
      <c r="L7518" s="7"/>
      <c r="M7518" s="5"/>
      <c r="N7518" s="5"/>
      <c r="O7518" s="5"/>
    </row>
    <row r="7519">
      <c r="A7519" s="6"/>
      <c r="C7519" s="6"/>
      <c r="L7519" s="7"/>
      <c r="M7519" s="5"/>
      <c r="N7519" s="5"/>
      <c r="O7519" s="5"/>
    </row>
    <row r="7520">
      <c r="A7520" s="6"/>
      <c r="C7520" s="6"/>
      <c r="L7520" s="7"/>
      <c r="M7520" s="5"/>
      <c r="N7520" s="5"/>
      <c r="O7520" s="5"/>
    </row>
    <row r="7521">
      <c r="A7521" s="6"/>
      <c r="C7521" s="6"/>
      <c r="L7521" s="7"/>
      <c r="M7521" s="5"/>
      <c r="N7521" s="5"/>
      <c r="O7521" s="5"/>
    </row>
    <row r="7522">
      <c r="A7522" s="6"/>
      <c r="C7522" s="6"/>
      <c r="L7522" s="7"/>
      <c r="M7522" s="5"/>
      <c r="N7522" s="5"/>
      <c r="O7522" s="5"/>
    </row>
    <row r="7523">
      <c r="A7523" s="6"/>
      <c r="C7523" s="6"/>
      <c r="L7523" s="7"/>
      <c r="M7523" s="5"/>
      <c r="N7523" s="5"/>
      <c r="O7523" s="5"/>
    </row>
    <row r="7524">
      <c r="A7524" s="6"/>
      <c r="C7524" s="6"/>
      <c r="L7524" s="7"/>
      <c r="M7524" s="5"/>
      <c r="N7524" s="5"/>
      <c r="O7524" s="5"/>
    </row>
    <row r="7525">
      <c r="A7525" s="6"/>
      <c r="C7525" s="6"/>
      <c r="L7525" s="7"/>
      <c r="M7525" s="5"/>
      <c r="N7525" s="5"/>
      <c r="O7525" s="5"/>
    </row>
    <row r="7526">
      <c r="A7526" s="6"/>
      <c r="C7526" s="6"/>
      <c r="L7526" s="7"/>
      <c r="M7526" s="5"/>
      <c r="N7526" s="5"/>
      <c r="O7526" s="5"/>
    </row>
    <row r="7527">
      <c r="A7527" s="6"/>
      <c r="C7527" s="6"/>
      <c r="L7527" s="7"/>
      <c r="M7527" s="5"/>
      <c r="N7527" s="5"/>
      <c r="O7527" s="5"/>
    </row>
    <row r="7528">
      <c r="A7528" s="6"/>
      <c r="C7528" s="6"/>
      <c r="L7528" s="7"/>
      <c r="M7528" s="5"/>
      <c r="N7528" s="5"/>
      <c r="O7528" s="5"/>
    </row>
    <row r="7529">
      <c r="A7529" s="6"/>
      <c r="C7529" s="6"/>
      <c r="L7529" s="7"/>
      <c r="M7529" s="5"/>
      <c r="N7529" s="5"/>
      <c r="O7529" s="5"/>
    </row>
    <row r="7530">
      <c r="A7530" s="6"/>
      <c r="C7530" s="6"/>
      <c r="L7530" s="7"/>
      <c r="M7530" s="5"/>
      <c r="N7530" s="5"/>
      <c r="O7530" s="5"/>
    </row>
    <row r="7531">
      <c r="A7531" s="6"/>
      <c r="C7531" s="6"/>
      <c r="L7531" s="7"/>
      <c r="M7531" s="5"/>
      <c r="N7531" s="5"/>
      <c r="O7531" s="5"/>
    </row>
    <row r="7532">
      <c r="A7532" s="6"/>
      <c r="C7532" s="6"/>
      <c r="L7532" s="7"/>
      <c r="M7532" s="5"/>
      <c r="N7532" s="5"/>
      <c r="O7532" s="5"/>
    </row>
    <row r="7533">
      <c r="A7533" s="6"/>
      <c r="C7533" s="6"/>
      <c r="L7533" s="7"/>
      <c r="M7533" s="5"/>
      <c r="N7533" s="5"/>
      <c r="O7533" s="5"/>
    </row>
    <row r="7534">
      <c r="A7534" s="6"/>
      <c r="C7534" s="6"/>
      <c r="L7534" s="7"/>
      <c r="M7534" s="5"/>
      <c r="N7534" s="5"/>
      <c r="O7534" s="5"/>
    </row>
    <row r="7535">
      <c r="A7535" s="6"/>
      <c r="C7535" s="6"/>
      <c r="L7535" s="7"/>
      <c r="M7535" s="5"/>
      <c r="N7535" s="5"/>
      <c r="O7535" s="5"/>
    </row>
    <row r="7536">
      <c r="A7536" s="6"/>
      <c r="C7536" s="6"/>
      <c r="L7536" s="7"/>
      <c r="M7536" s="5"/>
      <c r="N7536" s="5"/>
      <c r="O7536" s="5"/>
    </row>
    <row r="7537">
      <c r="A7537" s="6"/>
      <c r="C7537" s="6"/>
      <c r="L7537" s="7"/>
      <c r="M7537" s="5"/>
      <c r="N7537" s="5"/>
      <c r="O7537" s="5"/>
    </row>
    <row r="7538">
      <c r="A7538" s="6"/>
      <c r="C7538" s="6"/>
      <c r="L7538" s="7"/>
      <c r="M7538" s="5"/>
      <c r="N7538" s="5"/>
      <c r="O7538" s="5"/>
    </row>
    <row r="7539">
      <c r="A7539" s="6"/>
      <c r="C7539" s="6"/>
      <c r="L7539" s="7"/>
      <c r="M7539" s="5"/>
      <c r="N7539" s="5"/>
      <c r="O7539" s="5"/>
    </row>
    <row r="7540">
      <c r="A7540" s="6"/>
      <c r="C7540" s="6"/>
      <c r="L7540" s="7"/>
      <c r="M7540" s="5"/>
      <c r="N7540" s="5"/>
      <c r="O7540" s="5"/>
    </row>
    <row r="7541">
      <c r="A7541" s="6"/>
      <c r="C7541" s="6"/>
      <c r="L7541" s="7"/>
      <c r="M7541" s="5"/>
      <c r="N7541" s="5"/>
      <c r="O7541" s="5"/>
    </row>
    <row r="7542">
      <c r="A7542" s="6"/>
      <c r="C7542" s="6"/>
      <c r="L7542" s="7"/>
      <c r="M7542" s="5"/>
      <c r="N7542" s="5"/>
      <c r="O7542" s="5"/>
    </row>
    <row r="7543">
      <c r="A7543" s="6"/>
      <c r="C7543" s="6"/>
      <c r="L7543" s="7"/>
      <c r="M7543" s="5"/>
      <c r="N7543" s="5"/>
      <c r="O7543" s="5"/>
    </row>
    <row r="7544">
      <c r="A7544" s="6"/>
      <c r="C7544" s="6"/>
      <c r="L7544" s="7"/>
      <c r="M7544" s="5"/>
      <c r="N7544" s="5"/>
      <c r="O7544" s="5"/>
    </row>
    <row r="7545">
      <c r="A7545" s="6"/>
      <c r="C7545" s="6"/>
      <c r="L7545" s="7"/>
      <c r="M7545" s="5"/>
      <c r="N7545" s="5"/>
      <c r="O7545" s="5"/>
    </row>
    <row r="7546">
      <c r="A7546" s="6"/>
      <c r="C7546" s="6"/>
      <c r="L7546" s="7"/>
      <c r="M7546" s="5"/>
      <c r="N7546" s="5"/>
      <c r="O7546" s="5"/>
    </row>
    <row r="7547">
      <c r="A7547" s="6"/>
      <c r="C7547" s="6"/>
      <c r="L7547" s="7"/>
      <c r="M7547" s="5"/>
      <c r="N7547" s="5"/>
      <c r="O7547" s="5"/>
    </row>
    <row r="7548">
      <c r="A7548" s="6"/>
      <c r="C7548" s="6"/>
      <c r="L7548" s="7"/>
      <c r="M7548" s="5"/>
      <c r="N7548" s="5"/>
      <c r="O7548" s="5"/>
    </row>
    <row r="7549">
      <c r="A7549" s="6"/>
      <c r="C7549" s="6"/>
      <c r="L7549" s="7"/>
      <c r="M7549" s="5"/>
      <c r="N7549" s="5"/>
      <c r="O7549" s="5"/>
    </row>
    <row r="7550">
      <c r="A7550" s="6"/>
      <c r="C7550" s="6"/>
      <c r="L7550" s="7"/>
      <c r="M7550" s="5"/>
      <c r="N7550" s="5"/>
      <c r="O7550" s="5"/>
    </row>
    <row r="7551">
      <c r="A7551" s="6"/>
      <c r="C7551" s="6"/>
      <c r="L7551" s="7"/>
      <c r="M7551" s="5"/>
      <c r="N7551" s="5"/>
      <c r="O7551" s="5"/>
    </row>
    <row r="7552">
      <c r="A7552" s="6"/>
      <c r="C7552" s="6"/>
      <c r="L7552" s="7"/>
      <c r="M7552" s="5"/>
      <c r="N7552" s="5"/>
      <c r="O7552" s="5"/>
    </row>
    <row r="7553">
      <c r="A7553" s="6"/>
      <c r="C7553" s="6"/>
      <c r="L7553" s="7"/>
      <c r="M7553" s="5"/>
      <c r="N7553" s="5"/>
      <c r="O7553" s="5"/>
    </row>
    <row r="7554">
      <c r="A7554" s="6"/>
      <c r="C7554" s="6"/>
      <c r="L7554" s="7"/>
      <c r="M7554" s="5"/>
      <c r="N7554" s="5"/>
      <c r="O7554" s="5"/>
    </row>
    <row r="7555">
      <c r="A7555" s="6"/>
      <c r="C7555" s="6"/>
      <c r="L7555" s="7"/>
      <c r="M7555" s="5"/>
      <c r="N7555" s="5"/>
      <c r="O7555" s="5"/>
    </row>
    <row r="7556">
      <c r="A7556" s="6"/>
      <c r="C7556" s="6"/>
      <c r="L7556" s="7"/>
      <c r="M7556" s="5"/>
      <c r="N7556" s="5"/>
      <c r="O7556" s="5"/>
    </row>
    <row r="7557">
      <c r="A7557" s="6"/>
      <c r="C7557" s="6"/>
      <c r="L7557" s="7"/>
      <c r="M7557" s="5"/>
      <c r="N7557" s="5"/>
      <c r="O7557" s="5"/>
    </row>
    <row r="7558">
      <c r="A7558" s="6"/>
      <c r="C7558" s="6"/>
      <c r="L7558" s="7"/>
      <c r="M7558" s="5"/>
      <c r="N7558" s="5"/>
      <c r="O7558" s="5"/>
    </row>
    <row r="7559">
      <c r="A7559" s="6"/>
      <c r="C7559" s="6"/>
      <c r="L7559" s="7"/>
      <c r="M7559" s="5"/>
      <c r="N7559" s="5"/>
      <c r="O7559" s="5"/>
    </row>
    <row r="7560">
      <c r="A7560" s="6"/>
      <c r="C7560" s="6"/>
      <c r="L7560" s="7"/>
      <c r="M7560" s="5"/>
      <c r="N7560" s="5"/>
      <c r="O7560" s="5"/>
    </row>
    <row r="7561">
      <c r="A7561" s="6"/>
      <c r="C7561" s="6"/>
      <c r="L7561" s="7"/>
      <c r="M7561" s="5"/>
      <c r="N7561" s="5"/>
      <c r="O7561" s="5"/>
    </row>
    <row r="7562">
      <c r="A7562" s="6"/>
      <c r="C7562" s="6"/>
      <c r="L7562" s="7"/>
      <c r="M7562" s="5"/>
      <c r="N7562" s="5"/>
      <c r="O7562" s="5"/>
    </row>
    <row r="7563">
      <c r="A7563" s="6"/>
      <c r="C7563" s="6"/>
      <c r="L7563" s="7"/>
      <c r="M7563" s="5"/>
      <c r="N7563" s="5"/>
      <c r="O7563" s="5"/>
    </row>
    <row r="7564">
      <c r="A7564" s="6"/>
      <c r="C7564" s="6"/>
      <c r="L7564" s="7"/>
      <c r="M7564" s="5"/>
      <c r="N7564" s="5"/>
      <c r="O7564" s="5"/>
    </row>
    <row r="7565">
      <c r="A7565" s="6"/>
      <c r="C7565" s="6"/>
      <c r="L7565" s="7"/>
      <c r="M7565" s="5"/>
      <c r="N7565" s="5"/>
      <c r="O7565" s="5"/>
    </row>
    <row r="7566">
      <c r="A7566" s="6"/>
      <c r="C7566" s="6"/>
      <c r="L7566" s="7"/>
      <c r="M7566" s="5"/>
      <c r="N7566" s="5"/>
      <c r="O7566" s="5"/>
    </row>
    <row r="7567">
      <c r="A7567" s="6"/>
      <c r="C7567" s="6"/>
      <c r="L7567" s="7"/>
      <c r="M7567" s="5"/>
      <c r="N7567" s="5"/>
      <c r="O7567" s="5"/>
    </row>
    <row r="7568">
      <c r="A7568" s="6"/>
      <c r="C7568" s="6"/>
      <c r="L7568" s="7"/>
      <c r="M7568" s="5"/>
      <c r="N7568" s="5"/>
      <c r="O7568" s="5"/>
    </row>
    <row r="7569">
      <c r="A7569" s="6"/>
      <c r="C7569" s="6"/>
      <c r="L7569" s="7"/>
      <c r="M7569" s="5"/>
      <c r="N7569" s="5"/>
      <c r="O7569" s="5"/>
    </row>
    <row r="7570">
      <c r="A7570" s="6"/>
      <c r="C7570" s="6"/>
      <c r="L7570" s="7"/>
      <c r="M7570" s="5"/>
      <c r="N7570" s="5"/>
      <c r="O7570" s="5"/>
    </row>
    <row r="7571">
      <c r="A7571" s="6"/>
      <c r="C7571" s="6"/>
      <c r="L7571" s="7"/>
      <c r="M7571" s="5"/>
      <c r="N7571" s="5"/>
      <c r="O7571" s="5"/>
    </row>
    <row r="7572">
      <c r="A7572" s="6"/>
      <c r="C7572" s="6"/>
      <c r="L7572" s="7"/>
      <c r="M7572" s="5"/>
      <c r="N7572" s="5"/>
      <c r="O7572" s="5"/>
    </row>
    <row r="7573">
      <c r="A7573" s="6"/>
      <c r="C7573" s="6"/>
      <c r="L7573" s="7"/>
      <c r="M7573" s="5"/>
      <c r="N7573" s="5"/>
      <c r="O7573" s="5"/>
    </row>
    <row r="7574">
      <c r="A7574" s="6"/>
      <c r="C7574" s="6"/>
      <c r="L7574" s="7"/>
      <c r="M7574" s="5"/>
      <c r="N7574" s="5"/>
      <c r="O7574" s="5"/>
    </row>
    <row r="7575">
      <c r="A7575" s="6"/>
      <c r="C7575" s="6"/>
      <c r="L7575" s="7"/>
      <c r="M7575" s="5"/>
      <c r="N7575" s="5"/>
      <c r="O7575" s="5"/>
    </row>
    <row r="7576">
      <c r="A7576" s="6"/>
      <c r="C7576" s="6"/>
      <c r="L7576" s="7"/>
      <c r="M7576" s="5"/>
      <c r="N7576" s="5"/>
      <c r="O7576" s="5"/>
    </row>
    <row r="7577">
      <c r="A7577" s="6"/>
      <c r="C7577" s="6"/>
      <c r="L7577" s="7"/>
      <c r="M7577" s="5"/>
      <c r="N7577" s="5"/>
      <c r="O7577" s="5"/>
    </row>
    <row r="7578">
      <c r="A7578" s="6"/>
      <c r="C7578" s="6"/>
      <c r="L7578" s="7"/>
      <c r="M7578" s="5"/>
      <c r="N7578" s="5"/>
      <c r="O7578" s="5"/>
    </row>
    <row r="7579">
      <c r="A7579" s="6"/>
      <c r="C7579" s="6"/>
      <c r="L7579" s="7"/>
      <c r="M7579" s="5"/>
      <c r="N7579" s="5"/>
      <c r="O7579" s="5"/>
    </row>
    <row r="7580">
      <c r="A7580" s="6"/>
      <c r="C7580" s="6"/>
      <c r="L7580" s="7"/>
      <c r="M7580" s="5"/>
      <c r="N7580" s="5"/>
      <c r="O7580" s="5"/>
    </row>
    <row r="7581">
      <c r="A7581" s="6"/>
      <c r="C7581" s="6"/>
      <c r="L7581" s="7"/>
      <c r="M7581" s="5"/>
      <c r="N7581" s="5"/>
      <c r="O7581" s="5"/>
    </row>
    <row r="7582">
      <c r="A7582" s="6"/>
      <c r="C7582" s="6"/>
      <c r="L7582" s="7"/>
      <c r="M7582" s="5"/>
      <c r="N7582" s="5"/>
      <c r="O7582" s="5"/>
    </row>
    <row r="7583">
      <c r="A7583" s="6"/>
      <c r="C7583" s="6"/>
      <c r="L7583" s="7"/>
      <c r="M7583" s="5"/>
      <c r="N7583" s="5"/>
      <c r="O7583" s="5"/>
    </row>
    <row r="7584">
      <c r="A7584" s="6"/>
      <c r="C7584" s="6"/>
      <c r="L7584" s="7"/>
      <c r="M7584" s="5"/>
      <c r="N7584" s="5"/>
      <c r="O7584" s="5"/>
    </row>
    <row r="7585">
      <c r="A7585" s="6"/>
      <c r="C7585" s="6"/>
      <c r="L7585" s="7"/>
      <c r="M7585" s="5"/>
      <c r="N7585" s="5"/>
      <c r="O7585" s="5"/>
    </row>
    <row r="7586">
      <c r="A7586" s="6"/>
      <c r="C7586" s="6"/>
      <c r="L7586" s="7"/>
      <c r="M7586" s="5"/>
      <c r="N7586" s="5"/>
      <c r="O7586" s="5"/>
    </row>
    <row r="7587">
      <c r="A7587" s="6"/>
      <c r="C7587" s="6"/>
      <c r="L7587" s="7"/>
      <c r="M7587" s="5"/>
      <c r="N7587" s="5"/>
      <c r="O7587" s="5"/>
    </row>
    <row r="7588">
      <c r="A7588" s="6"/>
      <c r="C7588" s="6"/>
      <c r="L7588" s="7"/>
      <c r="M7588" s="5"/>
      <c r="N7588" s="5"/>
      <c r="O7588" s="5"/>
    </row>
    <row r="7589">
      <c r="A7589" s="6"/>
      <c r="C7589" s="6"/>
      <c r="L7589" s="7"/>
      <c r="M7589" s="5"/>
      <c r="N7589" s="5"/>
      <c r="O7589" s="5"/>
    </row>
    <row r="7590">
      <c r="A7590" s="6"/>
      <c r="C7590" s="6"/>
      <c r="L7590" s="7"/>
      <c r="M7590" s="5"/>
      <c r="N7590" s="5"/>
      <c r="O7590" s="5"/>
    </row>
    <row r="7591">
      <c r="A7591" s="6"/>
      <c r="C7591" s="6"/>
      <c r="L7591" s="7"/>
      <c r="M7591" s="5"/>
      <c r="N7591" s="5"/>
      <c r="O7591" s="5"/>
    </row>
    <row r="7592">
      <c r="A7592" s="6"/>
      <c r="C7592" s="6"/>
      <c r="L7592" s="7"/>
      <c r="M7592" s="5"/>
      <c r="N7592" s="5"/>
      <c r="O7592" s="5"/>
    </row>
    <row r="7593">
      <c r="A7593" s="6"/>
      <c r="C7593" s="6"/>
      <c r="L7593" s="7"/>
      <c r="M7593" s="5"/>
      <c r="N7593" s="5"/>
      <c r="O7593" s="5"/>
    </row>
    <row r="7594">
      <c r="A7594" s="6"/>
      <c r="C7594" s="6"/>
      <c r="L7594" s="7"/>
      <c r="M7594" s="5"/>
      <c r="N7594" s="5"/>
      <c r="O7594" s="5"/>
    </row>
    <row r="7595">
      <c r="A7595" s="6"/>
      <c r="C7595" s="6"/>
      <c r="L7595" s="7"/>
      <c r="M7595" s="5"/>
      <c r="N7595" s="5"/>
      <c r="O7595" s="5"/>
    </row>
    <row r="7596">
      <c r="A7596" s="6"/>
      <c r="C7596" s="6"/>
      <c r="L7596" s="7"/>
      <c r="M7596" s="5"/>
      <c r="N7596" s="5"/>
      <c r="O7596" s="5"/>
    </row>
    <row r="7597">
      <c r="A7597" s="6"/>
      <c r="C7597" s="6"/>
      <c r="L7597" s="7"/>
      <c r="M7597" s="5"/>
      <c r="N7597" s="5"/>
      <c r="O7597" s="5"/>
    </row>
    <row r="7598">
      <c r="A7598" s="6"/>
      <c r="C7598" s="6"/>
      <c r="L7598" s="7"/>
      <c r="M7598" s="5"/>
      <c r="N7598" s="5"/>
      <c r="O7598" s="5"/>
    </row>
    <row r="7599">
      <c r="A7599" s="6"/>
      <c r="C7599" s="6"/>
      <c r="L7599" s="7"/>
      <c r="M7599" s="5"/>
      <c r="N7599" s="5"/>
      <c r="O7599" s="5"/>
    </row>
    <row r="7600">
      <c r="A7600" s="6"/>
      <c r="C7600" s="6"/>
      <c r="L7600" s="7"/>
      <c r="M7600" s="5"/>
      <c r="N7600" s="5"/>
      <c r="O7600" s="5"/>
    </row>
    <row r="7601">
      <c r="A7601" s="6"/>
      <c r="C7601" s="6"/>
      <c r="L7601" s="7"/>
      <c r="M7601" s="5"/>
      <c r="N7601" s="5"/>
      <c r="O7601" s="5"/>
    </row>
    <row r="7602">
      <c r="A7602" s="6"/>
      <c r="C7602" s="6"/>
      <c r="L7602" s="7"/>
      <c r="M7602" s="5"/>
      <c r="N7602" s="5"/>
      <c r="O7602" s="5"/>
    </row>
    <row r="7603">
      <c r="A7603" s="6"/>
      <c r="C7603" s="6"/>
      <c r="L7603" s="7"/>
      <c r="M7603" s="5"/>
      <c r="N7603" s="5"/>
      <c r="O7603" s="5"/>
    </row>
    <row r="7604">
      <c r="A7604" s="6"/>
      <c r="C7604" s="6"/>
      <c r="L7604" s="7"/>
      <c r="M7604" s="5"/>
      <c r="N7604" s="5"/>
      <c r="O7604" s="5"/>
    </row>
    <row r="7605">
      <c r="A7605" s="6"/>
      <c r="C7605" s="6"/>
      <c r="L7605" s="7"/>
      <c r="M7605" s="5"/>
      <c r="N7605" s="5"/>
      <c r="O7605" s="5"/>
    </row>
    <row r="7606">
      <c r="A7606" s="6"/>
      <c r="C7606" s="6"/>
      <c r="L7606" s="7"/>
      <c r="M7606" s="5"/>
      <c r="N7606" s="5"/>
      <c r="O7606" s="5"/>
    </row>
    <row r="7607">
      <c r="A7607" s="6"/>
      <c r="C7607" s="6"/>
      <c r="L7607" s="7"/>
      <c r="M7607" s="5"/>
      <c r="N7607" s="5"/>
      <c r="O7607" s="5"/>
    </row>
    <row r="7608">
      <c r="A7608" s="6"/>
      <c r="C7608" s="6"/>
      <c r="L7608" s="7"/>
      <c r="M7608" s="5"/>
      <c r="N7608" s="5"/>
      <c r="O7608" s="5"/>
    </row>
    <row r="7609">
      <c r="A7609" s="6"/>
      <c r="C7609" s="6"/>
      <c r="L7609" s="7"/>
      <c r="M7609" s="5"/>
      <c r="N7609" s="5"/>
      <c r="O7609" s="5"/>
    </row>
    <row r="7610">
      <c r="A7610" s="6"/>
      <c r="C7610" s="6"/>
      <c r="L7610" s="7"/>
      <c r="M7610" s="5"/>
      <c r="N7610" s="5"/>
      <c r="O7610" s="5"/>
    </row>
    <row r="7611">
      <c r="A7611" s="6"/>
      <c r="C7611" s="6"/>
      <c r="L7611" s="7"/>
      <c r="M7611" s="5"/>
      <c r="N7611" s="5"/>
      <c r="O7611" s="5"/>
    </row>
    <row r="7612">
      <c r="A7612" s="6"/>
      <c r="C7612" s="6"/>
      <c r="L7612" s="7"/>
      <c r="M7612" s="5"/>
      <c r="N7612" s="5"/>
      <c r="O7612" s="5"/>
    </row>
    <row r="7613">
      <c r="A7613" s="6"/>
      <c r="C7613" s="6"/>
      <c r="L7613" s="7"/>
      <c r="M7613" s="5"/>
      <c r="N7613" s="5"/>
      <c r="O7613" s="5"/>
    </row>
    <row r="7614">
      <c r="A7614" s="6"/>
      <c r="C7614" s="6"/>
      <c r="L7614" s="7"/>
      <c r="M7614" s="5"/>
      <c r="N7614" s="5"/>
      <c r="O7614" s="5"/>
    </row>
    <row r="7615">
      <c r="A7615" s="6"/>
      <c r="C7615" s="6"/>
      <c r="L7615" s="7"/>
      <c r="M7615" s="5"/>
      <c r="N7615" s="5"/>
      <c r="O7615" s="5"/>
    </row>
    <row r="7616">
      <c r="A7616" s="6"/>
      <c r="C7616" s="6"/>
      <c r="L7616" s="7"/>
      <c r="M7616" s="5"/>
      <c r="N7616" s="5"/>
      <c r="O7616" s="5"/>
    </row>
    <row r="7617">
      <c r="A7617" s="6"/>
      <c r="C7617" s="6"/>
      <c r="L7617" s="7"/>
      <c r="M7617" s="5"/>
      <c r="N7617" s="5"/>
      <c r="O7617" s="5"/>
    </row>
    <row r="7618">
      <c r="A7618" s="6"/>
      <c r="C7618" s="6"/>
      <c r="L7618" s="7"/>
      <c r="M7618" s="5"/>
      <c r="N7618" s="5"/>
      <c r="O7618" s="5"/>
    </row>
    <row r="7619">
      <c r="A7619" s="6"/>
      <c r="C7619" s="6"/>
      <c r="L7619" s="7"/>
      <c r="M7619" s="5"/>
      <c r="N7619" s="5"/>
      <c r="O7619" s="5"/>
    </row>
    <row r="7620">
      <c r="A7620" s="6"/>
      <c r="C7620" s="6"/>
      <c r="L7620" s="7"/>
      <c r="M7620" s="5"/>
      <c r="N7620" s="5"/>
      <c r="O7620" s="5"/>
    </row>
    <row r="7621">
      <c r="A7621" s="6"/>
      <c r="C7621" s="6"/>
      <c r="L7621" s="7"/>
      <c r="M7621" s="5"/>
      <c r="N7621" s="5"/>
      <c r="O7621" s="5"/>
    </row>
    <row r="7622">
      <c r="A7622" s="6"/>
      <c r="C7622" s="6"/>
      <c r="L7622" s="7"/>
      <c r="M7622" s="5"/>
      <c r="N7622" s="5"/>
      <c r="O7622" s="5"/>
    </row>
    <row r="7623">
      <c r="A7623" s="6"/>
      <c r="C7623" s="6"/>
      <c r="L7623" s="7"/>
      <c r="M7623" s="5"/>
      <c r="N7623" s="5"/>
      <c r="O7623" s="5"/>
    </row>
    <row r="7624">
      <c r="A7624" s="6"/>
      <c r="C7624" s="6"/>
      <c r="L7624" s="7"/>
      <c r="M7624" s="5"/>
      <c r="N7624" s="5"/>
      <c r="O7624" s="5"/>
    </row>
    <row r="7625">
      <c r="A7625" s="6"/>
      <c r="C7625" s="6"/>
      <c r="L7625" s="7"/>
      <c r="M7625" s="5"/>
      <c r="N7625" s="5"/>
      <c r="O7625" s="5"/>
    </row>
    <row r="7626">
      <c r="A7626" s="6"/>
      <c r="C7626" s="6"/>
      <c r="L7626" s="7"/>
      <c r="M7626" s="5"/>
      <c r="N7626" s="5"/>
      <c r="O7626" s="5"/>
    </row>
    <row r="7627">
      <c r="A7627" s="6"/>
      <c r="C7627" s="6"/>
      <c r="L7627" s="7"/>
      <c r="M7627" s="5"/>
      <c r="N7627" s="5"/>
      <c r="O7627" s="5"/>
    </row>
    <row r="7628">
      <c r="A7628" s="6"/>
      <c r="C7628" s="6"/>
      <c r="L7628" s="7"/>
      <c r="M7628" s="5"/>
      <c r="N7628" s="5"/>
      <c r="O7628" s="5"/>
    </row>
    <row r="7629">
      <c r="A7629" s="6"/>
      <c r="C7629" s="6"/>
      <c r="L7629" s="7"/>
      <c r="M7629" s="5"/>
      <c r="N7629" s="5"/>
      <c r="O7629" s="5"/>
    </row>
    <row r="7630">
      <c r="A7630" s="6"/>
      <c r="C7630" s="6"/>
      <c r="L7630" s="7"/>
      <c r="M7630" s="5"/>
      <c r="N7630" s="5"/>
      <c r="O7630" s="5"/>
    </row>
    <row r="7631">
      <c r="A7631" s="6"/>
      <c r="C7631" s="6"/>
      <c r="L7631" s="7"/>
      <c r="M7631" s="5"/>
      <c r="N7631" s="5"/>
      <c r="O7631" s="5"/>
    </row>
    <row r="7632">
      <c r="A7632" s="6"/>
      <c r="C7632" s="6"/>
      <c r="L7632" s="7"/>
      <c r="M7632" s="5"/>
      <c r="N7632" s="5"/>
      <c r="O7632" s="5"/>
    </row>
    <row r="7633">
      <c r="A7633" s="6"/>
      <c r="C7633" s="6"/>
      <c r="L7633" s="7"/>
      <c r="M7633" s="5"/>
      <c r="N7633" s="5"/>
      <c r="O7633" s="5"/>
    </row>
    <row r="7634">
      <c r="A7634" s="6"/>
      <c r="C7634" s="6"/>
      <c r="L7634" s="7"/>
      <c r="M7634" s="5"/>
      <c r="N7634" s="5"/>
      <c r="O7634" s="5"/>
    </row>
    <row r="7635">
      <c r="A7635" s="6"/>
      <c r="C7635" s="6"/>
      <c r="L7635" s="7"/>
      <c r="M7635" s="5"/>
      <c r="N7635" s="5"/>
      <c r="O7635" s="5"/>
    </row>
    <row r="7636">
      <c r="A7636" s="6"/>
      <c r="C7636" s="6"/>
      <c r="L7636" s="7"/>
      <c r="M7636" s="5"/>
      <c r="N7636" s="5"/>
      <c r="O7636" s="5"/>
    </row>
    <row r="7637">
      <c r="A7637" s="6"/>
      <c r="C7637" s="6"/>
      <c r="L7637" s="7"/>
      <c r="M7637" s="5"/>
      <c r="N7637" s="5"/>
      <c r="O7637" s="5"/>
    </row>
    <row r="7638">
      <c r="A7638" s="6"/>
      <c r="C7638" s="6"/>
      <c r="L7638" s="7"/>
      <c r="M7638" s="5"/>
      <c r="N7638" s="5"/>
      <c r="O7638" s="5"/>
    </row>
    <row r="7639">
      <c r="A7639" s="6"/>
      <c r="C7639" s="6"/>
      <c r="L7639" s="7"/>
      <c r="M7639" s="5"/>
      <c r="N7639" s="5"/>
      <c r="O7639" s="5"/>
    </row>
    <row r="7640">
      <c r="A7640" s="6"/>
      <c r="C7640" s="6"/>
      <c r="L7640" s="7"/>
      <c r="M7640" s="5"/>
      <c r="N7640" s="5"/>
      <c r="O7640" s="5"/>
    </row>
    <row r="7641">
      <c r="A7641" s="6"/>
      <c r="C7641" s="6"/>
      <c r="L7641" s="7"/>
      <c r="M7641" s="5"/>
      <c r="N7641" s="5"/>
      <c r="O7641" s="5"/>
    </row>
    <row r="7642">
      <c r="A7642" s="6"/>
      <c r="C7642" s="6"/>
      <c r="L7642" s="7"/>
      <c r="M7642" s="5"/>
      <c r="N7642" s="5"/>
      <c r="O7642" s="5"/>
    </row>
    <row r="7643">
      <c r="A7643" s="6"/>
      <c r="C7643" s="6"/>
      <c r="L7643" s="7"/>
      <c r="M7643" s="5"/>
      <c r="N7643" s="5"/>
      <c r="O7643" s="5"/>
    </row>
    <row r="7644">
      <c r="A7644" s="6"/>
      <c r="C7644" s="6"/>
      <c r="L7644" s="7"/>
      <c r="M7644" s="5"/>
      <c r="N7644" s="5"/>
      <c r="O7644" s="5"/>
    </row>
    <row r="7645">
      <c r="A7645" s="6"/>
      <c r="C7645" s="6"/>
      <c r="L7645" s="7"/>
      <c r="M7645" s="5"/>
      <c r="N7645" s="5"/>
      <c r="O7645" s="5"/>
    </row>
    <row r="7646">
      <c r="A7646" s="6"/>
      <c r="C7646" s="6"/>
      <c r="L7646" s="7"/>
      <c r="M7646" s="5"/>
      <c r="N7646" s="5"/>
      <c r="O7646" s="5"/>
    </row>
    <row r="7647">
      <c r="A7647" s="6"/>
      <c r="C7647" s="6"/>
      <c r="L7647" s="7"/>
      <c r="M7647" s="5"/>
      <c r="N7647" s="5"/>
      <c r="O7647" s="5"/>
    </row>
    <row r="7648">
      <c r="A7648" s="6"/>
      <c r="C7648" s="6"/>
      <c r="L7648" s="7"/>
      <c r="M7648" s="5"/>
      <c r="N7648" s="5"/>
      <c r="O7648" s="5"/>
    </row>
    <row r="7649">
      <c r="A7649" s="6"/>
      <c r="C7649" s="6"/>
      <c r="L7649" s="7"/>
      <c r="M7649" s="5"/>
      <c r="N7649" s="5"/>
      <c r="O7649" s="5"/>
    </row>
    <row r="7650">
      <c r="A7650" s="6"/>
      <c r="C7650" s="6"/>
      <c r="L7650" s="7"/>
      <c r="M7650" s="5"/>
      <c r="N7650" s="5"/>
      <c r="O7650" s="5"/>
    </row>
    <row r="7651">
      <c r="A7651" s="6"/>
      <c r="C7651" s="6"/>
      <c r="L7651" s="7"/>
      <c r="M7651" s="5"/>
      <c r="N7651" s="5"/>
      <c r="O7651" s="5"/>
    </row>
    <row r="7652">
      <c r="A7652" s="6"/>
      <c r="C7652" s="6"/>
      <c r="L7652" s="7"/>
      <c r="M7652" s="5"/>
      <c r="N7652" s="5"/>
      <c r="O7652" s="5"/>
    </row>
    <row r="7653">
      <c r="A7653" s="6"/>
      <c r="C7653" s="6"/>
      <c r="L7653" s="7"/>
      <c r="M7653" s="5"/>
      <c r="N7653" s="5"/>
      <c r="O7653" s="5"/>
    </row>
    <row r="7654">
      <c r="A7654" s="6"/>
      <c r="C7654" s="6"/>
      <c r="L7654" s="7"/>
      <c r="M7654" s="5"/>
      <c r="N7654" s="5"/>
      <c r="O7654" s="5"/>
    </row>
    <row r="7655">
      <c r="A7655" s="6"/>
      <c r="C7655" s="6"/>
      <c r="L7655" s="7"/>
      <c r="M7655" s="5"/>
      <c r="N7655" s="5"/>
      <c r="O7655" s="5"/>
    </row>
    <row r="7656">
      <c r="A7656" s="6"/>
      <c r="C7656" s="6"/>
      <c r="L7656" s="7"/>
      <c r="M7656" s="5"/>
      <c r="N7656" s="5"/>
      <c r="O7656" s="5"/>
    </row>
    <row r="7657">
      <c r="A7657" s="6"/>
      <c r="C7657" s="6"/>
      <c r="L7657" s="7"/>
      <c r="M7657" s="5"/>
      <c r="N7657" s="5"/>
      <c r="O7657" s="5"/>
    </row>
    <row r="7658">
      <c r="A7658" s="6"/>
      <c r="C7658" s="6"/>
      <c r="L7658" s="7"/>
      <c r="M7658" s="5"/>
      <c r="N7658" s="5"/>
      <c r="O7658" s="5"/>
    </row>
    <row r="7659">
      <c r="A7659" s="6"/>
      <c r="C7659" s="6"/>
      <c r="L7659" s="7"/>
      <c r="M7659" s="5"/>
      <c r="N7659" s="5"/>
      <c r="O7659" s="5"/>
    </row>
    <row r="7660">
      <c r="A7660" s="6"/>
      <c r="C7660" s="6"/>
      <c r="L7660" s="7"/>
      <c r="M7660" s="5"/>
      <c r="N7660" s="5"/>
      <c r="O7660" s="5"/>
    </row>
    <row r="7661">
      <c r="A7661" s="6"/>
      <c r="C7661" s="6"/>
      <c r="L7661" s="7"/>
      <c r="M7661" s="5"/>
      <c r="N7661" s="5"/>
      <c r="O7661" s="5"/>
    </row>
    <row r="7662">
      <c r="A7662" s="6"/>
      <c r="C7662" s="6"/>
      <c r="L7662" s="7"/>
      <c r="M7662" s="5"/>
      <c r="N7662" s="5"/>
      <c r="O7662" s="5"/>
    </row>
    <row r="7663">
      <c r="A7663" s="6"/>
      <c r="C7663" s="6"/>
      <c r="L7663" s="7"/>
      <c r="M7663" s="5"/>
      <c r="N7663" s="5"/>
      <c r="O7663" s="5"/>
    </row>
    <row r="7664">
      <c r="A7664" s="6"/>
      <c r="C7664" s="6"/>
      <c r="L7664" s="7"/>
      <c r="M7664" s="5"/>
      <c r="N7664" s="5"/>
      <c r="O7664" s="5"/>
    </row>
    <row r="7665">
      <c r="A7665" s="6"/>
      <c r="C7665" s="6"/>
      <c r="L7665" s="7"/>
      <c r="M7665" s="5"/>
      <c r="N7665" s="5"/>
      <c r="O7665" s="5"/>
    </row>
    <row r="7666">
      <c r="A7666" s="6"/>
      <c r="C7666" s="6"/>
      <c r="L7666" s="7"/>
      <c r="M7666" s="5"/>
      <c r="N7666" s="5"/>
      <c r="O7666" s="5"/>
    </row>
    <row r="7667">
      <c r="A7667" s="6"/>
      <c r="C7667" s="6"/>
      <c r="L7667" s="7"/>
      <c r="M7667" s="5"/>
      <c r="N7667" s="5"/>
      <c r="O7667" s="5"/>
    </row>
    <row r="7668">
      <c r="A7668" s="6"/>
      <c r="C7668" s="6"/>
      <c r="L7668" s="7"/>
      <c r="M7668" s="5"/>
      <c r="N7668" s="5"/>
      <c r="O7668" s="5"/>
    </row>
    <row r="7669">
      <c r="A7669" s="6"/>
      <c r="C7669" s="6"/>
      <c r="L7669" s="7"/>
      <c r="M7669" s="5"/>
      <c r="N7669" s="5"/>
      <c r="O7669" s="5"/>
    </row>
    <row r="7670">
      <c r="A7670" s="6"/>
      <c r="C7670" s="6"/>
      <c r="L7670" s="7"/>
      <c r="M7670" s="5"/>
      <c r="N7670" s="5"/>
      <c r="O7670" s="5"/>
    </row>
    <row r="7671">
      <c r="A7671" s="6"/>
      <c r="C7671" s="6"/>
      <c r="L7671" s="7"/>
      <c r="M7671" s="5"/>
      <c r="N7671" s="5"/>
      <c r="O7671" s="5"/>
    </row>
    <row r="7672">
      <c r="A7672" s="6"/>
      <c r="C7672" s="6"/>
      <c r="L7672" s="7"/>
      <c r="M7672" s="5"/>
      <c r="N7672" s="5"/>
      <c r="O7672" s="5"/>
    </row>
    <row r="7673">
      <c r="A7673" s="6"/>
      <c r="C7673" s="6"/>
      <c r="L7673" s="7"/>
      <c r="M7673" s="5"/>
      <c r="N7673" s="5"/>
      <c r="O7673" s="5"/>
    </row>
    <row r="7674">
      <c r="A7674" s="6"/>
      <c r="C7674" s="6"/>
      <c r="L7674" s="7"/>
      <c r="M7674" s="5"/>
      <c r="N7674" s="5"/>
      <c r="O7674" s="5"/>
    </row>
    <row r="7675">
      <c r="A7675" s="6"/>
      <c r="C7675" s="6"/>
      <c r="L7675" s="7"/>
      <c r="M7675" s="5"/>
      <c r="N7675" s="5"/>
      <c r="O7675" s="5"/>
    </row>
    <row r="7676">
      <c r="A7676" s="6"/>
      <c r="C7676" s="6"/>
      <c r="L7676" s="7"/>
      <c r="M7676" s="5"/>
      <c r="N7676" s="5"/>
      <c r="O7676" s="5"/>
    </row>
    <row r="7677">
      <c r="A7677" s="6"/>
      <c r="C7677" s="6"/>
      <c r="L7677" s="7"/>
      <c r="M7677" s="5"/>
      <c r="N7677" s="5"/>
      <c r="O7677" s="5"/>
    </row>
    <row r="7678">
      <c r="A7678" s="6"/>
      <c r="C7678" s="6"/>
      <c r="L7678" s="7"/>
      <c r="M7678" s="5"/>
      <c r="N7678" s="5"/>
      <c r="O7678" s="5"/>
    </row>
    <row r="7679">
      <c r="A7679" s="6"/>
      <c r="C7679" s="6"/>
      <c r="L7679" s="7"/>
      <c r="M7679" s="5"/>
      <c r="N7679" s="5"/>
      <c r="O7679" s="5"/>
    </row>
    <row r="7680">
      <c r="A7680" s="6"/>
      <c r="C7680" s="6"/>
      <c r="L7680" s="7"/>
      <c r="M7680" s="5"/>
      <c r="N7680" s="5"/>
      <c r="O7680" s="5"/>
    </row>
    <row r="7681">
      <c r="A7681" s="6"/>
      <c r="C7681" s="6"/>
      <c r="L7681" s="7"/>
      <c r="M7681" s="5"/>
      <c r="N7681" s="5"/>
      <c r="O7681" s="5"/>
    </row>
    <row r="7682">
      <c r="A7682" s="6"/>
      <c r="C7682" s="6"/>
      <c r="L7682" s="7"/>
      <c r="M7682" s="5"/>
      <c r="N7682" s="5"/>
      <c r="O7682" s="5"/>
    </row>
    <row r="7683">
      <c r="A7683" s="6"/>
      <c r="C7683" s="6"/>
      <c r="L7683" s="7"/>
      <c r="M7683" s="5"/>
      <c r="N7683" s="5"/>
      <c r="O7683" s="5"/>
    </row>
    <row r="7684">
      <c r="A7684" s="6"/>
      <c r="C7684" s="6"/>
      <c r="L7684" s="7"/>
      <c r="M7684" s="5"/>
      <c r="N7684" s="5"/>
      <c r="O7684" s="5"/>
    </row>
    <row r="7685">
      <c r="A7685" s="6"/>
      <c r="C7685" s="6"/>
      <c r="L7685" s="7"/>
      <c r="M7685" s="5"/>
      <c r="N7685" s="5"/>
      <c r="O7685" s="5"/>
    </row>
    <row r="7686">
      <c r="A7686" s="6"/>
      <c r="C7686" s="6"/>
      <c r="L7686" s="7"/>
      <c r="M7686" s="5"/>
      <c r="N7686" s="5"/>
      <c r="O7686" s="5"/>
    </row>
    <row r="7687">
      <c r="A7687" s="6"/>
      <c r="C7687" s="6"/>
      <c r="L7687" s="7"/>
      <c r="M7687" s="5"/>
      <c r="N7687" s="5"/>
      <c r="O7687" s="5"/>
    </row>
    <row r="7688">
      <c r="A7688" s="6"/>
      <c r="C7688" s="6"/>
      <c r="L7688" s="7"/>
      <c r="M7688" s="5"/>
      <c r="N7688" s="5"/>
      <c r="O7688" s="5"/>
    </row>
    <row r="7689">
      <c r="A7689" s="6"/>
      <c r="C7689" s="6"/>
      <c r="L7689" s="7"/>
      <c r="M7689" s="5"/>
      <c r="N7689" s="5"/>
      <c r="O7689" s="5"/>
    </row>
    <row r="7690">
      <c r="A7690" s="6"/>
      <c r="C7690" s="6"/>
      <c r="L7690" s="7"/>
      <c r="M7690" s="5"/>
      <c r="N7690" s="5"/>
      <c r="O7690" s="5"/>
    </row>
    <row r="7691">
      <c r="A7691" s="6"/>
      <c r="C7691" s="6"/>
      <c r="L7691" s="7"/>
      <c r="M7691" s="5"/>
      <c r="N7691" s="5"/>
      <c r="O7691" s="5"/>
    </row>
    <row r="7692">
      <c r="A7692" s="6"/>
      <c r="C7692" s="6"/>
      <c r="L7692" s="7"/>
      <c r="M7692" s="5"/>
      <c r="N7692" s="5"/>
      <c r="O7692" s="5"/>
    </row>
    <row r="7693">
      <c r="A7693" s="6"/>
      <c r="C7693" s="6"/>
      <c r="L7693" s="7"/>
      <c r="M7693" s="5"/>
      <c r="N7693" s="5"/>
      <c r="O7693" s="5"/>
    </row>
    <row r="7694">
      <c r="A7694" s="6"/>
      <c r="C7694" s="6"/>
      <c r="L7694" s="7"/>
      <c r="M7694" s="5"/>
      <c r="N7694" s="5"/>
      <c r="O7694" s="5"/>
    </row>
    <row r="7695">
      <c r="A7695" s="6"/>
      <c r="C7695" s="6"/>
      <c r="L7695" s="7"/>
      <c r="M7695" s="5"/>
      <c r="N7695" s="5"/>
      <c r="O7695" s="5"/>
    </row>
    <row r="7696">
      <c r="A7696" s="6"/>
      <c r="C7696" s="6"/>
      <c r="L7696" s="7"/>
      <c r="M7696" s="5"/>
      <c r="N7696" s="5"/>
      <c r="O7696" s="5"/>
    </row>
    <row r="7697">
      <c r="A7697" s="6"/>
      <c r="C7697" s="6"/>
      <c r="L7697" s="7"/>
      <c r="M7697" s="5"/>
      <c r="N7697" s="5"/>
      <c r="O7697" s="5"/>
    </row>
    <row r="7698">
      <c r="A7698" s="6"/>
      <c r="C7698" s="6"/>
      <c r="L7698" s="7"/>
      <c r="M7698" s="5"/>
      <c r="N7698" s="5"/>
      <c r="O7698" s="5"/>
    </row>
    <row r="7699">
      <c r="A7699" s="6"/>
      <c r="C7699" s="6"/>
      <c r="L7699" s="7"/>
      <c r="M7699" s="5"/>
      <c r="N7699" s="5"/>
      <c r="O7699" s="5"/>
    </row>
    <row r="7700">
      <c r="A7700" s="6"/>
      <c r="C7700" s="6"/>
      <c r="L7700" s="7"/>
      <c r="M7700" s="5"/>
      <c r="N7700" s="5"/>
      <c r="O7700" s="5"/>
    </row>
    <row r="7701">
      <c r="A7701" s="6"/>
      <c r="C7701" s="6"/>
      <c r="L7701" s="7"/>
      <c r="M7701" s="5"/>
      <c r="N7701" s="5"/>
      <c r="O7701" s="5"/>
    </row>
    <row r="7702">
      <c r="A7702" s="6"/>
      <c r="C7702" s="6"/>
      <c r="L7702" s="7"/>
      <c r="M7702" s="5"/>
      <c r="N7702" s="5"/>
      <c r="O7702" s="5"/>
    </row>
    <row r="7703">
      <c r="A7703" s="6"/>
      <c r="C7703" s="6"/>
      <c r="L7703" s="7"/>
      <c r="M7703" s="5"/>
      <c r="N7703" s="5"/>
      <c r="O7703" s="5"/>
    </row>
    <row r="7704">
      <c r="A7704" s="6"/>
      <c r="C7704" s="6"/>
      <c r="L7704" s="7"/>
      <c r="M7704" s="5"/>
      <c r="N7704" s="5"/>
      <c r="O7704" s="5"/>
    </row>
    <row r="7705">
      <c r="A7705" s="6"/>
      <c r="C7705" s="6"/>
      <c r="L7705" s="7"/>
      <c r="M7705" s="5"/>
      <c r="N7705" s="5"/>
      <c r="O7705" s="5"/>
    </row>
    <row r="7706">
      <c r="A7706" s="6"/>
      <c r="C7706" s="6"/>
      <c r="L7706" s="7"/>
      <c r="M7706" s="5"/>
      <c r="N7706" s="5"/>
      <c r="O7706" s="5"/>
    </row>
    <row r="7707">
      <c r="A7707" s="6"/>
      <c r="C7707" s="6"/>
      <c r="L7707" s="7"/>
      <c r="M7707" s="5"/>
      <c r="N7707" s="5"/>
      <c r="O7707" s="5"/>
    </row>
    <row r="7708">
      <c r="A7708" s="6"/>
      <c r="C7708" s="6"/>
      <c r="L7708" s="7"/>
      <c r="M7708" s="5"/>
      <c r="N7708" s="5"/>
      <c r="O7708" s="5"/>
    </row>
    <row r="7709">
      <c r="A7709" s="6"/>
      <c r="C7709" s="6"/>
      <c r="L7709" s="7"/>
      <c r="M7709" s="5"/>
      <c r="N7709" s="5"/>
      <c r="O7709" s="5"/>
    </row>
    <row r="7710">
      <c r="A7710" s="6"/>
      <c r="C7710" s="6"/>
      <c r="L7710" s="7"/>
      <c r="M7710" s="5"/>
      <c r="N7710" s="5"/>
      <c r="O7710" s="5"/>
    </row>
    <row r="7711">
      <c r="A7711" s="6"/>
      <c r="C7711" s="6"/>
      <c r="L7711" s="7"/>
      <c r="M7711" s="5"/>
      <c r="N7711" s="5"/>
      <c r="O7711" s="5"/>
    </row>
    <row r="7712">
      <c r="A7712" s="6"/>
      <c r="C7712" s="6"/>
      <c r="L7712" s="7"/>
      <c r="M7712" s="5"/>
      <c r="N7712" s="5"/>
      <c r="O7712" s="5"/>
    </row>
    <row r="7713">
      <c r="A7713" s="6"/>
      <c r="C7713" s="6"/>
      <c r="L7713" s="7"/>
      <c r="M7713" s="5"/>
      <c r="N7713" s="5"/>
      <c r="O7713" s="5"/>
    </row>
    <row r="7714">
      <c r="A7714" s="6"/>
      <c r="C7714" s="6"/>
      <c r="L7714" s="7"/>
      <c r="M7714" s="5"/>
      <c r="N7714" s="5"/>
      <c r="O7714" s="5"/>
    </row>
    <row r="7715">
      <c r="A7715" s="6"/>
      <c r="C7715" s="6"/>
      <c r="L7715" s="7"/>
      <c r="M7715" s="5"/>
      <c r="N7715" s="5"/>
      <c r="O7715" s="5"/>
    </row>
    <row r="7716">
      <c r="A7716" s="6"/>
      <c r="C7716" s="6"/>
      <c r="L7716" s="7"/>
      <c r="M7716" s="5"/>
      <c r="N7716" s="5"/>
      <c r="O7716" s="5"/>
    </row>
    <row r="7717">
      <c r="A7717" s="6"/>
      <c r="C7717" s="6"/>
      <c r="L7717" s="7"/>
      <c r="M7717" s="5"/>
      <c r="N7717" s="5"/>
      <c r="O7717" s="5"/>
    </row>
    <row r="7718">
      <c r="A7718" s="6"/>
      <c r="C7718" s="6"/>
      <c r="L7718" s="7"/>
      <c r="M7718" s="5"/>
      <c r="N7718" s="5"/>
      <c r="O7718" s="5"/>
    </row>
    <row r="7719">
      <c r="A7719" s="6"/>
      <c r="C7719" s="6"/>
      <c r="L7719" s="7"/>
      <c r="M7719" s="5"/>
      <c r="N7719" s="5"/>
      <c r="O7719" s="5"/>
    </row>
    <row r="7720">
      <c r="A7720" s="6"/>
      <c r="C7720" s="6"/>
      <c r="L7720" s="7"/>
      <c r="M7720" s="5"/>
      <c r="N7720" s="5"/>
      <c r="O7720" s="5"/>
    </row>
    <row r="7721">
      <c r="A7721" s="6"/>
      <c r="C7721" s="6"/>
      <c r="L7721" s="7"/>
      <c r="M7721" s="5"/>
      <c r="N7721" s="5"/>
      <c r="O7721" s="5"/>
    </row>
    <row r="7722">
      <c r="A7722" s="6"/>
      <c r="C7722" s="6"/>
      <c r="L7722" s="7"/>
      <c r="M7722" s="5"/>
      <c r="N7722" s="5"/>
      <c r="O7722" s="5"/>
    </row>
    <row r="7723">
      <c r="A7723" s="6"/>
      <c r="C7723" s="6"/>
      <c r="L7723" s="7"/>
      <c r="M7723" s="5"/>
      <c r="N7723" s="5"/>
      <c r="O7723" s="5"/>
    </row>
    <row r="7724">
      <c r="A7724" s="6"/>
      <c r="C7724" s="6"/>
      <c r="L7724" s="7"/>
      <c r="M7724" s="5"/>
      <c r="N7724" s="5"/>
      <c r="O7724" s="5"/>
    </row>
    <row r="7725">
      <c r="A7725" s="6"/>
      <c r="C7725" s="6"/>
      <c r="L7725" s="7"/>
      <c r="M7725" s="5"/>
      <c r="N7725" s="5"/>
      <c r="O7725" s="5"/>
    </row>
    <row r="7726">
      <c r="A7726" s="6"/>
      <c r="C7726" s="6"/>
      <c r="L7726" s="7"/>
      <c r="M7726" s="5"/>
      <c r="N7726" s="5"/>
      <c r="O7726" s="5"/>
    </row>
    <row r="7727">
      <c r="A7727" s="6"/>
      <c r="C7727" s="6"/>
      <c r="L7727" s="7"/>
      <c r="M7727" s="5"/>
      <c r="N7727" s="5"/>
      <c r="O7727" s="5"/>
    </row>
    <row r="7728">
      <c r="A7728" s="6"/>
      <c r="C7728" s="6"/>
      <c r="L7728" s="7"/>
      <c r="M7728" s="5"/>
      <c r="N7728" s="5"/>
      <c r="O7728" s="5"/>
    </row>
    <row r="7729">
      <c r="A7729" s="6"/>
      <c r="C7729" s="6"/>
      <c r="L7729" s="7"/>
      <c r="M7729" s="5"/>
      <c r="N7729" s="5"/>
      <c r="O7729" s="5"/>
    </row>
    <row r="7730">
      <c r="A7730" s="6"/>
      <c r="C7730" s="6"/>
      <c r="L7730" s="7"/>
      <c r="M7730" s="5"/>
      <c r="N7730" s="5"/>
      <c r="O7730" s="5"/>
    </row>
    <row r="7731">
      <c r="A7731" s="6"/>
      <c r="C7731" s="6"/>
      <c r="L7731" s="7"/>
      <c r="M7731" s="5"/>
      <c r="N7731" s="5"/>
      <c r="O7731" s="5"/>
    </row>
    <row r="7732">
      <c r="A7732" s="6"/>
      <c r="C7732" s="6"/>
      <c r="L7732" s="7"/>
      <c r="M7732" s="5"/>
      <c r="N7732" s="5"/>
      <c r="O7732" s="5"/>
    </row>
    <row r="7733">
      <c r="A7733" s="6"/>
      <c r="C7733" s="6"/>
      <c r="L7733" s="7"/>
      <c r="M7733" s="5"/>
      <c r="N7733" s="5"/>
      <c r="O7733" s="5"/>
    </row>
    <row r="7734">
      <c r="A7734" s="6"/>
      <c r="C7734" s="6"/>
      <c r="L7734" s="7"/>
      <c r="M7734" s="5"/>
      <c r="N7734" s="5"/>
      <c r="O7734" s="5"/>
    </row>
    <row r="7735">
      <c r="A7735" s="6"/>
      <c r="C7735" s="6"/>
      <c r="L7735" s="7"/>
      <c r="M7735" s="5"/>
      <c r="N7735" s="5"/>
      <c r="O7735" s="5"/>
    </row>
    <row r="7736">
      <c r="A7736" s="6"/>
      <c r="C7736" s="6"/>
      <c r="L7736" s="7"/>
      <c r="M7736" s="5"/>
      <c r="N7736" s="5"/>
      <c r="O7736" s="5"/>
    </row>
    <row r="7737">
      <c r="A7737" s="6"/>
      <c r="C7737" s="6"/>
      <c r="L7737" s="7"/>
      <c r="M7737" s="5"/>
      <c r="N7737" s="5"/>
      <c r="O7737" s="5"/>
    </row>
    <row r="7738">
      <c r="A7738" s="6"/>
      <c r="C7738" s="6"/>
      <c r="L7738" s="7"/>
      <c r="M7738" s="5"/>
      <c r="N7738" s="5"/>
      <c r="O7738" s="5"/>
    </row>
    <row r="7739">
      <c r="A7739" s="6"/>
      <c r="C7739" s="6"/>
      <c r="L7739" s="7"/>
      <c r="M7739" s="5"/>
      <c r="N7739" s="5"/>
      <c r="O7739" s="5"/>
    </row>
    <row r="7740">
      <c r="A7740" s="6"/>
      <c r="C7740" s="6"/>
      <c r="L7740" s="7"/>
      <c r="M7740" s="5"/>
      <c r="N7740" s="5"/>
      <c r="O7740" s="5"/>
    </row>
    <row r="7741">
      <c r="A7741" s="6"/>
      <c r="C7741" s="6"/>
      <c r="L7741" s="7"/>
      <c r="M7741" s="5"/>
      <c r="N7741" s="5"/>
      <c r="O7741" s="5"/>
    </row>
    <row r="7742">
      <c r="A7742" s="6"/>
      <c r="C7742" s="6"/>
      <c r="L7742" s="7"/>
      <c r="M7742" s="5"/>
      <c r="N7742" s="5"/>
      <c r="O7742" s="5"/>
    </row>
    <row r="7743">
      <c r="A7743" s="6"/>
      <c r="C7743" s="6"/>
      <c r="L7743" s="7"/>
      <c r="M7743" s="5"/>
      <c r="N7743" s="5"/>
      <c r="O7743" s="5"/>
    </row>
    <row r="7744">
      <c r="A7744" s="6"/>
      <c r="C7744" s="6"/>
      <c r="L7744" s="7"/>
      <c r="M7744" s="5"/>
      <c r="N7744" s="5"/>
      <c r="O7744" s="5"/>
    </row>
    <row r="7745">
      <c r="A7745" s="6"/>
      <c r="C7745" s="6"/>
      <c r="L7745" s="7"/>
      <c r="M7745" s="5"/>
      <c r="N7745" s="5"/>
      <c r="O7745" s="5"/>
    </row>
    <row r="7746">
      <c r="A7746" s="6"/>
      <c r="C7746" s="6"/>
      <c r="L7746" s="7"/>
      <c r="M7746" s="5"/>
      <c r="N7746" s="5"/>
      <c r="O7746" s="5"/>
    </row>
    <row r="7747">
      <c r="A7747" s="6"/>
      <c r="C7747" s="6"/>
      <c r="L7747" s="7"/>
      <c r="M7747" s="5"/>
      <c r="N7747" s="5"/>
      <c r="O7747" s="5"/>
    </row>
    <row r="7748">
      <c r="A7748" s="6"/>
      <c r="C7748" s="6"/>
      <c r="L7748" s="7"/>
      <c r="M7748" s="5"/>
      <c r="N7748" s="5"/>
      <c r="O7748" s="5"/>
    </row>
    <row r="7749">
      <c r="A7749" s="6"/>
      <c r="C7749" s="6"/>
      <c r="L7749" s="7"/>
      <c r="M7749" s="5"/>
      <c r="N7749" s="5"/>
      <c r="O7749" s="5"/>
    </row>
    <row r="7750">
      <c r="A7750" s="6"/>
      <c r="C7750" s="6"/>
      <c r="L7750" s="7"/>
      <c r="M7750" s="5"/>
      <c r="N7750" s="5"/>
      <c r="O7750" s="5"/>
    </row>
    <row r="7751">
      <c r="A7751" s="6"/>
      <c r="C7751" s="6"/>
      <c r="L7751" s="7"/>
      <c r="M7751" s="5"/>
      <c r="N7751" s="5"/>
      <c r="O7751" s="5"/>
    </row>
    <row r="7752">
      <c r="A7752" s="6"/>
      <c r="C7752" s="6"/>
      <c r="L7752" s="7"/>
      <c r="M7752" s="5"/>
      <c r="N7752" s="5"/>
      <c r="O7752" s="5"/>
    </row>
    <row r="7753">
      <c r="A7753" s="6"/>
      <c r="C7753" s="6"/>
      <c r="L7753" s="7"/>
      <c r="M7753" s="5"/>
      <c r="N7753" s="5"/>
      <c r="O7753" s="5"/>
    </row>
    <row r="7754">
      <c r="A7754" s="6"/>
      <c r="C7754" s="6"/>
      <c r="L7754" s="7"/>
      <c r="M7754" s="5"/>
      <c r="N7754" s="5"/>
      <c r="O7754" s="5"/>
    </row>
    <row r="7755">
      <c r="A7755" s="6"/>
      <c r="C7755" s="6"/>
      <c r="L7755" s="7"/>
      <c r="M7755" s="5"/>
      <c r="N7755" s="5"/>
      <c r="O7755" s="5"/>
    </row>
    <row r="7756">
      <c r="A7756" s="6"/>
      <c r="C7756" s="6"/>
      <c r="L7756" s="7"/>
      <c r="M7756" s="5"/>
      <c r="N7756" s="5"/>
      <c r="O7756" s="5"/>
    </row>
    <row r="7757">
      <c r="A7757" s="6"/>
      <c r="C7757" s="6"/>
      <c r="L7757" s="7"/>
      <c r="M7757" s="5"/>
      <c r="N7757" s="5"/>
      <c r="O7757" s="5"/>
    </row>
    <row r="7758">
      <c r="A7758" s="6"/>
      <c r="C7758" s="6"/>
      <c r="L7758" s="7"/>
      <c r="M7758" s="5"/>
      <c r="N7758" s="5"/>
      <c r="O7758" s="5"/>
    </row>
    <row r="7759">
      <c r="A7759" s="6"/>
      <c r="C7759" s="6"/>
      <c r="L7759" s="7"/>
      <c r="M7759" s="5"/>
      <c r="N7759" s="5"/>
      <c r="O7759" s="5"/>
    </row>
    <row r="7760">
      <c r="A7760" s="6"/>
      <c r="C7760" s="6"/>
      <c r="L7760" s="7"/>
      <c r="M7760" s="5"/>
      <c r="N7760" s="5"/>
      <c r="O7760" s="5"/>
    </row>
    <row r="7761">
      <c r="A7761" s="6"/>
      <c r="C7761" s="6"/>
      <c r="L7761" s="7"/>
      <c r="M7761" s="5"/>
      <c r="N7761" s="5"/>
      <c r="O7761" s="5"/>
    </row>
    <row r="7762">
      <c r="A7762" s="6"/>
      <c r="C7762" s="6"/>
      <c r="L7762" s="7"/>
      <c r="M7762" s="5"/>
      <c r="N7762" s="5"/>
      <c r="O7762" s="5"/>
    </row>
    <row r="7763">
      <c r="A7763" s="6"/>
      <c r="C7763" s="6"/>
      <c r="L7763" s="7"/>
      <c r="M7763" s="5"/>
      <c r="N7763" s="5"/>
      <c r="O7763" s="5"/>
    </row>
    <row r="7764">
      <c r="A7764" s="6"/>
      <c r="C7764" s="6"/>
      <c r="L7764" s="7"/>
      <c r="M7764" s="5"/>
      <c r="N7764" s="5"/>
      <c r="O7764" s="5"/>
    </row>
    <row r="7765">
      <c r="A7765" s="6"/>
      <c r="C7765" s="6"/>
      <c r="L7765" s="7"/>
      <c r="M7765" s="5"/>
      <c r="N7765" s="5"/>
      <c r="O7765" s="5"/>
    </row>
    <row r="7766">
      <c r="A7766" s="6"/>
      <c r="C7766" s="6"/>
      <c r="L7766" s="7"/>
      <c r="M7766" s="5"/>
      <c r="N7766" s="5"/>
      <c r="O7766" s="5"/>
    </row>
    <row r="7767">
      <c r="A7767" s="6"/>
      <c r="C7767" s="6"/>
      <c r="L7767" s="7"/>
      <c r="M7767" s="5"/>
      <c r="N7767" s="5"/>
      <c r="O7767" s="5"/>
    </row>
    <row r="7768">
      <c r="A7768" s="6"/>
      <c r="C7768" s="6"/>
      <c r="L7768" s="7"/>
      <c r="M7768" s="5"/>
      <c r="N7768" s="5"/>
      <c r="O7768" s="5"/>
    </row>
    <row r="7769">
      <c r="A7769" s="6"/>
      <c r="C7769" s="6"/>
      <c r="L7769" s="7"/>
      <c r="M7769" s="5"/>
      <c r="N7769" s="5"/>
      <c r="O7769" s="5"/>
    </row>
    <row r="7770">
      <c r="A7770" s="6"/>
      <c r="C7770" s="6"/>
      <c r="L7770" s="7"/>
      <c r="M7770" s="5"/>
      <c r="N7770" s="5"/>
      <c r="O7770" s="5"/>
    </row>
    <row r="7771">
      <c r="A7771" s="6"/>
      <c r="C7771" s="6"/>
      <c r="L7771" s="7"/>
      <c r="M7771" s="5"/>
      <c r="N7771" s="5"/>
      <c r="O7771" s="5"/>
    </row>
    <row r="7772">
      <c r="A7772" s="6"/>
      <c r="C7772" s="6"/>
      <c r="L7772" s="7"/>
      <c r="M7772" s="5"/>
      <c r="N7772" s="5"/>
      <c r="O7772" s="5"/>
    </row>
    <row r="7773">
      <c r="A7773" s="6"/>
      <c r="C7773" s="6"/>
      <c r="L7773" s="7"/>
      <c r="M7773" s="5"/>
      <c r="N7773" s="5"/>
      <c r="O7773" s="5"/>
    </row>
    <row r="7774">
      <c r="A7774" s="6"/>
      <c r="C7774" s="6"/>
      <c r="L7774" s="7"/>
      <c r="M7774" s="5"/>
      <c r="N7774" s="5"/>
      <c r="O7774" s="5"/>
    </row>
    <row r="7775">
      <c r="A7775" s="6"/>
      <c r="C7775" s="6"/>
      <c r="L7775" s="7"/>
      <c r="M7775" s="5"/>
      <c r="N7775" s="5"/>
      <c r="O7775" s="5"/>
    </row>
    <row r="7776">
      <c r="A7776" s="6"/>
      <c r="C7776" s="6"/>
      <c r="L7776" s="7"/>
      <c r="M7776" s="5"/>
      <c r="N7776" s="5"/>
      <c r="O7776" s="5"/>
    </row>
    <row r="7777">
      <c r="A7777" s="6"/>
      <c r="C7777" s="6"/>
      <c r="L7777" s="7"/>
      <c r="M7777" s="5"/>
      <c r="N7777" s="5"/>
      <c r="O7777" s="5"/>
    </row>
    <row r="7778">
      <c r="A7778" s="6"/>
      <c r="C7778" s="6"/>
      <c r="L7778" s="7"/>
      <c r="M7778" s="5"/>
      <c r="N7778" s="5"/>
      <c r="O7778" s="5"/>
    </row>
    <row r="7779">
      <c r="A7779" s="6"/>
      <c r="C7779" s="6"/>
      <c r="L7779" s="7"/>
      <c r="M7779" s="5"/>
      <c r="N7779" s="5"/>
      <c r="O7779" s="5"/>
    </row>
    <row r="7780">
      <c r="A7780" s="6"/>
      <c r="C7780" s="6"/>
      <c r="L7780" s="7"/>
      <c r="M7780" s="5"/>
      <c r="N7780" s="5"/>
      <c r="O7780" s="5"/>
    </row>
    <row r="7781">
      <c r="A7781" s="6"/>
      <c r="C7781" s="6"/>
      <c r="L7781" s="7"/>
      <c r="M7781" s="5"/>
      <c r="N7781" s="5"/>
      <c r="O7781" s="5"/>
    </row>
    <row r="7782">
      <c r="A7782" s="6"/>
      <c r="C7782" s="6"/>
      <c r="L7782" s="7"/>
      <c r="M7782" s="5"/>
      <c r="N7782" s="5"/>
      <c r="O7782" s="5"/>
    </row>
    <row r="7783">
      <c r="A7783" s="6"/>
      <c r="C7783" s="6"/>
      <c r="L7783" s="7"/>
      <c r="M7783" s="5"/>
      <c r="N7783" s="5"/>
      <c r="O7783" s="5"/>
    </row>
    <row r="7784">
      <c r="A7784" s="6"/>
      <c r="C7784" s="6"/>
      <c r="L7784" s="7"/>
      <c r="M7784" s="5"/>
      <c r="N7784" s="5"/>
      <c r="O7784" s="5"/>
    </row>
    <row r="7785">
      <c r="A7785" s="6"/>
      <c r="C7785" s="6"/>
      <c r="L7785" s="7"/>
      <c r="M7785" s="5"/>
      <c r="N7785" s="5"/>
      <c r="O7785" s="5"/>
    </row>
    <row r="7786">
      <c r="A7786" s="6"/>
      <c r="C7786" s="6"/>
      <c r="L7786" s="7"/>
      <c r="M7786" s="5"/>
      <c r="N7786" s="5"/>
      <c r="O7786" s="5"/>
    </row>
    <row r="7787">
      <c r="A7787" s="6"/>
      <c r="C7787" s="6"/>
      <c r="L7787" s="7"/>
      <c r="M7787" s="5"/>
      <c r="N7787" s="5"/>
      <c r="O7787" s="5"/>
    </row>
    <row r="7788">
      <c r="A7788" s="6"/>
      <c r="C7788" s="6"/>
      <c r="L7788" s="7"/>
      <c r="M7788" s="5"/>
      <c r="N7788" s="5"/>
      <c r="O7788" s="5"/>
    </row>
    <row r="7789">
      <c r="A7789" s="6"/>
      <c r="C7789" s="6"/>
      <c r="L7789" s="7"/>
      <c r="M7789" s="5"/>
      <c r="N7789" s="5"/>
      <c r="O7789" s="5"/>
    </row>
    <row r="7790">
      <c r="A7790" s="6"/>
      <c r="C7790" s="6"/>
      <c r="L7790" s="7"/>
      <c r="M7790" s="5"/>
      <c r="N7790" s="5"/>
      <c r="O7790" s="5"/>
    </row>
    <row r="7791">
      <c r="A7791" s="6"/>
      <c r="C7791" s="6"/>
      <c r="L7791" s="7"/>
      <c r="M7791" s="5"/>
      <c r="N7791" s="5"/>
      <c r="O7791" s="5"/>
    </row>
    <row r="7792">
      <c r="A7792" s="6"/>
      <c r="C7792" s="6"/>
      <c r="L7792" s="7"/>
      <c r="M7792" s="5"/>
      <c r="N7792" s="5"/>
      <c r="O7792" s="5"/>
    </row>
    <row r="7793">
      <c r="A7793" s="6"/>
      <c r="C7793" s="6"/>
      <c r="L7793" s="7"/>
      <c r="M7793" s="5"/>
      <c r="N7793" s="5"/>
      <c r="O7793" s="5"/>
    </row>
    <row r="7794">
      <c r="A7794" s="6"/>
      <c r="C7794" s="6"/>
      <c r="L7794" s="7"/>
      <c r="M7794" s="5"/>
      <c r="N7794" s="5"/>
      <c r="O7794" s="5"/>
    </row>
    <row r="7795">
      <c r="A7795" s="6"/>
      <c r="C7795" s="6"/>
      <c r="L7795" s="7"/>
      <c r="M7795" s="5"/>
      <c r="N7795" s="5"/>
      <c r="O7795" s="5"/>
    </row>
    <row r="7796">
      <c r="A7796" s="6"/>
      <c r="C7796" s="6"/>
      <c r="L7796" s="7"/>
      <c r="M7796" s="5"/>
      <c r="N7796" s="5"/>
      <c r="O7796" s="5"/>
    </row>
    <row r="7797">
      <c r="A7797" s="6"/>
      <c r="C7797" s="6"/>
      <c r="L7797" s="7"/>
      <c r="M7797" s="5"/>
      <c r="N7797" s="5"/>
      <c r="O7797" s="5"/>
    </row>
    <row r="7798">
      <c r="A7798" s="6"/>
      <c r="C7798" s="6"/>
      <c r="L7798" s="7"/>
      <c r="M7798" s="5"/>
      <c r="N7798" s="5"/>
      <c r="O7798" s="5"/>
    </row>
    <row r="7799">
      <c r="A7799" s="6"/>
      <c r="C7799" s="6"/>
      <c r="L7799" s="7"/>
      <c r="M7799" s="5"/>
      <c r="N7799" s="5"/>
      <c r="O7799" s="5"/>
    </row>
    <row r="7800">
      <c r="A7800" s="6"/>
      <c r="C7800" s="6"/>
      <c r="L7800" s="7"/>
      <c r="M7800" s="5"/>
      <c r="N7800" s="5"/>
      <c r="O7800" s="5"/>
    </row>
    <row r="7801">
      <c r="A7801" s="6"/>
      <c r="C7801" s="6"/>
      <c r="L7801" s="7"/>
      <c r="M7801" s="5"/>
      <c r="N7801" s="5"/>
      <c r="O7801" s="5"/>
    </row>
    <row r="7802">
      <c r="A7802" s="6"/>
      <c r="C7802" s="6"/>
      <c r="L7802" s="7"/>
      <c r="M7802" s="5"/>
      <c r="N7802" s="5"/>
      <c r="O7802" s="5"/>
    </row>
    <row r="7803">
      <c r="A7803" s="6"/>
      <c r="C7803" s="6"/>
      <c r="L7803" s="7"/>
      <c r="M7803" s="5"/>
      <c r="N7803" s="5"/>
      <c r="O7803" s="5"/>
    </row>
    <row r="7804">
      <c r="A7804" s="6"/>
      <c r="C7804" s="6"/>
      <c r="L7804" s="7"/>
      <c r="M7804" s="5"/>
      <c r="N7804" s="5"/>
      <c r="O7804" s="5"/>
    </row>
    <row r="7805">
      <c r="A7805" s="6"/>
      <c r="C7805" s="6"/>
      <c r="L7805" s="7"/>
      <c r="M7805" s="5"/>
      <c r="N7805" s="5"/>
      <c r="O7805" s="5"/>
    </row>
    <row r="7806">
      <c r="A7806" s="6"/>
      <c r="C7806" s="6"/>
      <c r="L7806" s="7"/>
      <c r="M7806" s="5"/>
      <c r="N7806" s="5"/>
      <c r="O7806" s="5"/>
    </row>
    <row r="7807">
      <c r="A7807" s="6"/>
      <c r="C7807" s="6"/>
      <c r="L7807" s="7"/>
      <c r="M7807" s="5"/>
      <c r="N7807" s="5"/>
      <c r="O7807" s="5"/>
    </row>
    <row r="7808">
      <c r="A7808" s="6"/>
      <c r="C7808" s="6"/>
      <c r="L7808" s="7"/>
      <c r="M7808" s="5"/>
      <c r="N7808" s="5"/>
      <c r="O7808" s="5"/>
    </row>
    <row r="7809">
      <c r="A7809" s="6"/>
      <c r="C7809" s="6"/>
      <c r="L7809" s="7"/>
      <c r="M7809" s="5"/>
      <c r="N7809" s="5"/>
      <c r="O7809" s="5"/>
    </row>
    <row r="7810">
      <c r="A7810" s="6"/>
      <c r="C7810" s="6"/>
      <c r="L7810" s="7"/>
      <c r="M7810" s="5"/>
      <c r="N7810" s="5"/>
      <c r="O7810" s="5"/>
    </row>
    <row r="7811">
      <c r="A7811" s="6"/>
      <c r="C7811" s="6"/>
      <c r="L7811" s="7"/>
      <c r="M7811" s="5"/>
      <c r="N7811" s="5"/>
      <c r="O7811" s="5"/>
    </row>
    <row r="7812">
      <c r="A7812" s="6"/>
      <c r="C7812" s="6"/>
      <c r="L7812" s="7"/>
      <c r="M7812" s="5"/>
      <c r="N7812" s="5"/>
      <c r="O7812" s="5"/>
    </row>
    <row r="7813">
      <c r="A7813" s="6"/>
      <c r="C7813" s="6"/>
      <c r="L7813" s="7"/>
      <c r="M7813" s="5"/>
      <c r="N7813" s="5"/>
      <c r="O7813" s="5"/>
    </row>
    <row r="7814">
      <c r="A7814" s="6"/>
      <c r="C7814" s="6"/>
      <c r="L7814" s="7"/>
      <c r="M7814" s="5"/>
      <c r="N7814" s="5"/>
      <c r="O7814" s="5"/>
    </row>
    <row r="7815">
      <c r="A7815" s="6"/>
      <c r="C7815" s="6"/>
      <c r="L7815" s="7"/>
      <c r="M7815" s="5"/>
      <c r="N7815" s="5"/>
      <c r="O7815" s="5"/>
    </row>
    <row r="7816">
      <c r="A7816" s="6"/>
      <c r="C7816" s="6"/>
      <c r="L7816" s="7"/>
      <c r="M7816" s="5"/>
      <c r="N7816" s="5"/>
      <c r="O7816" s="5"/>
    </row>
    <row r="7817">
      <c r="A7817" s="6"/>
      <c r="C7817" s="6"/>
      <c r="L7817" s="7"/>
      <c r="M7817" s="5"/>
      <c r="N7817" s="5"/>
      <c r="O7817" s="5"/>
    </row>
    <row r="7818">
      <c r="A7818" s="6"/>
      <c r="C7818" s="6"/>
      <c r="L7818" s="7"/>
      <c r="M7818" s="5"/>
      <c r="N7818" s="5"/>
      <c r="O7818" s="5"/>
    </row>
    <row r="7819">
      <c r="A7819" s="6"/>
      <c r="C7819" s="6"/>
      <c r="L7819" s="7"/>
      <c r="M7819" s="5"/>
      <c r="N7819" s="5"/>
      <c r="O7819" s="5"/>
    </row>
    <row r="7820">
      <c r="A7820" s="6"/>
      <c r="C7820" s="6"/>
      <c r="L7820" s="7"/>
      <c r="M7820" s="5"/>
      <c r="N7820" s="5"/>
      <c r="O7820" s="5"/>
    </row>
    <row r="7821">
      <c r="A7821" s="6"/>
      <c r="C7821" s="6"/>
      <c r="L7821" s="7"/>
      <c r="M7821" s="5"/>
      <c r="N7821" s="5"/>
      <c r="O7821" s="5"/>
    </row>
    <row r="7822">
      <c r="A7822" s="6"/>
      <c r="C7822" s="6"/>
      <c r="L7822" s="7"/>
      <c r="M7822" s="5"/>
      <c r="N7822" s="5"/>
      <c r="O7822" s="5"/>
    </row>
    <row r="7823">
      <c r="A7823" s="6"/>
      <c r="C7823" s="6"/>
      <c r="L7823" s="7"/>
      <c r="M7823" s="5"/>
      <c r="N7823" s="5"/>
      <c r="O7823" s="5"/>
    </row>
    <row r="7824">
      <c r="A7824" s="6"/>
      <c r="C7824" s="6"/>
      <c r="L7824" s="7"/>
      <c r="M7824" s="5"/>
      <c r="N7824" s="5"/>
      <c r="O7824" s="5"/>
    </row>
    <row r="7825">
      <c r="A7825" s="6"/>
      <c r="C7825" s="6"/>
      <c r="L7825" s="7"/>
      <c r="M7825" s="5"/>
      <c r="N7825" s="5"/>
      <c r="O7825" s="5"/>
    </row>
    <row r="7826">
      <c r="A7826" s="6"/>
      <c r="C7826" s="6"/>
      <c r="L7826" s="7"/>
      <c r="M7826" s="5"/>
      <c r="N7826" s="5"/>
      <c r="O7826" s="5"/>
    </row>
    <row r="7827">
      <c r="A7827" s="6"/>
      <c r="C7827" s="6"/>
      <c r="L7827" s="7"/>
      <c r="M7827" s="5"/>
      <c r="N7827" s="5"/>
      <c r="O7827" s="5"/>
    </row>
    <row r="7828">
      <c r="A7828" s="6"/>
      <c r="C7828" s="6"/>
      <c r="L7828" s="7"/>
      <c r="M7828" s="5"/>
      <c r="N7828" s="5"/>
      <c r="O7828" s="5"/>
    </row>
    <row r="7829">
      <c r="A7829" s="6"/>
      <c r="C7829" s="6"/>
      <c r="L7829" s="7"/>
      <c r="M7829" s="5"/>
      <c r="N7829" s="5"/>
      <c r="O7829" s="5"/>
    </row>
    <row r="7830">
      <c r="A7830" s="6"/>
      <c r="C7830" s="6"/>
      <c r="L7830" s="7"/>
      <c r="M7830" s="5"/>
      <c r="N7830" s="5"/>
      <c r="O7830" s="5"/>
    </row>
    <row r="7831">
      <c r="A7831" s="6"/>
      <c r="C7831" s="6"/>
      <c r="L7831" s="7"/>
      <c r="M7831" s="5"/>
      <c r="N7831" s="5"/>
      <c r="O7831" s="5"/>
    </row>
    <row r="7832">
      <c r="A7832" s="6"/>
      <c r="C7832" s="6"/>
      <c r="L7832" s="7"/>
      <c r="M7832" s="5"/>
      <c r="N7832" s="5"/>
      <c r="O7832" s="5"/>
    </row>
    <row r="7833">
      <c r="A7833" s="6"/>
      <c r="C7833" s="6"/>
      <c r="L7833" s="7"/>
      <c r="M7833" s="5"/>
      <c r="N7833" s="5"/>
      <c r="O7833" s="5"/>
    </row>
    <row r="7834">
      <c r="A7834" s="6"/>
      <c r="C7834" s="6"/>
      <c r="L7834" s="7"/>
      <c r="M7834" s="5"/>
      <c r="N7834" s="5"/>
      <c r="O7834" s="5"/>
    </row>
    <row r="7835">
      <c r="A7835" s="6"/>
      <c r="C7835" s="6"/>
      <c r="L7835" s="7"/>
      <c r="M7835" s="5"/>
      <c r="N7835" s="5"/>
      <c r="O7835" s="5"/>
    </row>
    <row r="7836">
      <c r="A7836" s="6"/>
      <c r="C7836" s="6"/>
      <c r="L7836" s="7"/>
      <c r="M7836" s="5"/>
      <c r="N7836" s="5"/>
      <c r="O7836" s="5"/>
    </row>
    <row r="7837">
      <c r="A7837" s="6"/>
      <c r="C7837" s="6"/>
      <c r="L7837" s="7"/>
      <c r="M7837" s="5"/>
      <c r="N7837" s="5"/>
      <c r="O7837" s="5"/>
    </row>
    <row r="7838">
      <c r="A7838" s="6"/>
      <c r="C7838" s="6"/>
      <c r="L7838" s="7"/>
      <c r="M7838" s="5"/>
      <c r="N7838" s="5"/>
      <c r="O7838" s="5"/>
    </row>
    <row r="7839">
      <c r="A7839" s="6"/>
      <c r="C7839" s="6"/>
      <c r="L7839" s="7"/>
      <c r="M7839" s="5"/>
      <c r="N7839" s="5"/>
      <c r="O7839" s="5"/>
    </row>
    <row r="7840">
      <c r="A7840" s="6"/>
      <c r="C7840" s="6"/>
      <c r="L7840" s="7"/>
      <c r="M7840" s="5"/>
      <c r="N7840" s="5"/>
      <c r="O7840" s="5"/>
    </row>
    <row r="7841">
      <c r="A7841" s="6"/>
      <c r="C7841" s="6"/>
      <c r="L7841" s="7"/>
      <c r="M7841" s="5"/>
      <c r="N7841" s="5"/>
      <c r="O7841" s="5"/>
    </row>
    <row r="7842">
      <c r="A7842" s="6"/>
      <c r="C7842" s="6"/>
      <c r="L7842" s="7"/>
      <c r="M7842" s="5"/>
      <c r="N7842" s="5"/>
      <c r="O7842" s="5"/>
    </row>
    <row r="7843">
      <c r="A7843" s="6"/>
      <c r="C7843" s="6"/>
      <c r="L7843" s="7"/>
      <c r="M7843" s="5"/>
      <c r="N7843" s="5"/>
      <c r="O7843" s="5"/>
    </row>
    <row r="7844">
      <c r="A7844" s="6"/>
      <c r="C7844" s="6"/>
      <c r="L7844" s="7"/>
      <c r="M7844" s="5"/>
      <c r="N7844" s="5"/>
      <c r="O7844" s="5"/>
    </row>
    <row r="7845">
      <c r="A7845" s="6"/>
      <c r="C7845" s="6"/>
      <c r="L7845" s="7"/>
      <c r="M7845" s="5"/>
      <c r="N7845" s="5"/>
      <c r="O7845" s="5"/>
    </row>
    <row r="7846">
      <c r="A7846" s="6"/>
      <c r="C7846" s="6"/>
      <c r="L7846" s="7"/>
      <c r="M7846" s="5"/>
      <c r="N7846" s="5"/>
      <c r="O7846" s="5"/>
    </row>
    <row r="7847">
      <c r="A7847" s="6"/>
      <c r="C7847" s="6"/>
      <c r="L7847" s="7"/>
      <c r="M7847" s="5"/>
      <c r="N7847" s="5"/>
      <c r="O7847" s="5"/>
    </row>
    <row r="7848">
      <c r="A7848" s="6"/>
      <c r="C7848" s="6"/>
      <c r="L7848" s="7"/>
      <c r="M7848" s="5"/>
      <c r="N7848" s="5"/>
      <c r="O7848" s="5"/>
    </row>
    <row r="7849">
      <c r="A7849" s="6"/>
      <c r="C7849" s="6"/>
      <c r="L7849" s="7"/>
      <c r="M7849" s="5"/>
      <c r="N7849" s="5"/>
      <c r="O7849" s="5"/>
    </row>
    <row r="7850">
      <c r="A7850" s="6"/>
      <c r="C7850" s="6"/>
      <c r="L7850" s="7"/>
      <c r="M7850" s="5"/>
      <c r="N7850" s="5"/>
      <c r="O7850" s="5"/>
    </row>
    <row r="7851">
      <c r="A7851" s="6"/>
      <c r="C7851" s="6"/>
      <c r="L7851" s="7"/>
      <c r="M7851" s="5"/>
      <c r="N7851" s="5"/>
      <c r="O7851" s="5"/>
    </row>
    <row r="7852">
      <c r="A7852" s="6"/>
      <c r="C7852" s="6"/>
      <c r="L7852" s="7"/>
      <c r="M7852" s="5"/>
      <c r="N7852" s="5"/>
      <c r="O7852" s="5"/>
    </row>
    <row r="7853">
      <c r="A7853" s="6"/>
      <c r="C7853" s="6"/>
      <c r="L7853" s="7"/>
      <c r="M7853" s="5"/>
      <c r="N7853" s="5"/>
      <c r="O7853" s="5"/>
    </row>
    <row r="7854">
      <c r="A7854" s="6"/>
      <c r="C7854" s="6"/>
      <c r="L7854" s="7"/>
      <c r="M7854" s="5"/>
      <c r="N7854" s="5"/>
      <c r="O7854" s="5"/>
    </row>
    <row r="7855">
      <c r="A7855" s="6"/>
      <c r="C7855" s="6"/>
      <c r="L7855" s="7"/>
      <c r="M7855" s="5"/>
      <c r="N7855" s="5"/>
      <c r="O7855" s="5"/>
    </row>
    <row r="7856">
      <c r="A7856" s="6"/>
      <c r="C7856" s="6"/>
      <c r="L7856" s="7"/>
      <c r="M7856" s="5"/>
      <c r="N7856" s="5"/>
      <c r="O7856" s="5"/>
    </row>
    <row r="7857">
      <c r="A7857" s="6"/>
      <c r="C7857" s="6"/>
      <c r="L7857" s="7"/>
      <c r="M7857" s="5"/>
      <c r="N7857" s="5"/>
      <c r="O7857" s="5"/>
    </row>
    <row r="7858">
      <c r="A7858" s="6"/>
      <c r="C7858" s="6"/>
      <c r="L7858" s="7"/>
      <c r="M7858" s="5"/>
      <c r="N7858" s="5"/>
      <c r="O7858" s="5"/>
    </row>
    <row r="7859">
      <c r="A7859" s="6"/>
      <c r="C7859" s="6"/>
      <c r="L7859" s="7"/>
      <c r="M7859" s="5"/>
      <c r="N7859" s="5"/>
      <c r="O7859" s="5"/>
    </row>
    <row r="7860">
      <c r="A7860" s="6"/>
      <c r="C7860" s="6"/>
      <c r="L7860" s="7"/>
      <c r="M7860" s="5"/>
      <c r="N7860" s="5"/>
      <c r="O7860" s="5"/>
    </row>
    <row r="7861">
      <c r="A7861" s="6"/>
      <c r="C7861" s="6"/>
      <c r="L7861" s="7"/>
      <c r="M7861" s="5"/>
      <c r="N7861" s="5"/>
      <c r="O7861" s="5"/>
    </row>
    <row r="7862">
      <c r="A7862" s="6"/>
      <c r="C7862" s="6"/>
      <c r="L7862" s="7"/>
      <c r="M7862" s="5"/>
      <c r="N7862" s="5"/>
      <c r="O7862" s="5"/>
    </row>
    <row r="7863">
      <c r="A7863" s="6"/>
      <c r="C7863" s="6"/>
      <c r="L7863" s="7"/>
      <c r="M7863" s="5"/>
      <c r="N7863" s="5"/>
      <c r="O7863" s="5"/>
    </row>
    <row r="7864">
      <c r="A7864" s="6"/>
      <c r="C7864" s="6"/>
      <c r="L7864" s="7"/>
      <c r="M7864" s="5"/>
      <c r="N7864" s="5"/>
      <c r="O7864" s="5"/>
    </row>
    <row r="7865">
      <c r="A7865" s="6"/>
      <c r="C7865" s="6"/>
      <c r="L7865" s="7"/>
      <c r="M7865" s="5"/>
      <c r="N7865" s="5"/>
      <c r="O7865" s="5"/>
    </row>
    <row r="7866">
      <c r="A7866" s="6"/>
      <c r="C7866" s="6"/>
      <c r="L7866" s="7"/>
      <c r="M7866" s="5"/>
      <c r="N7866" s="5"/>
      <c r="O7866" s="5"/>
    </row>
    <row r="7867">
      <c r="A7867" s="6"/>
      <c r="C7867" s="6"/>
      <c r="L7867" s="7"/>
      <c r="M7867" s="5"/>
      <c r="N7867" s="5"/>
      <c r="O7867" s="5"/>
    </row>
    <row r="7868">
      <c r="A7868" s="6"/>
      <c r="C7868" s="6"/>
      <c r="L7868" s="7"/>
      <c r="M7868" s="5"/>
      <c r="N7868" s="5"/>
      <c r="O7868" s="5"/>
    </row>
    <row r="7869">
      <c r="A7869" s="6"/>
      <c r="C7869" s="6"/>
      <c r="L7869" s="7"/>
      <c r="M7869" s="5"/>
      <c r="N7869" s="5"/>
      <c r="O7869" s="5"/>
    </row>
    <row r="7870">
      <c r="A7870" s="6"/>
      <c r="C7870" s="6"/>
      <c r="L7870" s="7"/>
      <c r="M7870" s="5"/>
      <c r="N7870" s="5"/>
      <c r="O7870" s="5"/>
    </row>
    <row r="7871">
      <c r="A7871" s="6"/>
      <c r="C7871" s="6"/>
      <c r="L7871" s="7"/>
      <c r="M7871" s="5"/>
      <c r="N7871" s="5"/>
      <c r="O7871" s="5"/>
    </row>
    <row r="7872">
      <c r="A7872" s="6"/>
      <c r="C7872" s="6"/>
      <c r="L7872" s="7"/>
      <c r="M7872" s="5"/>
      <c r="N7872" s="5"/>
      <c r="O7872" s="5"/>
    </row>
    <row r="7873">
      <c r="A7873" s="6"/>
      <c r="C7873" s="6"/>
      <c r="L7873" s="7"/>
      <c r="M7873" s="5"/>
      <c r="N7873" s="5"/>
      <c r="O7873" s="5"/>
    </row>
    <row r="7874">
      <c r="A7874" s="6"/>
      <c r="C7874" s="6"/>
      <c r="L7874" s="7"/>
      <c r="M7874" s="5"/>
      <c r="N7874" s="5"/>
      <c r="O7874" s="5"/>
    </row>
    <row r="7875">
      <c r="A7875" s="6"/>
      <c r="C7875" s="6"/>
      <c r="L7875" s="7"/>
      <c r="M7875" s="5"/>
      <c r="N7875" s="5"/>
      <c r="O7875" s="5"/>
    </row>
    <row r="7876">
      <c r="A7876" s="6"/>
      <c r="C7876" s="6"/>
      <c r="L7876" s="7"/>
      <c r="M7876" s="5"/>
      <c r="N7876" s="5"/>
      <c r="O7876" s="5"/>
    </row>
    <row r="7877">
      <c r="A7877" s="6"/>
      <c r="C7877" s="6"/>
      <c r="L7877" s="7"/>
      <c r="M7877" s="5"/>
      <c r="N7877" s="5"/>
      <c r="O7877" s="5"/>
    </row>
    <row r="7878">
      <c r="A7878" s="6"/>
      <c r="C7878" s="6"/>
      <c r="L7878" s="7"/>
      <c r="M7878" s="5"/>
      <c r="N7878" s="5"/>
      <c r="O7878" s="5"/>
    </row>
    <row r="7879">
      <c r="A7879" s="6"/>
      <c r="C7879" s="6"/>
      <c r="L7879" s="7"/>
      <c r="M7879" s="5"/>
      <c r="N7879" s="5"/>
      <c r="O7879" s="5"/>
    </row>
    <row r="7880">
      <c r="A7880" s="6"/>
      <c r="C7880" s="6"/>
      <c r="L7880" s="7"/>
      <c r="M7880" s="5"/>
      <c r="N7880" s="5"/>
      <c r="O7880" s="5"/>
    </row>
    <row r="7881">
      <c r="A7881" s="6"/>
      <c r="C7881" s="6"/>
      <c r="L7881" s="7"/>
      <c r="M7881" s="5"/>
      <c r="N7881" s="5"/>
      <c r="O7881" s="5"/>
    </row>
    <row r="7882">
      <c r="A7882" s="6"/>
      <c r="C7882" s="6"/>
      <c r="L7882" s="7"/>
      <c r="M7882" s="5"/>
      <c r="N7882" s="5"/>
      <c r="O7882" s="5"/>
    </row>
    <row r="7883">
      <c r="A7883" s="6"/>
      <c r="C7883" s="6"/>
      <c r="L7883" s="7"/>
      <c r="M7883" s="5"/>
      <c r="N7883" s="5"/>
      <c r="O7883" s="5"/>
    </row>
    <row r="7884">
      <c r="A7884" s="6"/>
      <c r="C7884" s="6"/>
      <c r="L7884" s="7"/>
      <c r="M7884" s="5"/>
      <c r="N7884" s="5"/>
      <c r="O7884" s="5"/>
    </row>
    <row r="7885">
      <c r="A7885" s="6"/>
      <c r="C7885" s="6"/>
      <c r="L7885" s="7"/>
      <c r="M7885" s="5"/>
      <c r="N7885" s="5"/>
      <c r="O7885" s="5"/>
    </row>
    <row r="7886">
      <c r="A7886" s="6"/>
      <c r="C7886" s="6"/>
      <c r="L7886" s="7"/>
      <c r="M7886" s="5"/>
      <c r="N7886" s="5"/>
      <c r="O7886" s="5"/>
    </row>
    <row r="7887">
      <c r="A7887" s="6"/>
      <c r="C7887" s="6"/>
      <c r="L7887" s="7"/>
      <c r="M7887" s="5"/>
      <c r="N7887" s="5"/>
      <c r="O7887" s="5"/>
    </row>
    <row r="7888">
      <c r="A7888" s="6"/>
      <c r="C7888" s="6"/>
      <c r="L7888" s="7"/>
      <c r="M7888" s="5"/>
      <c r="N7888" s="5"/>
      <c r="O7888" s="5"/>
    </row>
    <row r="7889">
      <c r="A7889" s="6"/>
      <c r="C7889" s="6"/>
      <c r="L7889" s="7"/>
      <c r="M7889" s="5"/>
      <c r="N7889" s="5"/>
      <c r="O7889" s="5"/>
    </row>
    <row r="7890">
      <c r="A7890" s="6"/>
      <c r="C7890" s="6"/>
      <c r="L7890" s="7"/>
      <c r="M7890" s="5"/>
      <c r="N7890" s="5"/>
      <c r="O7890" s="5"/>
    </row>
    <row r="7891">
      <c r="A7891" s="6"/>
      <c r="C7891" s="6"/>
      <c r="L7891" s="7"/>
      <c r="M7891" s="5"/>
      <c r="N7891" s="5"/>
      <c r="O7891" s="5"/>
    </row>
    <row r="7892">
      <c r="A7892" s="6"/>
      <c r="C7892" s="6"/>
      <c r="L7892" s="7"/>
      <c r="M7892" s="5"/>
      <c r="N7892" s="5"/>
      <c r="O7892" s="5"/>
    </row>
    <row r="7893">
      <c r="A7893" s="6"/>
      <c r="C7893" s="6"/>
      <c r="L7893" s="7"/>
      <c r="M7893" s="5"/>
      <c r="N7893" s="5"/>
      <c r="O7893" s="5"/>
    </row>
    <row r="7894">
      <c r="A7894" s="6"/>
      <c r="C7894" s="6"/>
      <c r="L7894" s="7"/>
      <c r="M7894" s="5"/>
      <c r="N7894" s="5"/>
      <c r="O7894" s="5"/>
    </row>
    <row r="7895">
      <c r="A7895" s="6"/>
      <c r="C7895" s="6"/>
      <c r="L7895" s="7"/>
      <c r="M7895" s="5"/>
      <c r="N7895" s="5"/>
      <c r="O7895" s="5"/>
    </row>
    <row r="7896">
      <c r="A7896" s="6"/>
      <c r="C7896" s="6"/>
      <c r="L7896" s="7"/>
      <c r="M7896" s="5"/>
      <c r="N7896" s="5"/>
      <c r="O7896" s="5"/>
    </row>
    <row r="7897">
      <c r="A7897" s="6"/>
      <c r="C7897" s="6"/>
      <c r="L7897" s="7"/>
      <c r="M7897" s="5"/>
      <c r="N7897" s="5"/>
      <c r="O7897" s="5"/>
    </row>
    <row r="7898">
      <c r="A7898" s="6"/>
      <c r="C7898" s="6"/>
      <c r="L7898" s="7"/>
      <c r="M7898" s="5"/>
      <c r="N7898" s="5"/>
      <c r="O7898" s="5"/>
    </row>
    <row r="7899">
      <c r="A7899" s="6"/>
      <c r="C7899" s="6"/>
      <c r="L7899" s="7"/>
      <c r="M7899" s="5"/>
      <c r="N7899" s="5"/>
      <c r="O7899" s="5"/>
    </row>
    <row r="7900">
      <c r="A7900" s="6"/>
      <c r="C7900" s="6"/>
      <c r="L7900" s="7"/>
      <c r="M7900" s="5"/>
      <c r="N7900" s="5"/>
      <c r="O7900" s="5"/>
    </row>
    <row r="7901">
      <c r="A7901" s="6"/>
      <c r="C7901" s="6"/>
      <c r="L7901" s="7"/>
      <c r="M7901" s="5"/>
      <c r="N7901" s="5"/>
      <c r="O7901" s="5"/>
    </row>
    <row r="7902">
      <c r="A7902" s="6"/>
      <c r="C7902" s="6"/>
      <c r="L7902" s="7"/>
      <c r="M7902" s="5"/>
      <c r="N7902" s="5"/>
      <c r="O7902" s="5"/>
    </row>
    <row r="7903">
      <c r="A7903" s="6"/>
      <c r="C7903" s="6"/>
      <c r="L7903" s="7"/>
      <c r="M7903" s="5"/>
      <c r="N7903" s="5"/>
      <c r="O7903" s="5"/>
    </row>
    <row r="7904">
      <c r="A7904" s="6"/>
      <c r="C7904" s="6"/>
      <c r="L7904" s="7"/>
      <c r="M7904" s="5"/>
      <c r="N7904" s="5"/>
      <c r="O7904" s="5"/>
    </row>
    <row r="7905">
      <c r="A7905" s="6"/>
      <c r="C7905" s="6"/>
      <c r="L7905" s="7"/>
      <c r="M7905" s="5"/>
      <c r="N7905" s="5"/>
      <c r="O7905" s="5"/>
    </row>
    <row r="7906">
      <c r="A7906" s="6"/>
      <c r="C7906" s="6"/>
      <c r="L7906" s="7"/>
      <c r="M7906" s="5"/>
      <c r="N7906" s="5"/>
      <c r="O7906" s="5"/>
    </row>
    <row r="7907">
      <c r="A7907" s="6"/>
      <c r="C7907" s="6"/>
      <c r="L7907" s="7"/>
      <c r="M7907" s="5"/>
      <c r="N7907" s="5"/>
      <c r="O7907" s="5"/>
    </row>
    <row r="7908">
      <c r="A7908" s="6"/>
      <c r="C7908" s="6"/>
      <c r="L7908" s="7"/>
      <c r="M7908" s="5"/>
      <c r="N7908" s="5"/>
      <c r="O7908" s="5"/>
    </row>
    <row r="7909">
      <c r="A7909" s="6"/>
      <c r="C7909" s="6"/>
      <c r="L7909" s="7"/>
      <c r="M7909" s="5"/>
      <c r="N7909" s="5"/>
      <c r="O7909" s="5"/>
    </row>
    <row r="7910">
      <c r="A7910" s="6"/>
      <c r="C7910" s="6"/>
      <c r="L7910" s="7"/>
      <c r="M7910" s="5"/>
      <c r="N7910" s="5"/>
      <c r="O7910" s="5"/>
    </row>
    <row r="7911">
      <c r="A7911" s="6"/>
      <c r="C7911" s="6"/>
      <c r="L7911" s="7"/>
      <c r="M7911" s="5"/>
      <c r="N7911" s="5"/>
      <c r="O7911" s="5"/>
    </row>
    <row r="7912">
      <c r="A7912" s="6"/>
      <c r="C7912" s="6"/>
      <c r="L7912" s="7"/>
      <c r="M7912" s="5"/>
      <c r="N7912" s="5"/>
      <c r="O7912" s="5"/>
    </row>
    <row r="7913">
      <c r="A7913" s="6"/>
      <c r="C7913" s="6"/>
      <c r="L7913" s="7"/>
      <c r="M7913" s="5"/>
      <c r="N7913" s="5"/>
      <c r="O7913" s="5"/>
    </row>
    <row r="7914">
      <c r="A7914" s="6"/>
      <c r="C7914" s="6"/>
      <c r="L7914" s="7"/>
      <c r="M7914" s="5"/>
      <c r="N7914" s="5"/>
      <c r="O7914" s="5"/>
    </row>
    <row r="7915">
      <c r="A7915" s="6"/>
      <c r="C7915" s="6"/>
      <c r="L7915" s="7"/>
      <c r="M7915" s="5"/>
      <c r="N7915" s="5"/>
      <c r="O7915" s="5"/>
    </row>
    <row r="7916">
      <c r="A7916" s="6"/>
      <c r="C7916" s="6"/>
      <c r="L7916" s="7"/>
      <c r="M7916" s="5"/>
      <c r="N7916" s="5"/>
      <c r="O7916" s="5"/>
    </row>
    <row r="7917">
      <c r="A7917" s="6"/>
      <c r="C7917" s="6"/>
      <c r="L7917" s="7"/>
      <c r="M7917" s="5"/>
      <c r="N7917" s="5"/>
      <c r="O7917" s="5"/>
    </row>
    <row r="7918">
      <c r="A7918" s="6"/>
      <c r="C7918" s="6"/>
      <c r="L7918" s="7"/>
      <c r="M7918" s="5"/>
      <c r="N7918" s="5"/>
      <c r="O7918" s="5"/>
    </row>
    <row r="7919">
      <c r="A7919" s="6"/>
      <c r="C7919" s="6"/>
      <c r="L7919" s="7"/>
      <c r="M7919" s="5"/>
      <c r="N7919" s="5"/>
      <c r="O7919" s="5"/>
    </row>
    <row r="7920">
      <c r="A7920" s="6"/>
      <c r="C7920" s="6"/>
      <c r="L7920" s="7"/>
      <c r="M7920" s="5"/>
      <c r="N7920" s="5"/>
      <c r="O7920" s="5"/>
    </row>
    <row r="7921">
      <c r="A7921" s="6"/>
      <c r="C7921" s="6"/>
      <c r="L7921" s="7"/>
      <c r="M7921" s="5"/>
      <c r="N7921" s="5"/>
      <c r="O7921" s="5"/>
    </row>
    <row r="7922">
      <c r="A7922" s="6"/>
      <c r="C7922" s="6"/>
      <c r="L7922" s="7"/>
      <c r="M7922" s="5"/>
      <c r="N7922" s="5"/>
      <c r="O7922" s="5"/>
    </row>
    <row r="7923">
      <c r="A7923" s="6"/>
      <c r="C7923" s="6"/>
      <c r="L7923" s="7"/>
      <c r="M7923" s="5"/>
      <c r="N7923" s="5"/>
      <c r="O7923" s="5"/>
    </row>
    <row r="7924">
      <c r="A7924" s="6"/>
      <c r="C7924" s="6"/>
      <c r="L7924" s="7"/>
      <c r="M7924" s="5"/>
      <c r="N7924" s="5"/>
      <c r="O7924" s="5"/>
    </row>
    <row r="7925">
      <c r="A7925" s="6"/>
      <c r="C7925" s="6"/>
      <c r="L7925" s="7"/>
      <c r="M7925" s="5"/>
      <c r="N7925" s="5"/>
      <c r="O7925" s="5"/>
    </row>
    <row r="7926">
      <c r="A7926" s="6"/>
      <c r="C7926" s="6"/>
      <c r="L7926" s="7"/>
      <c r="M7926" s="5"/>
      <c r="N7926" s="5"/>
      <c r="O7926" s="5"/>
    </row>
    <row r="7927">
      <c r="A7927" s="6"/>
      <c r="C7927" s="6"/>
      <c r="L7927" s="7"/>
      <c r="M7927" s="5"/>
      <c r="N7927" s="5"/>
      <c r="O7927" s="5"/>
    </row>
    <row r="7928">
      <c r="A7928" s="6"/>
      <c r="C7928" s="6"/>
      <c r="L7928" s="7"/>
      <c r="M7928" s="5"/>
      <c r="N7928" s="5"/>
      <c r="O7928" s="5"/>
    </row>
    <row r="7929">
      <c r="A7929" s="6"/>
      <c r="C7929" s="6"/>
      <c r="L7929" s="7"/>
      <c r="M7929" s="5"/>
      <c r="N7929" s="5"/>
      <c r="O7929" s="5"/>
    </row>
    <row r="7930">
      <c r="A7930" s="6"/>
      <c r="C7930" s="6"/>
      <c r="L7930" s="7"/>
      <c r="M7930" s="5"/>
      <c r="N7930" s="5"/>
      <c r="O7930" s="5"/>
    </row>
    <row r="7931">
      <c r="A7931" s="6"/>
      <c r="C7931" s="6"/>
      <c r="L7931" s="7"/>
      <c r="M7931" s="5"/>
      <c r="N7931" s="5"/>
      <c r="O7931" s="5"/>
    </row>
    <row r="7932">
      <c r="A7932" s="6"/>
      <c r="C7932" s="6"/>
      <c r="L7932" s="7"/>
      <c r="M7932" s="5"/>
      <c r="N7932" s="5"/>
      <c r="O7932" s="5"/>
    </row>
    <row r="7933">
      <c r="A7933" s="6"/>
      <c r="C7933" s="6"/>
      <c r="L7933" s="7"/>
      <c r="M7933" s="5"/>
      <c r="N7933" s="5"/>
      <c r="O7933" s="5"/>
    </row>
    <row r="7934">
      <c r="A7934" s="6"/>
      <c r="C7934" s="6"/>
      <c r="L7934" s="7"/>
      <c r="M7934" s="5"/>
      <c r="N7934" s="5"/>
      <c r="O7934" s="5"/>
    </row>
    <row r="7935">
      <c r="A7935" s="6"/>
      <c r="C7935" s="6"/>
      <c r="L7935" s="7"/>
      <c r="M7935" s="5"/>
      <c r="N7935" s="5"/>
      <c r="O7935" s="5"/>
    </row>
    <row r="7936">
      <c r="A7936" s="6"/>
      <c r="C7936" s="6"/>
      <c r="L7936" s="7"/>
      <c r="M7936" s="5"/>
      <c r="N7936" s="5"/>
      <c r="O7936" s="5"/>
    </row>
    <row r="7937">
      <c r="A7937" s="6"/>
      <c r="C7937" s="6"/>
      <c r="L7937" s="7"/>
      <c r="M7937" s="5"/>
      <c r="N7937" s="5"/>
      <c r="O7937" s="5"/>
    </row>
    <row r="7938">
      <c r="A7938" s="6"/>
      <c r="C7938" s="6"/>
      <c r="L7938" s="7"/>
      <c r="M7938" s="5"/>
      <c r="N7938" s="5"/>
      <c r="O7938" s="5"/>
    </row>
    <row r="7939">
      <c r="A7939" s="6"/>
      <c r="C7939" s="6"/>
      <c r="L7939" s="7"/>
      <c r="M7939" s="5"/>
      <c r="N7939" s="5"/>
      <c r="O7939" s="5"/>
    </row>
    <row r="7940">
      <c r="A7940" s="6"/>
      <c r="C7940" s="6"/>
      <c r="L7940" s="7"/>
      <c r="M7940" s="5"/>
      <c r="N7940" s="5"/>
      <c r="O7940" s="5"/>
    </row>
    <row r="7941">
      <c r="A7941" s="6"/>
      <c r="C7941" s="6"/>
      <c r="L7941" s="7"/>
      <c r="M7941" s="5"/>
      <c r="N7941" s="5"/>
      <c r="O7941" s="5"/>
    </row>
    <row r="7942">
      <c r="A7942" s="6"/>
      <c r="C7942" s="6"/>
      <c r="L7942" s="7"/>
      <c r="M7942" s="5"/>
      <c r="N7942" s="5"/>
      <c r="O7942" s="5"/>
    </row>
    <row r="7943">
      <c r="A7943" s="6"/>
      <c r="C7943" s="6"/>
      <c r="L7943" s="7"/>
      <c r="M7943" s="5"/>
      <c r="N7943" s="5"/>
      <c r="O7943" s="5"/>
    </row>
    <row r="7944">
      <c r="A7944" s="6"/>
      <c r="C7944" s="6"/>
      <c r="L7944" s="7"/>
      <c r="M7944" s="5"/>
      <c r="N7944" s="5"/>
      <c r="O7944" s="5"/>
    </row>
    <row r="7945">
      <c r="A7945" s="6"/>
      <c r="C7945" s="6"/>
      <c r="L7945" s="7"/>
      <c r="M7945" s="5"/>
      <c r="N7945" s="5"/>
      <c r="O7945" s="5"/>
    </row>
    <row r="7946">
      <c r="A7946" s="6"/>
      <c r="C7946" s="6"/>
      <c r="L7946" s="7"/>
      <c r="M7946" s="5"/>
      <c r="N7946" s="5"/>
      <c r="O7946" s="5"/>
    </row>
    <row r="7947">
      <c r="A7947" s="6"/>
      <c r="C7947" s="6"/>
      <c r="L7947" s="7"/>
      <c r="M7947" s="5"/>
      <c r="N7947" s="5"/>
      <c r="O7947" s="5"/>
    </row>
    <row r="7948">
      <c r="A7948" s="6"/>
      <c r="C7948" s="6"/>
      <c r="L7948" s="7"/>
      <c r="M7948" s="5"/>
      <c r="N7948" s="5"/>
      <c r="O7948" s="5"/>
    </row>
    <row r="7949">
      <c r="A7949" s="6"/>
      <c r="C7949" s="6"/>
      <c r="L7949" s="7"/>
      <c r="M7949" s="5"/>
      <c r="N7949" s="5"/>
      <c r="O7949" s="5"/>
    </row>
    <row r="7950">
      <c r="A7950" s="6"/>
      <c r="C7950" s="6"/>
      <c r="L7950" s="7"/>
      <c r="M7950" s="5"/>
      <c r="N7950" s="5"/>
      <c r="O7950" s="5"/>
    </row>
    <row r="7951">
      <c r="A7951" s="6"/>
      <c r="C7951" s="6"/>
      <c r="L7951" s="7"/>
      <c r="M7951" s="5"/>
      <c r="N7951" s="5"/>
      <c r="O7951" s="5"/>
    </row>
    <row r="7952">
      <c r="A7952" s="6"/>
      <c r="C7952" s="6"/>
      <c r="L7952" s="7"/>
      <c r="M7952" s="5"/>
      <c r="N7952" s="5"/>
      <c r="O7952" s="5"/>
    </row>
    <row r="7953">
      <c r="A7953" s="6"/>
      <c r="C7953" s="6"/>
      <c r="L7953" s="7"/>
      <c r="M7953" s="5"/>
      <c r="N7953" s="5"/>
      <c r="O7953" s="5"/>
    </row>
    <row r="7954">
      <c r="A7954" s="6"/>
      <c r="C7954" s="6"/>
      <c r="L7954" s="7"/>
      <c r="M7954" s="5"/>
      <c r="N7954" s="5"/>
      <c r="O7954" s="5"/>
    </row>
    <row r="7955">
      <c r="A7955" s="6"/>
      <c r="C7955" s="6"/>
      <c r="L7955" s="7"/>
      <c r="M7955" s="5"/>
      <c r="N7955" s="5"/>
      <c r="O7955" s="5"/>
    </row>
    <row r="7956">
      <c r="A7956" s="6"/>
      <c r="C7956" s="6"/>
      <c r="L7956" s="7"/>
      <c r="M7956" s="5"/>
      <c r="N7956" s="5"/>
      <c r="O7956" s="5"/>
    </row>
    <row r="7957">
      <c r="A7957" s="6"/>
      <c r="C7957" s="6"/>
      <c r="L7957" s="7"/>
      <c r="M7957" s="5"/>
      <c r="N7957" s="5"/>
      <c r="O7957" s="5"/>
    </row>
    <row r="7958">
      <c r="A7958" s="6"/>
      <c r="C7958" s="6"/>
      <c r="L7958" s="7"/>
      <c r="M7958" s="5"/>
      <c r="N7958" s="5"/>
      <c r="O7958" s="5"/>
    </row>
    <row r="7959">
      <c r="A7959" s="6"/>
      <c r="C7959" s="6"/>
      <c r="L7959" s="7"/>
      <c r="M7959" s="5"/>
      <c r="N7959" s="5"/>
      <c r="O7959" s="5"/>
    </row>
    <row r="7960">
      <c r="A7960" s="6"/>
      <c r="C7960" s="6"/>
      <c r="L7960" s="7"/>
      <c r="M7960" s="5"/>
      <c r="N7960" s="5"/>
      <c r="O7960" s="5"/>
    </row>
    <row r="7961">
      <c r="A7961" s="6"/>
      <c r="C7961" s="6"/>
      <c r="L7961" s="7"/>
      <c r="M7961" s="5"/>
      <c r="N7961" s="5"/>
      <c r="O7961" s="5"/>
    </row>
    <row r="7962">
      <c r="A7962" s="6"/>
      <c r="C7962" s="6"/>
      <c r="L7962" s="7"/>
      <c r="M7962" s="5"/>
      <c r="N7962" s="5"/>
      <c r="O7962" s="5"/>
    </row>
    <row r="7963">
      <c r="A7963" s="6"/>
      <c r="C7963" s="6"/>
      <c r="L7963" s="7"/>
      <c r="M7963" s="5"/>
      <c r="N7963" s="5"/>
      <c r="O7963" s="5"/>
    </row>
    <row r="7964">
      <c r="A7964" s="6"/>
      <c r="C7964" s="6"/>
      <c r="L7964" s="7"/>
      <c r="M7964" s="5"/>
      <c r="N7964" s="5"/>
      <c r="O7964" s="5"/>
    </row>
    <row r="7965">
      <c r="A7965" s="6"/>
      <c r="C7965" s="6"/>
      <c r="L7965" s="7"/>
      <c r="M7965" s="5"/>
      <c r="N7965" s="5"/>
      <c r="O7965" s="5"/>
    </row>
    <row r="7966">
      <c r="A7966" s="6"/>
      <c r="C7966" s="6"/>
      <c r="L7966" s="7"/>
      <c r="M7966" s="5"/>
      <c r="N7966" s="5"/>
      <c r="O7966" s="5"/>
    </row>
    <row r="7967">
      <c r="A7967" s="6"/>
      <c r="C7967" s="6"/>
      <c r="L7967" s="7"/>
      <c r="M7967" s="5"/>
      <c r="N7967" s="5"/>
      <c r="O7967" s="5"/>
    </row>
    <row r="7968">
      <c r="A7968" s="6"/>
      <c r="C7968" s="6"/>
      <c r="L7968" s="7"/>
      <c r="M7968" s="5"/>
      <c r="N7968" s="5"/>
      <c r="O7968" s="5"/>
    </row>
    <row r="7969">
      <c r="A7969" s="6"/>
      <c r="C7969" s="6"/>
      <c r="L7969" s="7"/>
      <c r="M7969" s="5"/>
      <c r="N7969" s="5"/>
      <c r="O7969" s="5"/>
    </row>
    <row r="7970">
      <c r="A7970" s="6"/>
      <c r="C7970" s="6"/>
      <c r="L7970" s="7"/>
      <c r="M7970" s="5"/>
      <c r="N7970" s="5"/>
      <c r="O7970" s="5"/>
    </row>
    <row r="7971">
      <c r="A7971" s="6"/>
      <c r="C7971" s="6"/>
      <c r="L7971" s="7"/>
      <c r="M7971" s="5"/>
      <c r="N7971" s="5"/>
      <c r="O7971" s="5"/>
    </row>
    <row r="7972">
      <c r="A7972" s="6"/>
      <c r="C7972" s="6"/>
      <c r="L7972" s="7"/>
      <c r="M7972" s="5"/>
      <c r="N7972" s="5"/>
      <c r="O7972" s="5"/>
    </row>
    <row r="7973">
      <c r="A7973" s="6"/>
      <c r="C7973" s="6"/>
      <c r="L7973" s="7"/>
      <c r="M7973" s="5"/>
      <c r="N7973" s="5"/>
      <c r="O7973" s="5"/>
    </row>
    <row r="7974">
      <c r="A7974" s="6"/>
      <c r="C7974" s="6"/>
      <c r="L7974" s="7"/>
      <c r="M7974" s="5"/>
      <c r="N7974" s="5"/>
      <c r="O7974" s="5"/>
    </row>
    <row r="7975">
      <c r="A7975" s="6"/>
      <c r="C7975" s="6"/>
      <c r="L7975" s="7"/>
      <c r="M7975" s="5"/>
      <c r="N7975" s="5"/>
      <c r="O7975" s="5"/>
    </row>
    <row r="7976">
      <c r="A7976" s="6"/>
      <c r="C7976" s="6"/>
      <c r="L7976" s="7"/>
      <c r="M7976" s="5"/>
      <c r="N7976" s="5"/>
      <c r="O7976" s="5"/>
    </row>
    <row r="7977">
      <c r="A7977" s="6"/>
      <c r="C7977" s="6"/>
      <c r="L7977" s="7"/>
      <c r="M7977" s="5"/>
      <c r="N7977" s="5"/>
      <c r="O7977" s="5"/>
    </row>
    <row r="7978">
      <c r="A7978" s="6"/>
      <c r="C7978" s="6"/>
      <c r="L7978" s="7"/>
      <c r="M7978" s="5"/>
      <c r="N7978" s="5"/>
      <c r="O7978" s="5"/>
    </row>
    <row r="7979">
      <c r="A7979" s="6"/>
      <c r="C7979" s="6"/>
      <c r="L7979" s="7"/>
      <c r="M7979" s="5"/>
      <c r="N7979" s="5"/>
      <c r="O7979" s="5"/>
    </row>
    <row r="7980">
      <c r="A7980" s="6"/>
      <c r="C7980" s="6"/>
      <c r="L7980" s="7"/>
      <c r="M7980" s="5"/>
      <c r="N7980" s="5"/>
      <c r="O7980" s="5"/>
    </row>
    <row r="7981">
      <c r="A7981" s="6"/>
      <c r="C7981" s="6"/>
      <c r="L7981" s="7"/>
      <c r="M7981" s="5"/>
      <c r="N7981" s="5"/>
      <c r="O7981" s="5"/>
    </row>
    <row r="7982">
      <c r="A7982" s="6"/>
      <c r="C7982" s="6"/>
      <c r="L7982" s="7"/>
      <c r="M7982" s="5"/>
      <c r="N7982" s="5"/>
      <c r="O7982" s="5"/>
    </row>
    <row r="7983">
      <c r="A7983" s="6"/>
      <c r="C7983" s="6"/>
      <c r="L7983" s="7"/>
      <c r="M7983" s="5"/>
      <c r="N7983" s="5"/>
      <c r="O7983" s="5"/>
    </row>
    <row r="7984">
      <c r="A7984" s="6"/>
      <c r="C7984" s="6"/>
      <c r="L7984" s="7"/>
      <c r="M7984" s="5"/>
      <c r="N7984" s="5"/>
      <c r="O7984" s="5"/>
    </row>
    <row r="7985">
      <c r="A7985" s="6"/>
      <c r="C7985" s="6"/>
      <c r="L7985" s="7"/>
      <c r="M7985" s="5"/>
      <c r="N7985" s="5"/>
      <c r="O7985" s="5"/>
    </row>
    <row r="7986">
      <c r="A7986" s="6"/>
      <c r="C7986" s="6"/>
      <c r="L7986" s="7"/>
      <c r="M7986" s="5"/>
      <c r="N7986" s="5"/>
      <c r="O7986" s="5"/>
    </row>
    <row r="7987">
      <c r="A7987" s="6"/>
      <c r="C7987" s="6"/>
      <c r="L7987" s="7"/>
      <c r="M7987" s="5"/>
      <c r="N7987" s="5"/>
      <c r="O7987" s="5"/>
    </row>
    <row r="7988">
      <c r="A7988" s="6"/>
      <c r="C7988" s="6"/>
      <c r="L7988" s="7"/>
      <c r="M7988" s="5"/>
      <c r="N7988" s="5"/>
      <c r="O7988" s="5"/>
    </row>
    <row r="7989">
      <c r="A7989" s="6"/>
      <c r="C7989" s="6"/>
      <c r="L7989" s="7"/>
      <c r="M7989" s="5"/>
      <c r="N7989" s="5"/>
      <c r="O7989" s="5"/>
    </row>
    <row r="7990">
      <c r="A7990" s="6"/>
      <c r="C7990" s="6"/>
      <c r="L7990" s="7"/>
      <c r="M7990" s="5"/>
      <c r="N7990" s="5"/>
      <c r="O7990" s="5"/>
    </row>
    <row r="7991">
      <c r="A7991" s="6"/>
      <c r="C7991" s="6"/>
      <c r="L7991" s="7"/>
      <c r="M7991" s="5"/>
      <c r="N7991" s="5"/>
      <c r="O7991" s="5"/>
    </row>
    <row r="7992">
      <c r="A7992" s="6"/>
      <c r="C7992" s="6"/>
      <c r="L7992" s="7"/>
      <c r="M7992" s="5"/>
      <c r="N7992" s="5"/>
      <c r="O7992" s="5"/>
    </row>
    <row r="7993">
      <c r="A7993" s="6"/>
      <c r="C7993" s="6"/>
      <c r="L7993" s="7"/>
      <c r="M7993" s="5"/>
      <c r="N7993" s="5"/>
      <c r="O7993" s="5"/>
    </row>
    <row r="7994">
      <c r="A7994" s="6"/>
      <c r="C7994" s="6"/>
      <c r="L7994" s="7"/>
      <c r="M7994" s="5"/>
      <c r="N7994" s="5"/>
      <c r="O7994" s="5"/>
    </row>
    <row r="7995">
      <c r="A7995" s="6"/>
      <c r="C7995" s="6"/>
      <c r="L7995" s="7"/>
      <c r="M7995" s="5"/>
      <c r="N7995" s="5"/>
      <c r="O7995" s="5"/>
    </row>
    <row r="7996">
      <c r="A7996" s="6"/>
      <c r="C7996" s="6"/>
      <c r="L7996" s="7"/>
      <c r="M7996" s="5"/>
      <c r="N7996" s="5"/>
      <c r="O7996" s="5"/>
    </row>
    <row r="7997">
      <c r="A7997" s="6"/>
      <c r="C7997" s="6"/>
      <c r="L7997" s="7"/>
      <c r="M7997" s="5"/>
      <c r="N7997" s="5"/>
      <c r="O7997" s="5"/>
    </row>
    <row r="7998">
      <c r="A7998" s="6"/>
      <c r="C7998" s="6"/>
      <c r="L7998" s="7"/>
      <c r="M7998" s="5"/>
      <c r="N7998" s="5"/>
      <c r="O7998" s="5"/>
    </row>
    <row r="7999">
      <c r="A7999" s="6"/>
      <c r="C7999" s="6"/>
      <c r="L7999" s="7"/>
      <c r="M7999" s="5"/>
      <c r="N7999" s="5"/>
      <c r="O7999" s="5"/>
    </row>
    <row r="8000">
      <c r="A8000" s="6"/>
      <c r="C8000" s="6"/>
      <c r="L8000" s="7"/>
      <c r="M8000" s="5"/>
      <c r="N8000" s="5"/>
      <c r="O8000" s="5"/>
    </row>
    <row r="8001">
      <c r="A8001" s="6"/>
      <c r="C8001" s="6"/>
      <c r="L8001" s="7"/>
      <c r="M8001" s="5"/>
      <c r="N8001" s="5"/>
      <c r="O8001" s="5"/>
    </row>
    <row r="8002">
      <c r="A8002" s="6"/>
      <c r="C8002" s="6"/>
      <c r="L8002" s="7"/>
      <c r="M8002" s="5"/>
      <c r="N8002" s="5"/>
      <c r="O8002" s="5"/>
    </row>
    <row r="8003">
      <c r="A8003" s="6"/>
      <c r="C8003" s="6"/>
      <c r="L8003" s="7"/>
      <c r="M8003" s="5"/>
      <c r="N8003" s="5"/>
      <c r="O8003" s="5"/>
    </row>
    <row r="8004">
      <c r="A8004" s="6"/>
      <c r="C8004" s="6"/>
      <c r="L8004" s="7"/>
      <c r="M8004" s="5"/>
      <c r="N8004" s="5"/>
      <c r="O8004" s="5"/>
    </row>
    <row r="8005">
      <c r="A8005" s="6"/>
      <c r="C8005" s="6"/>
      <c r="L8005" s="7"/>
      <c r="M8005" s="5"/>
      <c r="N8005" s="5"/>
      <c r="O8005" s="5"/>
    </row>
    <row r="8006">
      <c r="A8006" s="6"/>
      <c r="C8006" s="6"/>
      <c r="L8006" s="7"/>
      <c r="M8006" s="5"/>
      <c r="N8006" s="5"/>
      <c r="O8006" s="5"/>
    </row>
    <row r="8007">
      <c r="A8007" s="6"/>
      <c r="C8007" s="6"/>
      <c r="L8007" s="7"/>
      <c r="M8007" s="5"/>
      <c r="N8007" s="5"/>
      <c r="O8007" s="5"/>
    </row>
    <row r="8008">
      <c r="A8008" s="6"/>
      <c r="C8008" s="6"/>
      <c r="L8008" s="7"/>
      <c r="M8008" s="5"/>
      <c r="N8008" s="5"/>
      <c r="O8008" s="5"/>
    </row>
    <row r="8009">
      <c r="A8009" s="6"/>
      <c r="C8009" s="6"/>
      <c r="L8009" s="7"/>
      <c r="M8009" s="5"/>
      <c r="N8009" s="5"/>
      <c r="O8009" s="5"/>
    </row>
    <row r="8010">
      <c r="A8010" s="6"/>
      <c r="C8010" s="6"/>
      <c r="L8010" s="7"/>
      <c r="M8010" s="5"/>
      <c r="N8010" s="5"/>
      <c r="O8010" s="5"/>
    </row>
    <row r="8011">
      <c r="A8011" s="6"/>
      <c r="C8011" s="6"/>
      <c r="L8011" s="7"/>
      <c r="M8011" s="5"/>
      <c r="N8011" s="5"/>
      <c r="O8011" s="5"/>
    </row>
    <row r="8012">
      <c r="A8012" s="6"/>
      <c r="C8012" s="6"/>
      <c r="L8012" s="7"/>
      <c r="M8012" s="5"/>
      <c r="N8012" s="5"/>
      <c r="O8012" s="5"/>
    </row>
    <row r="8013">
      <c r="A8013" s="6"/>
      <c r="C8013" s="6"/>
      <c r="L8013" s="7"/>
      <c r="M8013" s="5"/>
      <c r="N8013" s="5"/>
      <c r="O8013" s="5"/>
    </row>
    <row r="8014">
      <c r="A8014" s="6"/>
      <c r="C8014" s="6"/>
      <c r="L8014" s="7"/>
      <c r="M8014" s="5"/>
      <c r="N8014" s="5"/>
      <c r="O8014" s="5"/>
    </row>
    <row r="8015">
      <c r="A8015" s="6"/>
      <c r="C8015" s="6"/>
      <c r="L8015" s="7"/>
      <c r="M8015" s="5"/>
      <c r="N8015" s="5"/>
      <c r="O8015" s="5"/>
    </row>
    <row r="8016">
      <c r="A8016" s="6"/>
      <c r="C8016" s="6"/>
      <c r="L8016" s="7"/>
      <c r="M8016" s="5"/>
      <c r="N8016" s="5"/>
      <c r="O8016" s="5"/>
    </row>
    <row r="8017">
      <c r="A8017" s="6"/>
      <c r="C8017" s="6"/>
      <c r="L8017" s="7"/>
      <c r="M8017" s="5"/>
      <c r="N8017" s="5"/>
      <c r="O8017" s="5"/>
    </row>
    <row r="8018">
      <c r="A8018" s="6"/>
      <c r="C8018" s="6"/>
      <c r="L8018" s="7"/>
      <c r="M8018" s="5"/>
      <c r="N8018" s="5"/>
      <c r="O8018" s="5"/>
    </row>
    <row r="8019">
      <c r="A8019" s="6"/>
      <c r="C8019" s="6"/>
      <c r="L8019" s="7"/>
      <c r="M8019" s="5"/>
      <c r="N8019" s="5"/>
      <c r="O8019" s="5"/>
    </row>
    <row r="8020">
      <c r="A8020" s="6"/>
      <c r="C8020" s="6"/>
      <c r="L8020" s="7"/>
      <c r="M8020" s="5"/>
      <c r="N8020" s="5"/>
      <c r="O8020" s="5"/>
    </row>
    <row r="8021">
      <c r="A8021" s="6"/>
      <c r="C8021" s="6"/>
      <c r="L8021" s="7"/>
      <c r="M8021" s="5"/>
      <c r="N8021" s="5"/>
      <c r="O8021" s="5"/>
    </row>
    <row r="8022">
      <c r="A8022" s="6"/>
      <c r="C8022" s="6"/>
      <c r="L8022" s="7"/>
      <c r="M8022" s="5"/>
      <c r="N8022" s="5"/>
      <c r="O8022" s="5"/>
    </row>
    <row r="8023">
      <c r="A8023" s="6"/>
      <c r="C8023" s="6"/>
      <c r="L8023" s="7"/>
      <c r="M8023" s="5"/>
      <c r="N8023" s="5"/>
      <c r="O8023" s="5"/>
    </row>
    <row r="8024">
      <c r="A8024" s="6"/>
      <c r="C8024" s="6"/>
      <c r="L8024" s="7"/>
      <c r="M8024" s="5"/>
      <c r="N8024" s="5"/>
      <c r="O8024" s="5"/>
    </row>
    <row r="8025">
      <c r="A8025" s="6"/>
      <c r="C8025" s="6"/>
      <c r="L8025" s="7"/>
      <c r="M8025" s="5"/>
      <c r="N8025" s="5"/>
      <c r="O8025" s="5"/>
    </row>
    <row r="8026">
      <c r="A8026" s="6"/>
      <c r="C8026" s="6"/>
      <c r="L8026" s="7"/>
      <c r="M8026" s="5"/>
      <c r="N8026" s="5"/>
      <c r="O8026" s="5"/>
    </row>
    <row r="8027">
      <c r="A8027" s="6"/>
      <c r="C8027" s="6"/>
      <c r="L8027" s="7"/>
      <c r="M8027" s="5"/>
      <c r="N8027" s="5"/>
      <c r="O8027" s="5"/>
    </row>
    <row r="8028">
      <c r="A8028" s="6"/>
      <c r="C8028" s="6"/>
      <c r="L8028" s="7"/>
      <c r="M8028" s="5"/>
      <c r="N8028" s="5"/>
      <c r="O8028" s="5"/>
    </row>
    <row r="8029">
      <c r="A8029" s="6"/>
      <c r="C8029" s="6"/>
      <c r="L8029" s="7"/>
      <c r="M8029" s="5"/>
      <c r="N8029" s="5"/>
      <c r="O8029" s="5"/>
    </row>
    <row r="8030">
      <c r="A8030" s="6"/>
      <c r="C8030" s="6"/>
      <c r="L8030" s="7"/>
      <c r="M8030" s="5"/>
      <c r="N8030" s="5"/>
      <c r="O8030" s="5"/>
    </row>
    <row r="8031">
      <c r="A8031" s="6"/>
      <c r="C8031" s="6"/>
      <c r="L8031" s="7"/>
      <c r="M8031" s="5"/>
      <c r="N8031" s="5"/>
      <c r="O8031" s="5"/>
    </row>
    <row r="8032">
      <c r="A8032" s="6"/>
      <c r="C8032" s="6"/>
      <c r="L8032" s="7"/>
      <c r="M8032" s="5"/>
      <c r="N8032" s="5"/>
      <c r="O8032" s="5"/>
    </row>
    <row r="8033">
      <c r="A8033" s="6"/>
      <c r="C8033" s="6"/>
      <c r="L8033" s="7"/>
      <c r="M8033" s="5"/>
      <c r="N8033" s="5"/>
      <c r="O8033" s="5"/>
    </row>
    <row r="8034">
      <c r="A8034" s="6"/>
      <c r="C8034" s="6"/>
      <c r="L8034" s="7"/>
      <c r="M8034" s="5"/>
      <c r="N8034" s="5"/>
      <c r="O8034" s="5"/>
    </row>
    <row r="8035">
      <c r="A8035" s="6"/>
      <c r="C8035" s="6"/>
      <c r="L8035" s="7"/>
      <c r="M8035" s="5"/>
      <c r="N8035" s="5"/>
      <c r="O8035" s="5"/>
    </row>
    <row r="8036">
      <c r="A8036" s="6"/>
      <c r="C8036" s="6"/>
      <c r="L8036" s="7"/>
      <c r="M8036" s="5"/>
      <c r="N8036" s="5"/>
      <c r="O8036" s="5"/>
    </row>
    <row r="8037">
      <c r="A8037" s="6"/>
      <c r="C8037" s="6"/>
      <c r="L8037" s="7"/>
      <c r="M8037" s="5"/>
      <c r="N8037" s="5"/>
      <c r="O8037" s="5"/>
    </row>
    <row r="8038">
      <c r="A8038" s="6"/>
      <c r="C8038" s="6"/>
      <c r="L8038" s="7"/>
      <c r="M8038" s="5"/>
      <c r="N8038" s="5"/>
      <c r="O8038" s="5"/>
    </row>
    <row r="8039">
      <c r="A8039" s="6"/>
      <c r="C8039" s="6"/>
      <c r="L8039" s="7"/>
      <c r="M8039" s="5"/>
      <c r="N8039" s="5"/>
      <c r="O8039" s="5"/>
    </row>
    <row r="8040">
      <c r="A8040" s="6"/>
      <c r="C8040" s="6"/>
      <c r="L8040" s="7"/>
      <c r="M8040" s="5"/>
      <c r="N8040" s="5"/>
      <c r="O8040" s="5"/>
    </row>
    <row r="8041">
      <c r="A8041" s="6"/>
      <c r="C8041" s="6"/>
      <c r="L8041" s="7"/>
      <c r="M8041" s="5"/>
      <c r="N8041" s="5"/>
      <c r="O8041" s="5"/>
    </row>
    <row r="8042">
      <c r="A8042" s="6"/>
      <c r="C8042" s="6"/>
      <c r="L8042" s="7"/>
      <c r="M8042" s="5"/>
      <c r="N8042" s="5"/>
      <c r="O8042" s="5"/>
    </row>
    <row r="8043">
      <c r="A8043" s="6"/>
      <c r="C8043" s="6"/>
      <c r="L8043" s="7"/>
      <c r="M8043" s="5"/>
      <c r="N8043" s="5"/>
      <c r="O8043" s="5"/>
    </row>
    <row r="8044">
      <c r="A8044" s="6"/>
      <c r="C8044" s="6"/>
      <c r="L8044" s="7"/>
      <c r="M8044" s="5"/>
      <c r="N8044" s="5"/>
      <c r="O8044" s="5"/>
    </row>
    <row r="8045">
      <c r="A8045" s="6"/>
      <c r="C8045" s="6"/>
      <c r="L8045" s="7"/>
      <c r="M8045" s="5"/>
      <c r="N8045" s="5"/>
      <c r="O8045" s="5"/>
    </row>
    <row r="8046">
      <c r="A8046" s="6"/>
      <c r="C8046" s="6"/>
      <c r="L8046" s="7"/>
      <c r="M8046" s="5"/>
      <c r="N8046" s="5"/>
      <c r="O8046" s="5"/>
    </row>
    <row r="8047">
      <c r="A8047" s="6"/>
      <c r="C8047" s="6"/>
      <c r="L8047" s="7"/>
      <c r="M8047" s="5"/>
      <c r="N8047" s="5"/>
      <c r="O8047" s="5"/>
    </row>
    <row r="8048">
      <c r="A8048" s="6"/>
      <c r="C8048" s="6"/>
      <c r="L8048" s="7"/>
      <c r="M8048" s="5"/>
      <c r="N8048" s="5"/>
      <c r="O8048" s="5"/>
    </row>
    <row r="8049">
      <c r="A8049" s="6"/>
      <c r="C8049" s="6"/>
      <c r="L8049" s="7"/>
      <c r="M8049" s="5"/>
      <c r="N8049" s="5"/>
      <c r="O8049" s="5"/>
    </row>
    <row r="8050">
      <c r="A8050" s="6"/>
      <c r="C8050" s="6"/>
      <c r="L8050" s="7"/>
      <c r="M8050" s="5"/>
      <c r="N8050" s="5"/>
      <c r="O8050" s="5"/>
    </row>
    <row r="8051">
      <c r="A8051" s="6"/>
      <c r="C8051" s="6"/>
      <c r="L8051" s="7"/>
      <c r="M8051" s="5"/>
      <c r="N8051" s="5"/>
      <c r="O8051" s="5"/>
    </row>
    <row r="8052">
      <c r="A8052" s="6"/>
      <c r="C8052" s="6"/>
      <c r="L8052" s="7"/>
      <c r="M8052" s="5"/>
      <c r="N8052" s="5"/>
      <c r="O8052" s="5"/>
    </row>
    <row r="8053">
      <c r="A8053" s="6"/>
      <c r="C8053" s="6"/>
      <c r="L8053" s="7"/>
      <c r="M8053" s="5"/>
      <c r="N8053" s="5"/>
      <c r="O8053" s="5"/>
    </row>
    <row r="8054">
      <c r="A8054" s="6"/>
      <c r="C8054" s="6"/>
      <c r="L8054" s="7"/>
      <c r="M8054" s="5"/>
      <c r="N8054" s="5"/>
      <c r="O8054" s="5"/>
    </row>
    <row r="8055">
      <c r="A8055" s="6"/>
      <c r="C8055" s="6"/>
      <c r="L8055" s="7"/>
      <c r="M8055" s="5"/>
      <c r="N8055" s="5"/>
      <c r="O8055" s="5"/>
    </row>
    <row r="8056">
      <c r="A8056" s="6"/>
      <c r="C8056" s="6"/>
      <c r="L8056" s="7"/>
      <c r="M8056" s="5"/>
      <c r="N8056" s="5"/>
      <c r="O8056" s="5"/>
    </row>
    <row r="8057">
      <c r="A8057" s="6"/>
      <c r="C8057" s="6"/>
      <c r="L8057" s="7"/>
      <c r="M8057" s="5"/>
      <c r="N8057" s="5"/>
      <c r="O8057" s="5"/>
    </row>
    <row r="8058">
      <c r="A8058" s="6"/>
      <c r="C8058" s="6"/>
      <c r="L8058" s="7"/>
      <c r="M8058" s="5"/>
      <c r="N8058" s="5"/>
      <c r="O8058" s="5"/>
    </row>
    <row r="8059">
      <c r="A8059" s="6"/>
      <c r="C8059" s="6"/>
      <c r="L8059" s="7"/>
      <c r="M8059" s="5"/>
      <c r="N8059" s="5"/>
      <c r="O8059" s="5"/>
    </row>
    <row r="8060">
      <c r="A8060" s="6"/>
      <c r="C8060" s="6"/>
      <c r="L8060" s="7"/>
      <c r="M8060" s="5"/>
      <c r="N8060" s="5"/>
      <c r="O8060" s="5"/>
    </row>
    <row r="8061">
      <c r="A8061" s="6"/>
      <c r="C8061" s="6"/>
      <c r="L8061" s="7"/>
      <c r="M8061" s="5"/>
      <c r="N8061" s="5"/>
      <c r="O8061" s="5"/>
    </row>
    <row r="8062">
      <c r="A8062" s="6"/>
      <c r="C8062" s="6"/>
      <c r="L8062" s="7"/>
      <c r="M8062" s="5"/>
      <c r="N8062" s="5"/>
      <c r="O8062" s="5"/>
    </row>
    <row r="8063">
      <c r="A8063" s="6"/>
      <c r="C8063" s="6"/>
      <c r="L8063" s="7"/>
      <c r="M8063" s="5"/>
      <c r="N8063" s="5"/>
      <c r="O8063" s="5"/>
    </row>
    <row r="8064">
      <c r="A8064" s="6"/>
      <c r="C8064" s="6"/>
      <c r="L8064" s="7"/>
      <c r="M8064" s="5"/>
      <c r="N8064" s="5"/>
      <c r="O8064" s="5"/>
    </row>
    <row r="8065">
      <c r="A8065" s="6"/>
      <c r="C8065" s="6"/>
      <c r="L8065" s="7"/>
      <c r="M8065" s="5"/>
      <c r="N8065" s="5"/>
      <c r="O8065" s="5"/>
    </row>
    <row r="8066">
      <c r="A8066" s="6"/>
      <c r="C8066" s="6"/>
      <c r="L8066" s="7"/>
      <c r="M8066" s="5"/>
      <c r="N8066" s="5"/>
      <c r="O8066" s="5"/>
    </row>
    <row r="8067">
      <c r="A8067" s="6"/>
      <c r="C8067" s="6"/>
      <c r="L8067" s="7"/>
      <c r="M8067" s="5"/>
      <c r="N8067" s="5"/>
      <c r="O8067" s="5"/>
    </row>
    <row r="8068">
      <c r="A8068" s="6"/>
      <c r="C8068" s="6"/>
      <c r="L8068" s="7"/>
      <c r="M8068" s="5"/>
      <c r="N8068" s="5"/>
      <c r="O8068" s="5"/>
    </row>
    <row r="8069">
      <c r="A8069" s="6"/>
      <c r="C8069" s="6"/>
      <c r="L8069" s="7"/>
      <c r="M8069" s="5"/>
      <c r="N8069" s="5"/>
      <c r="O8069" s="5"/>
    </row>
    <row r="8070">
      <c r="A8070" s="6"/>
      <c r="C8070" s="6"/>
      <c r="L8070" s="7"/>
      <c r="M8070" s="5"/>
      <c r="N8070" s="5"/>
      <c r="O8070" s="5"/>
    </row>
    <row r="8071">
      <c r="A8071" s="6"/>
      <c r="C8071" s="6"/>
      <c r="L8071" s="7"/>
      <c r="M8071" s="5"/>
      <c r="N8071" s="5"/>
      <c r="O8071" s="5"/>
    </row>
    <row r="8072">
      <c r="A8072" s="6"/>
      <c r="C8072" s="6"/>
      <c r="L8072" s="7"/>
      <c r="M8072" s="5"/>
      <c r="N8072" s="5"/>
      <c r="O8072" s="5"/>
    </row>
    <row r="8073">
      <c r="A8073" s="6"/>
      <c r="C8073" s="6"/>
      <c r="L8073" s="7"/>
      <c r="M8073" s="5"/>
      <c r="N8073" s="5"/>
      <c r="O8073" s="5"/>
    </row>
    <row r="8074">
      <c r="A8074" s="6"/>
      <c r="C8074" s="6"/>
      <c r="L8074" s="7"/>
      <c r="M8074" s="5"/>
      <c r="N8074" s="5"/>
      <c r="O8074" s="5"/>
    </row>
    <row r="8075">
      <c r="A8075" s="6"/>
      <c r="C8075" s="6"/>
      <c r="L8075" s="7"/>
      <c r="M8075" s="5"/>
      <c r="N8075" s="5"/>
      <c r="O8075" s="5"/>
    </row>
    <row r="8076">
      <c r="A8076" s="6"/>
      <c r="C8076" s="6"/>
      <c r="L8076" s="7"/>
      <c r="M8076" s="5"/>
      <c r="N8076" s="5"/>
      <c r="O8076" s="5"/>
    </row>
    <row r="8077">
      <c r="A8077" s="6"/>
      <c r="C8077" s="6"/>
      <c r="L8077" s="7"/>
      <c r="M8077" s="5"/>
      <c r="N8077" s="5"/>
      <c r="O8077" s="5"/>
    </row>
    <row r="8078">
      <c r="A8078" s="6"/>
      <c r="C8078" s="6"/>
      <c r="L8078" s="7"/>
      <c r="M8078" s="5"/>
      <c r="N8078" s="5"/>
      <c r="O8078" s="5"/>
    </row>
    <row r="8079">
      <c r="A8079" s="6"/>
      <c r="C8079" s="6"/>
      <c r="L8079" s="7"/>
      <c r="M8079" s="5"/>
      <c r="N8079" s="5"/>
      <c r="O8079" s="5"/>
    </row>
    <row r="8080">
      <c r="A8080" s="6"/>
      <c r="C8080" s="6"/>
      <c r="L8080" s="7"/>
      <c r="M8080" s="5"/>
      <c r="N8080" s="5"/>
      <c r="O8080" s="5"/>
    </row>
    <row r="8081">
      <c r="A8081" s="6"/>
      <c r="C8081" s="6"/>
      <c r="L8081" s="7"/>
      <c r="M8081" s="5"/>
      <c r="N8081" s="5"/>
      <c r="O8081" s="5"/>
    </row>
    <row r="8082">
      <c r="A8082" s="6"/>
      <c r="C8082" s="6"/>
      <c r="L8082" s="7"/>
      <c r="M8082" s="5"/>
      <c r="N8082" s="5"/>
      <c r="O8082" s="5"/>
    </row>
    <row r="8083">
      <c r="A8083" s="6"/>
      <c r="C8083" s="6"/>
      <c r="L8083" s="7"/>
      <c r="M8083" s="5"/>
      <c r="N8083" s="5"/>
      <c r="O8083" s="5"/>
    </row>
    <row r="8084">
      <c r="A8084" s="6"/>
      <c r="C8084" s="6"/>
      <c r="L8084" s="7"/>
      <c r="M8084" s="5"/>
      <c r="N8084" s="5"/>
      <c r="O8084" s="5"/>
    </row>
    <row r="8085">
      <c r="A8085" s="6"/>
      <c r="C8085" s="6"/>
      <c r="L8085" s="7"/>
      <c r="M8085" s="5"/>
      <c r="N8085" s="5"/>
      <c r="O8085" s="5"/>
    </row>
    <row r="8086">
      <c r="A8086" s="6"/>
      <c r="C8086" s="6"/>
      <c r="L8086" s="7"/>
      <c r="M8086" s="5"/>
      <c r="N8086" s="5"/>
      <c r="O8086" s="5"/>
    </row>
    <row r="8087">
      <c r="A8087" s="6"/>
      <c r="C8087" s="6"/>
      <c r="L8087" s="7"/>
      <c r="M8087" s="5"/>
      <c r="N8087" s="5"/>
      <c r="O8087" s="5"/>
    </row>
    <row r="8088">
      <c r="A8088" s="6"/>
      <c r="C8088" s="6"/>
      <c r="L8088" s="7"/>
      <c r="M8088" s="5"/>
      <c r="N8088" s="5"/>
      <c r="O8088" s="5"/>
    </row>
    <row r="8089">
      <c r="A8089" s="6"/>
      <c r="C8089" s="6"/>
      <c r="L8089" s="7"/>
      <c r="M8089" s="5"/>
      <c r="N8089" s="5"/>
      <c r="O8089" s="5"/>
    </row>
    <row r="8090">
      <c r="A8090" s="6"/>
      <c r="C8090" s="6"/>
      <c r="L8090" s="7"/>
      <c r="M8090" s="5"/>
      <c r="N8090" s="5"/>
      <c r="O8090" s="5"/>
    </row>
    <row r="8091">
      <c r="A8091" s="6"/>
      <c r="C8091" s="6"/>
      <c r="L8091" s="7"/>
      <c r="M8091" s="5"/>
      <c r="N8091" s="5"/>
      <c r="O8091" s="5"/>
    </row>
    <row r="8092">
      <c r="A8092" s="6"/>
      <c r="C8092" s="6"/>
      <c r="L8092" s="7"/>
      <c r="M8092" s="5"/>
      <c r="N8092" s="5"/>
      <c r="O8092" s="5"/>
    </row>
    <row r="8093">
      <c r="A8093" s="6"/>
      <c r="C8093" s="6"/>
      <c r="L8093" s="7"/>
      <c r="M8093" s="5"/>
      <c r="N8093" s="5"/>
      <c r="O8093" s="5"/>
    </row>
    <row r="8094">
      <c r="A8094" s="6"/>
      <c r="C8094" s="6"/>
      <c r="L8094" s="7"/>
      <c r="M8094" s="5"/>
      <c r="N8094" s="5"/>
      <c r="O8094" s="5"/>
    </row>
    <row r="8095">
      <c r="A8095" s="6"/>
      <c r="C8095" s="6"/>
      <c r="L8095" s="7"/>
      <c r="M8095" s="5"/>
      <c r="N8095" s="5"/>
      <c r="O8095" s="5"/>
    </row>
    <row r="8096">
      <c r="A8096" s="6"/>
      <c r="C8096" s="6"/>
      <c r="L8096" s="7"/>
      <c r="M8096" s="5"/>
      <c r="N8096" s="5"/>
      <c r="O8096" s="5"/>
    </row>
    <row r="8097">
      <c r="A8097" s="6"/>
      <c r="C8097" s="6"/>
      <c r="L8097" s="7"/>
      <c r="M8097" s="5"/>
      <c r="N8097" s="5"/>
      <c r="O8097" s="5"/>
    </row>
    <row r="8098">
      <c r="A8098" s="6"/>
      <c r="C8098" s="6"/>
      <c r="L8098" s="7"/>
      <c r="M8098" s="5"/>
      <c r="N8098" s="5"/>
      <c r="O8098" s="5"/>
    </row>
    <row r="8099">
      <c r="A8099" s="6"/>
      <c r="C8099" s="6"/>
      <c r="L8099" s="7"/>
      <c r="M8099" s="5"/>
      <c r="N8099" s="5"/>
      <c r="O8099" s="5"/>
    </row>
    <row r="8100">
      <c r="A8100" s="6"/>
      <c r="C8100" s="6"/>
      <c r="L8100" s="7"/>
      <c r="M8100" s="5"/>
      <c r="N8100" s="5"/>
      <c r="O8100" s="5"/>
    </row>
    <row r="8101">
      <c r="A8101" s="6"/>
      <c r="C8101" s="6"/>
      <c r="L8101" s="7"/>
      <c r="M8101" s="5"/>
      <c r="N8101" s="5"/>
      <c r="O8101" s="5"/>
    </row>
    <row r="8102">
      <c r="A8102" s="6"/>
      <c r="C8102" s="6"/>
      <c r="L8102" s="7"/>
      <c r="M8102" s="5"/>
      <c r="N8102" s="5"/>
      <c r="O8102" s="5"/>
    </row>
    <row r="8103">
      <c r="A8103" s="6"/>
      <c r="C8103" s="6"/>
      <c r="L8103" s="7"/>
      <c r="M8103" s="5"/>
      <c r="N8103" s="5"/>
      <c r="O8103" s="5"/>
    </row>
    <row r="8104">
      <c r="A8104" s="6"/>
      <c r="C8104" s="6"/>
      <c r="L8104" s="7"/>
      <c r="M8104" s="5"/>
      <c r="N8104" s="5"/>
      <c r="O8104" s="5"/>
    </row>
    <row r="8105">
      <c r="A8105" s="6"/>
      <c r="C8105" s="6"/>
      <c r="L8105" s="7"/>
      <c r="M8105" s="5"/>
      <c r="N8105" s="5"/>
      <c r="O8105" s="5"/>
    </row>
    <row r="8106">
      <c r="A8106" s="6"/>
      <c r="C8106" s="6"/>
      <c r="L8106" s="7"/>
      <c r="M8106" s="5"/>
      <c r="N8106" s="5"/>
      <c r="O8106" s="5"/>
    </row>
    <row r="8107">
      <c r="A8107" s="6"/>
      <c r="C8107" s="6"/>
      <c r="L8107" s="7"/>
      <c r="M8107" s="5"/>
      <c r="N8107" s="5"/>
      <c r="O8107" s="5"/>
    </row>
    <row r="8108">
      <c r="A8108" s="6"/>
      <c r="C8108" s="6"/>
      <c r="L8108" s="7"/>
      <c r="M8108" s="5"/>
      <c r="N8108" s="5"/>
      <c r="O8108" s="5"/>
    </row>
    <row r="8109">
      <c r="A8109" s="6"/>
      <c r="C8109" s="6"/>
      <c r="L8109" s="7"/>
      <c r="M8109" s="5"/>
      <c r="N8109" s="5"/>
      <c r="O8109" s="5"/>
    </row>
    <row r="8110">
      <c r="A8110" s="6"/>
      <c r="C8110" s="6"/>
      <c r="L8110" s="7"/>
      <c r="M8110" s="5"/>
      <c r="N8110" s="5"/>
      <c r="O8110" s="5"/>
    </row>
    <row r="8111">
      <c r="A8111" s="6"/>
      <c r="C8111" s="6"/>
      <c r="L8111" s="7"/>
      <c r="M8111" s="5"/>
      <c r="N8111" s="5"/>
      <c r="O8111" s="5"/>
    </row>
    <row r="8112">
      <c r="A8112" s="6"/>
      <c r="C8112" s="6"/>
      <c r="L8112" s="7"/>
      <c r="M8112" s="5"/>
      <c r="N8112" s="5"/>
      <c r="O8112" s="5"/>
    </row>
    <row r="8113">
      <c r="A8113" s="6"/>
      <c r="C8113" s="6"/>
      <c r="L8113" s="7"/>
      <c r="M8113" s="5"/>
      <c r="N8113" s="5"/>
      <c r="O8113" s="5"/>
    </row>
    <row r="8114">
      <c r="A8114" s="6"/>
      <c r="C8114" s="6"/>
      <c r="L8114" s="7"/>
      <c r="M8114" s="5"/>
      <c r="N8114" s="5"/>
      <c r="O8114" s="5"/>
    </row>
    <row r="8115">
      <c r="A8115" s="6"/>
      <c r="C8115" s="6"/>
      <c r="L8115" s="7"/>
      <c r="M8115" s="5"/>
      <c r="N8115" s="5"/>
      <c r="O8115" s="5"/>
    </row>
    <row r="8116">
      <c r="A8116" s="6"/>
      <c r="C8116" s="6"/>
      <c r="L8116" s="7"/>
      <c r="M8116" s="5"/>
      <c r="N8116" s="5"/>
      <c r="O8116" s="5"/>
    </row>
    <row r="8117">
      <c r="A8117" s="6"/>
      <c r="C8117" s="6"/>
      <c r="L8117" s="7"/>
      <c r="M8117" s="5"/>
      <c r="N8117" s="5"/>
      <c r="O8117" s="5"/>
    </row>
    <row r="8118">
      <c r="A8118" s="6"/>
      <c r="C8118" s="6"/>
      <c r="L8118" s="7"/>
      <c r="M8118" s="5"/>
      <c r="N8118" s="5"/>
      <c r="O8118" s="5"/>
    </row>
    <row r="8119">
      <c r="A8119" s="6"/>
      <c r="C8119" s="6"/>
      <c r="L8119" s="7"/>
      <c r="M8119" s="5"/>
      <c r="N8119" s="5"/>
      <c r="O8119" s="5"/>
    </row>
    <row r="8120">
      <c r="A8120" s="6"/>
      <c r="C8120" s="6"/>
      <c r="L8120" s="7"/>
      <c r="M8120" s="5"/>
      <c r="N8120" s="5"/>
      <c r="O8120" s="5"/>
    </row>
    <row r="8121">
      <c r="A8121" s="6"/>
      <c r="C8121" s="6"/>
      <c r="L8121" s="7"/>
      <c r="M8121" s="5"/>
      <c r="N8121" s="5"/>
      <c r="O8121" s="5"/>
    </row>
    <row r="8122">
      <c r="A8122" s="6"/>
      <c r="C8122" s="6"/>
      <c r="L8122" s="7"/>
      <c r="M8122" s="5"/>
      <c r="N8122" s="5"/>
      <c r="O8122" s="5"/>
    </row>
    <row r="8123">
      <c r="A8123" s="6"/>
      <c r="C8123" s="6"/>
      <c r="L8123" s="7"/>
      <c r="M8123" s="5"/>
      <c r="N8123" s="5"/>
      <c r="O8123" s="5"/>
    </row>
    <row r="8124">
      <c r="A8124" s="6"/>
      <c r="C8124" s="6"/>
      <c r="L8124" s="7"/>
      <c r="M8124" s="5"/>
      <c r="N8124" s="5"/>
      <c r="O8124" s="5"/>
    </row>
    <row r="8125">
      <c r="A8125" s="6"/>
      <c r="C8125" s="6"/>
      <c r="L8125" s="7"/>
      <c r="M8125" s="5"/>
      <c r="N8125" s="5"/>
      <c r="O8125" s="5"/>
    </row>
    <row r="8126">
      <c r="A8126" s="6"/>
      <c r="C8126" s="6"/>
      <c r="L8126" s="7"/>
      <c r="M8126" s="5"/>
      <c r="N8126" s="5"/>
      <c r="O8126" s="5"/>
    </row>
    <row r="8127">
      <c r="A8127" s="6"/>
      <c r="C8127" s="6"/>
      <c r="L8127" s="7"/>
      <c r="M8127" s="5"/>
      <c r="N8127" s="5"/>
      <c r="O8127" s="5"/>
    </row>
    <row r="8128">
      <c r="A8128" s="6"/>
      <c r="C8128" s="6"/>
      <c r="L8128" s="7"/>
      <c r="M8128" s="5"/>
      <c r="N8128" s="5"/>
      <c r="O8128" s="5"/>
    </row>
    <row r="8129">
      <c r="A8129" s="6"/>
      <c r="C8129" s="6"/>
      <c r="L8129" s="7"/>
      <c r="M8129" s="5"/>
      <c r="N8129" s="5"/>
      <c r="O8129" s="5"/>
    </row>
    <row r="8130">
      <c r="A8130" s="6"/>
      <c r="C8130" s="6"/>
      <c r="L8130" s="7"/>
      <c r="M8130" s="5"/>
      <c r="N8130" s="5"/>
      <c r="O8130" s="5"/>
    </row>
    <row r="8131">
      <c r="A8131" s="6"/>
      <c r="C8131" s="6"/>
      <c r="L8131" s="7"/>
      <c r="M8131" s="5"/>
      <c r="N8131" s="5"/>
      <c r="O8131" s="5"/>
    </row>
    <row r="8132">
      <c r="A8132" s="6"/>
      <c r="C8132" s="6"/>
      <c r="L8132" s="7"/>
      <c r="M8132" s="5"/>
      <c r="N8132" s="5"/>
      <c r="O8132" s="5"/>
    </row>
    <row r="8133">
      <c r="A8133" s="6"/>
      <c r="C8133" s="6"/>
      <c r="L8133" s="7"/>
      <c r="M8133" s="5"/>
      <c r="N8133" s="5"/>
      <c r="O8133" s="5"/>
    </row>
    <row r="8134">
      <c r="A8134" s="6"/>
      <c r="C8134" s="6"/>
      <c r="L8134" s="7"/>
      <c r="M8134" s="5"/>
      <c r="N8134" s="5"/>
      <c r="O8134" s="5"/>
    </row>
    <row r="8135">
      <c r="A8135" s="6"/>
      <c r="C8135" s="6"/>
      <c r="L8135" s="7"/>
      <c r="M8135" s="5"/>
      <c r="N8135" s="5"/>
      <c r="O8135" s="5"/>
    </row>
    <row r="8136">
      <c r="A8136" s="6"/>
      <c r="C8136" s="6"/>
      <c r="L8136" s="7"/>
      <c r="M8136" s="5"/>
      <c r="N8136" s="5"/>
      <c r="O8136" s="5"/>
    </row>
    <row r="8137">
      <c r="A8137" s="6"/>
      <c r="C8137" s="6"/>
      <c r="L8137" s="7"/>
      <c r="M8137" s="5"/>
      <c r="N8137" s="5"/>
      <c r="O8137" s="5"/>
    </row>
    <row r="8138">
      <c r="A8138" s="6"/>
      <c r="C8138" s="6"/>
      <c r="L8138" s="7"/>
      <c r="M8138" s="5"/>
      <c r="N8138" s="5"/>
      <c r="O8138" s="5"/>
    </row>
    <row r="8139">
      <c r="A8139" s="6"/>
      <c r="C8139" s="6"/>
      <c r="L8139" s="7"/>
      <c r="M8139" s="5"/>
      <c r="N8139" s="5"/>
      <c r="O8139" s="5"/>
    </row>
    <row r="8140">
      <c r="A8140" s="6"/>
      <c r="C8140" s="6"/>
      <c r="L8140" s="7"/>
      <c r="M8140" s="5"/>
      <c r="N8140" s="5"/>
      <c r="O8140" s="5"/>
    </row>
    <row r="8141">
      <c r="A8141" s="6"/>
      <c r="C8141" s="6"/>
      <c r="L8141" s="7"/>
      <c r="M8141" s="5"/>
      <c r="N8141" s="5"/>
      <c r="O8141" s="5"/>
    </row>
    <row r="8142">
      <c r="A8142" s="6"/>
      <c r="C8142" s="6"/>
      <c r="L8142" s="7"/>
      <c r="M8142" s="5"/>
      <c r="N8142" s="5"/>
      <c r="O8142" s="5"/>
    </row>
    <row r="8143">
      <c r="A8143" s="6"/>
      <c r="C8143" s="6"/>
      <c r="L8143" s="7"/>
      <c r="M8143" s="5"/>
      <c r="N8143" s="5"/>
      <c r="O8143" s="5"/>
    </row>
    <row r="8144">
      <c r="A8144" s="6"/>
      <c r="C8144" s="6"/>
      <c r="L8144" s="7"/>
      <c r="M8144" s="5"/>
      <c r="N8144" s="5"/>
      <c r="O8144" s="5"/>
    </row>
    <row r="8145">
      <c r="A8145" s="6"/>
      <c r="C8145" s="6"/>
      <c r="L8145" s="7"/>
      <c r="M8145" s="5"/>
      <c r="N8145" s="5"/>
      <c r="O8145" s="5"/>
    </row>
    <row r="8146">
      <c r="A8146" s="6"/>
      <c r="C8146" s="6"/>
      <c r="L8146" s="7"/>
      <c r="M8146" s="5"/>
      <c r="N8146" s="5"/>
      <c r="O8146" s="5"/>
    </row>
    <row r="8147">
      <c r="A8147" s="6"/>
      <c r="C8147" s="6"/>
      <c r="L8147" s="7"/>
      <c r="M8147" s="5"/>
      <c r="N8147" s="5"/>
      <c r="O8147" s="5"/>
    </row>
    <row r="8148">
      <c r="A8148" s="6"/>
      <c r="C8148" s="6"/>
      <c r="L8148" s="7"/>
      <c r="M8148" s="5"/>
      <c r="N8148" s="5"/>
      <c r="O8148" s="5"/>
    </row>
    <row r="8149">
      <c r="A8149" s="6"/>
      <c r="C8149" s="6"/>
      <c r="L8149" s="7"/>
      <c r="M8149" s="5"/>
      <c r="N8149" s="5"/>
      <c r="O8149" s="5"/>
    </row>
    <row r="8150">
      <c r="A8150" s="6"/>
      <c r="C8150" s="6"/>
      <c r="L8150" s="7"/>
      <c r="M8150" s="5"/>
      <c r="N8150" s="5"/>
      <c r="O8150" s="5"/>
    </row>
    <row r="8151">
      <c r="A8151" s="6"/>
      <c r="C8151" s="6"/>
      <c r="L8151" s="7"/>
      <c r="M8151" s="5"/>
      <c r="N8151" s="5"/>
      <c r="O8151" s="5"/>
    </row>
    <row r="8152">
      <c r="A8152" s="6"/>
      <c r="C8152" s="6"/>
      <c r="L8152" s="7"/>
      <c r="M8152" s="5"/>
      <c r="N8152" s="5"/>
      <c r="O8152" s="5"/>
    </row>
    <row r="8153">
      <c r="A8153" s="6"/>
      <c r="C8153" s="6"/>
      <c r="L8153" s="7"/>
      <c r="M8153" s="5"/>
      <c r="N8153" s="5"/>
      <c r="O8153" s="5"/>
    </row>
    <row r="8154">
      <c r="A8154" s="6"/>
      <c r="C8154" s="6"/>
      <c r="L8154" s="7"/>
      <c r="M8154" s="5"/>
      <c r="N8154" s="5"/>
      <c r="O8154" s="5"/>
    </row>
    <row r="8155">
      <c r="A8155" s="6"/>
      <c r="C8155" s="6"/>
      <c r="L8155" s="7"/>
      <c r="M8155" s="5"/>
      <c r="N8155" s="5"/>
      <c r="O8155" s="5"/>
    </row>
    <row r="8156">
      <c r="A8156" s="6"/>
      <c r="C8156" s="6"/>
      <c r="L8156" s="7"/>
      <c r="M8156" s="5"/>
      <c r="N8156" s="5"/>
      <c r="O8156" s="5"/>
    </row>
    <row r="8157">
      <c r="A8157" s="6"/>
      <c r="C8157" s="6"/>
      <c r="L8157" s="7"/>
      <c r="M8157" s="5"/>
      <c r="N8157" s="5"/>
      <c r="O8157" s="5"/>
    </row>
    <row r="8158">
      <c r="A8158" s="6"/>
      <c r="C8158" s="6"/>
      <c r="L8158" s="7"/>
      <c r="M8158" s="5"/>
      <c r="N8158" s="5"/>
      <c r="O8158" s="5"/>
    </row>
    <row r="8159">
      <c r="A8159" s="6"/>
      <c r="C8159" s="6"/>
      <c r="L8159" s="7"/>
      <c r="M8159" s="5"/>
      <c r="N8159" s="5"/>
      <c r="O8159" s="5"/>
    </row>
    <row r="8160">
      <c r="A8160" s="6"/>
      <c r="C8160" s="6"/>
      <c r="L8160" s="7"/>
      <c r="M8160" s="5"/>
      <c r="N8160" s="5"/>
      <c r="O8160" s="5"/>
    </row>
    <row r="8161">
      <c r="A8161" s="6"/>
      <c r="C8161" s="6"/>
      <c r="L8161" s="7"/>
      <c r="M8161" s="5"/>
      <c r="N8161" s="5"/>
      <c r="O8161" s="5"/>
    </row>
    <row r="8162">
      <c r="A8162" s="6"/>
      <c r="C8162" s="6"/>
      <c r="L8162" s="7"/>
      <c r="M8162" s="5"/>
      <c r="N8162" s="5"/>
      <c r="O8162" s="5"/>
    </row>
    <row r="8163">
      <c r="A8163" s="6"/>
      <c r="C8163" s="6"/>
      <c r="L8163" s="7"/>
      <c r="M8163" s="5"/>
      <c r="N8163" s="5"/>
      <c r="O8163" s="5"/>
    </row>
    <row r="8164">
      <c r="A8164" s="6"/>
      <c r="C8164" s="6"/>
      <c r="L8164" s="7"/>
      <c r="M8164" s="5"/>
      <c r="N8164" s="5"/>
      <c r="O8164" s="5"/>
    </row>
    <row r="8165">
      <c r="A8165" s="6"/>
      <c r="C8165" s="6"/>
      <c r="L8165" s="7"/>
      <c r="M8165" s="5"/>
      <c r="N8165" s="5"/>
      <c r="O8165" s="5"/>
    </row>
    <row r="8166">
      <c r="A8166" s="6"/>
      <c r="C8166" s="6"/>
      <c r="L8166" s="7"/>
      <c r="M8166" s="5"/>
      <c r="N8166" s="5"/>
      <c r="O8166" s="5"/>
    </row>
    <row r="8167">
      <c r="A8167" s="6"/>
      <c r="C8167" s="6"/>
      <c r="L8167" s="7"/>
      <c r="M8167" s="5"/>
      <c r="N8167" s="5"/>
      <c r="O8167" s="5"/>
    </row>
    <row r="8168">
      <c r="A8168" s="6"/>
      <c r="C8168" s="6"/>
      <c r="L8168" s="7"/>
      <c r="M8168" s="5"/>
      <c r="N8168" s="5"/>
      <c r="O8168" s="5"/>
    </row>
    <row r="8169">
      <c r="A8169" s="6"/>
      <c r="C8169" s="6"/>
      <c r="L8169" s="7"/>
      <c r="M8169" s="5"/>
      <c r="N8169" s="5"/>
      <c r="O8169" s="5"/>
    </row>
    <row r="8170">
      <c r="A8170" s="6"/>
      <c r="C8170" s="6"/>
      <c r="L8170" s="7"/>
      <c r="M8170" s="5"/>
      <c r="N8170" s="5"/>
      <c r="O8170" s="5"/>
    </row>
    <row r="8171">
      <c r="A8171" s="6"/>
      <c r="C8171" s="6"/>
      <c r="L8171" s="7"/>
      <c r="M8171" s="5"/>
      <c r="N8171" s="5"/>
      <c r="O8171" s="5"/>
    </row>
    <row r="8172">
      <c r="A8172" s="6"/>
      <c r="C8172" s="6"/>
      <c r="L8172" s="7"/>
      <c r="M8172" s="5"/>
      <c r="N8172" s="5"/>
      <c r="O8172" s="5"/>
    </row>
    <row r="8173">
      <c r="A8173" s="6"/>
      <c r="C8173" s="6"/>
      <c r="L8173" s="7"/>
      <c r="M8173" s="5"/>
      <c r="N8173" s="5"/>
      <c r="O8173" s="5"/>
    </row>
    <row r="8174">
      <c r="A8174" s="6"/>
      <c r="C8174" s="6"/>
      <c r="L8174" s="7"/>
      <c r="M8174" s="5"/>
      <c r="N8174" s="5"/>
      <c r="O8174" s="5"/>
    </row>
    <row r="8175">
      <c r="A8175" s="6"/>
      <c r="C8175" s="6"/>
      <c r="L8175" s="7"/>
      <c r="M8175" s="5"/>
      <c r="N8175" s="5"/>
      <c r="O8175" s="5"/>
    </row>
    <row r="8176">
      <c r="A8176" s="6"/>
      <c r="C8176" s="6"/>
      <c r="L8176" s="7"/>
      <c r="M8176" s="5"/>
      <c r="N8176" s="5"/>
      <c r="O8176" s="5"/>
    </row>
    <row r="8177">
      <c r="A8177" s="6"/>
      <c r="C8177" s="6"/>
      <c r="L8177" s="7"/>
      <c r="M8177" s="5"/>
      <c r="N8177" s="5"/>
      <c r="O8177" s="5"/>
    </row>
    <row r="8178">
      <c r="A8178" s="6"/>
      <c r="C8178" s="6"/>
      <c r="L8178" s="7"/>
      <c r="M8178" s="5"/>
      <c r="N8178" s="5"/>
      <c r="O8178" s="5"/>
    </row>
    <row r="8179">
      <c r="A8179" s="6"/>
      <c r="C8179" s="6"/>
      <c r="L8179" s="7"/>
      <c r="M8179" s="5"/>
      <c r="N8179" s="5"/>
      <c r="O8179" s="5"/>
    </row>
    <row r="8180">
      <c r="A8180" s="6"/>
      <c r="C8180" s="6"/>
      <c r="L8180" s="7"/>
      <c r="M8180" s="5"/>
      <c r="N8180" s="5"/>
      <c r="O8180" s="5"/>
    </row>
    <row r="8181">
      <c r="A8181" s="6"/>
      <c r="C8181" s="6"/>
      <c r="L8181" s="7"/>
      <c r="M8181" s="5"/>
      <c r="N8181" s="5"/>
      <c r="O8181" s="5"/>
    </row>
    <row r="8182">
      <c r="A8182" s="6"/>
      <c r="C8182" s="6"/>
      <c r="L8182" s="7"/>
      <c r="M8182" s="5"/>
      <c r="N8182" s="5"/>
      <c r="O8182" s="5"/>
    </row>
    <row r="8183">
      <c r="A8183" s="6"/>
      <c r="C8183" s="6"/>
      <c r="L8183" s="7"/>
      <c r="M8183" s="5"/>
      <c r="N8183" s="5"/>
      <c r="O8183" s="5"/>
    </row>
    <row r="8184">
      <c r="A8184" s="6"/>
      <c r="C8184" s="6"/>
      <c r="L8184" s="7"/>
      <c r="M8184" s="5"/>
      <c r="N8184" s="5"/>
      <c r="O8184" s="5"/>
    </row>
    <row r="8185">
      <c r="A8185" s="6"/>
      <c r="C8185" s="6"/>
      <c r="L8185" s="7"/>
      <c r="M8185" s="5"/>
      <c r="N8185" s="5"/>
      <c r="O8185" s="5"/>
    </row>
    <row r="8186">
      <c r="A8186" s="6"/>
      <c r="C8186" s="6"/>
      <c r="L8186" s="7"/>
      <c r="M8186" s="5"/>
      <c r="N8186" s="5"/>
      <c r="O8186" s="5"/>
    </row>
    <row r="8187">
      <c r="A8187" s="6"/>
      <c r="C8187" s="6"/>
      <c r="L8187" s="7"/>
      <c r="M8187" s="5"/>
      <c r="N8187" s="5"/>
      <c r="O8187" s="5"/>
    </row>
    <row r="8188">
      <c r="A8188" s="6"/>
      <c r="C8188" s="6"/>
      <c r="L8188" s="7"/>
      <c r="M8188" s="5"/>
      <c r="N8188" s="5"/>
      <c r="O8188" s="5"/>
    </row>
    <row r="8189">
      <c r="A8189" s="6"/>
      <c r="C8189" s="6"/>
      <c r="L8189" s="7"/>
      <c r="M8189" s="5"/>
      <c r="N8189" s="5"/>
      <c r="O8189" s="5"/>
    </row>
    <row r="8190">
      <c r="A8190" s="6"/>
      <c r="C8190" s="6"/>
      <c r="L8190" s="7"/>
      <c r="M8190" s="5"/>
      <c r="N8190" s="5"/>
      <c r="O8190" s="5"/>
    </row>
    <row r="8191">
      <c r="A8191" s="6"/>
      <c r="C8191" s="6"/>
      <c r="L8191" s="7"/>
      <c r="M8191" s="5"/>
      <c r="N8191" s="5"/>
      <c r="O8191" s="5"/>
    </row>
    <row r="8192">
      <c r="A8192" s="6"/>
      <c r="C8192" s="6"/>
      <c r="L8192" s="7"/>
      <c r="M8192" s="5"/>
      <c r="N8192" s="5"/>
      <c r="O8192" s="5"/>
    </row>
    <row r="8193">
      <c r="A8193" s="6"/>
      <c r="C8193" s="6"/>
      <c r="L8193" s="7"/>
      <c r="M8193" s="5"/>
      <c r="N8193" s="5"/>
      <c r="O8193" s="5"/>
    </row>
    <row r="8194">
      <c r="A8194" s="6"/>
      <c r="C8194" s="6"/>
      <c r="L8194" s="7"/>
      <c r="M8194" s="5"/>
      <c r="N8194" s="5"/>
      <c r="O8194" s="5"/>
    </row>
    <row r="8195">
      <c r="A8195" s="6"/>
      <c r="C8195" s="6"/>
      <c r="L8195" s="7"/>
      <c r="M8195" s="5"/>
      <c r="N8195" s="5"/>
      <c r="O8195" s="5"/>
    </row>
    <row r="8196">
      <c r="A8196" s="6"/>
      <c r="C8196" s="6"/>
      <c r="L8196" s="7"/>
      <c r="M8196" s="5"/>
      <c r="N8196" s="5"/>
      <c r="O8196" s="5"/>
    </row>
    <row r="8197">
      <c r="A8197" s="6"/>
      <c r="C8197" s="6"/>
      <c r="L8197" s="7"/>
      <c r="M8197" s="5"/>
      <c r="N8197" s="5"/>
      <c r="O8197" s="5"/>
    </row>
    <row r="8198">
      <c r="A8198" s="6"/>
      <c r="C8198" s="6"/>
      <c r="L8198" s="7"/>
      <c r="M8198" s="5"/>
      <c r="N8198" s="5"/>
      <c r="O8198" s="5"/>
    </row>
    <row r="8199">
      <c r="A8199" s="6"/>
      <c r="C8199" s="6"/>
      <c r="L8199" s="7"/>
      <c r="M8199" s="5"/>
      <c r="N8199" s="5"/>
      <c r="O8199" s="5"/>
    </row>
    <row r="8200">
      <c r="A8200" s="6"/>
      <c r="C8200" s="6"/>
      <c r="L8200" s="7"/>
      <c r="M8200" s="5"/>
      <c r="N8200" s="5"/>
      <c r="O8200" s="5"/>
    </row>
    <row r="8201">
      <c r="A8201" s="6"/>
      <c r="C8201" s="6"/>
      <c r="L8201" s="7"/>
      <c r="M8201" s="5"/>
      <c r="N8201" s="5"/>
      <c r="O8201" s="5"/>
    </row>
    <row r="8202">
      <c r="A8202" s="6"/>
      <c r="C8202" s="6"/>
      <c r="L8202" s="7"/>
      <c r="M8202" s="5"/>
      <c r="N8202" s="5"/>
      <c r="O8202" s="5"/>
    </row>
    <row r="8203">
      <c r="A8203" s="6"/>
      <c r="C8203" s="6"/>
      <c r="L8203" s="7"/>
      <c r="M8203" s="5"/>
      <c r="N8203" s="5"/>
      <c r="O8203" s="5"/>
    </row>
    <row r="8204">
      <c r="A8204" s="6"/>
      <c r="C8204" s="6"/>
      <c r="L8204" s="7"/>
      <c r="M8204" s="5"/>
      <c r="N8204" s="5"/>
      <c r="O8204" s="5"/>
    </row>
    <row r="8205">
      <c r="A8205" s="6"/>
      <c r="C8205" s="6"/>
      <c r="L8205" s="7"/>
      <c r="M8205" s="5"/>
      <c r="N8205" s="5"/>
      <c r="O8205" s="5"/>
    </row>
    <row r="8206">
      <c r="A8206" s="6"/>
      <c r="C8206" s="6"/>
      <c r="L8206" s="7"/>
      <c r="M8206" s="5"/>
      <c r="N8206" s="5"/>
      <c r="O8206" s="5"/>
    </row>
    <row r="8207">
      <c r="A8207" s="6"/>
      <c r="C8207" s="6"/>
      <c r="L8207" s="7"/>
      <c r="M8207" s="5"/>
      <c r="N8207" s="5"/>
      <c r="O8207" s="5"/>
    </row>
    <row r="8208">
      <c r="A8208" s="6"/>
      <c r="C8208" s="6"/>
      <c r="L8208" s="7"/>
      <c r="M8208" s="5"/>
      <c r="N8208" s="5"/>
      <c r="O8208" s="5"/>
    </row>
    <row r="8209">
      <c r="A8209" s="6"/>
      <c r="C8209" s="6"/>
      <c r="L8209" s="7"/>
      <c r="M8209" s="5"/>
      <c r="N8209" s="5"/>
      <c r="O8209" s="5"/>
    </row>
    <row r="8210">
      <c r="A8210" s="6"/>
      <c r="C8210" s="6"/>
      <c r="L8210" s="7"/>
      <c r="M8210" s="5"/>
      <c r="N8210" s="5"/>
      <c r="O8210" s="5"/>
    </row>
    <row r="8211">
      <c r="A8211" s="6"/>
      <c r="C8211" s="6"/>
      <c r="L8211" s="7"/>
      <c r="M8211" s="5"/>
      <c r="N8211" s="5"/>
      <c r="O8211" s="5"/>
    </row>
    <row r="8212">
      <c r="A8212" s="6"/>
      <c r="C8212" s="6"/>
      <c r="L8212" s="7"/>
      <c r="M8212" s="5"/>
      <c r="N8212" s="5"/>
      <c r="O8212" s="5"/>
    </row>
    <row r="8213">
      <c r="A8213" s="6"/>
      <c r="C8213" s="6"/>
      <c r="L8213" s="7"/>
      <c r="M8213" s="5"/>
      <c r="N8213" s="5"/>
      <c r="O8213" s="5"/>
    </row>
    <row r="8214">
      <c r="A8214" s="6"/>
      <c r="C8214" s="6"/>
      <c r="L8214" s="7"/>
      <c r="M8214" s="5"/>
      <c r="N8214" s="5"/>
      <c r="O8214" s="5"/>
    </row>
    <row r="8215">
      <c r="A8215" s="6"/>
      <c r="C8215" s="6"/>
      <c r="L8215" s="7"/>
      <c r="M8215" s="5"/>
      <c r="N8215" s="5"/>
      <c r="O8215" s="5"/>
    </row>
    <row r="8216">
      <c r="A8216" s="6"/>
      <c r="C8216" s="6"/>
      <c r="L8216" s="7"/>
      <c r="M8216" s="5"/>
      <c r="N8216" s="5"/>
      <c r="O8216" s="5"/>
    </row>
    <row r="8217">
      <c r="A8217" s="6"/>
      <c r="C8217" s="6"/>
      <c r="L8217" s="7"/>
      <c r="M8217" s="5"/>
      <c r="N8217" s="5"/>
      <c r="O8217" s="5"/>
    </row>
    <row r="8218">
      <c r="A8218" s="6"/>
      <c r="C8218" s="6"/>
      <c r="L8218" s="7"/>
      <c r="M8218" s="5"/>
      <c r="N8218" s="5"/>
      <c r="O8218" s="5"/>
    </row>
    <row r="8219">
      <c r="A8219" s="6"/>
      <c r="C8219" s="6"/>
      <c r="L8219" s="7"/>
      <c r="M8219" s="5"/>
      <c r="N8219" s="5"/>
      <c r="O8219" s="5"/>
    </row>
    <row r="8220">
      <c r="A8220" s="6"/>
      <c r="C8220" s="6"/>
      <c r="L8220" s="7"/>
      <c r="M8220" s="5"/>
      <c r="N8220" s="5"/>
      <c r="O8220" s="5"/>
    </row>
    <row r="8221">
      <c r="A8221" s="6"/>
      <c r="C8221" s="6"/>
      <c r="L8221" s="7"/>
      <c r="M8221" s="5"/>
      <c r="N8221" s="5"/>
      <c r="O8221" s="5"/>
    </row>
    <row r="8222">
      <c r="A8222" s="6"/>
      <c r="C8222" s="6"/>
      <c r="L8222" s="7"/>
      <c r="M8222" s="5"/>
      <c r="N8222" s="5"/>
      <c r="O8222" s="5"/>
    </row>
    <row r="8223">
      <c r="A8223" s="6"/>
      <c r="C8223" s="6"/>
      <c r="L8223" s="7"/>
      <c r="M8223" s="5"/>
      <c r="N8223" s="5"/>
      <c r="O8223" s="5"/>
    </row>
    <row r="8224">
      <c r="A8224" s="6"/>
      <c r="C8224" s="6"/>
      <c r="L8224" s="7"/>
      <c r="M8224" s="5"/>
      <c r="N8224" s="5"/>
      <c r="O8224" s="5"/>
    </row>
    <row r="8225">
      <c r="A8225" s="6"/>
      <c r="C8225" s="6"/>
      <c r="L8225" s="7"/>
      <c r="M8225" s="5"/>
      <c r="N8225" s="5"/>
      <c r="O8225" s="5"/>
    </row>
    <row r="8226">
      <c r="A8226" s="6"/>
      <c r="C8226" s="6"/>
      <c r="L8226" s="7"/>
      <c r="M8226" s="5"/>
      <c r="N8226" s="5"/>
      <c r="O8226" s="5"/>
    </row>
    <row r="8227">
      <c r="A8227" s="6"/>
      <c r="C8227" s="6"/>
      <c r="L8227" s="7"/>
      <c r="M8227" s="5"/>
      <c r="N8227" s="5"/>
      <c r="O8227" s="5"/>
    </row>
    <row r="8228">
      <c r="A8228" s="6"/>
      <c r="C8228" s="6"/>
      <c r="L8228" s="7"/>
      <c r="M8228" s="5"/>
      <c r="N8228" s="5"/>
      <c r="O8228" s="5"/>
    </row>
    <row r="8229">
      <c r="A8229" s="6"/>
      <c r="C8229" s="6"/>
      <c r="L8229" s="7"/>
      <c r="M8229" s="5"/>
      <c r="N8229" s="5"/>
      <c r="O8229" s="5"/>
    </row>
    <row r="8230">
      <c r="A8230" s="6"/>
      <c r="C8230" s="6"/>
      <c r="L8230" s="7"/>
      <c r="M8230" s="5"/>
      <c r="N8230" s="5"/>
      <c r="O8230" s="5"/>
    </row>
    <row r="8231">
      <c r="A8231" s="6"/>
      <c r="C8231" s="6"/>
      <c r="L8231" s="7"/>
      <c r="M8231" s="5"/>
      <c r="N8231" s="5"/>
      <c r="O8231" s="5"/>
    </row>
    <row r="8232">
      <c r="A8232" s="6"/>
      <c r="C8232" s="6"/>
      <c r="L8232" s="7"/>
      <c r="M8232" s="5"/>
      <c r="N8232" s="5"/>
      <c r="O8232" s="5"/>
    </row>
    <row r="8233">
      <c r="A8233" s="6"/>
      <c r="C8233" s="6"/>
      <c r="L8233" s="7"/>
      <c r="M8233" s="5"/>
      <c r="N8233" s="5"/>
      <c r="O8233" s="5"/>
    </row>
    <row r="8234">
      <c r="A8234" s="6"/>
      <c r="C8234" s="6"/>
      <c r="L8234" s="7"/>
      <c r="M8234" s="5"/>
      <c r="N8234" s="5"/>
      <c r="O8234" s="5"/>
    </row>
    <row r="8235">
      <c r="A8235" s="6"/>
      <c r="C8235" s="6"/>
      <c r="L8235" s="7"/>
      <c r="M8235" s="5"/>
      <c r="N8235" s="5"/>
      <c r="O8235" s="5"/>
    </row>
    <row r="8236">
      <c r="A8236" s="6"/>
      <c r="C8236" s="6"/>
      <c r="L8236" s="7"/>
      <c r="M8236" s="5"/>
      <c r="N8236" s="5"/>
      <c r="O8236" s="5"/>
    </row>
    <row r="8237">
      <c r="A8237" s="6"/>
      <c r="C8237" s="6"/>
      <c r="L8237" s="7"/>
      <c r="M8237" s="5"/>
      <c r="N8237" s="5"/>
      <c r="O8237" s="5"/>
    </row>
    <row r="8238">
      <c r="A8238" s="6"/>
      <c r="C8238" s="6"/>
      <c r="L8238" s="7"/>
      <c r="M8238" s="5"/>
      <c r="N8238" s="5"/>
      <c r="O8238" s="5"/>
    </row>
    <row r="8239">
      <c r="A8239" s="6"/>
      <c r="C8239" s="6"/>
      <c r="L8239" s="7"/>
      <c r="M8239" s="5"/>
      <c r="N8239" s="5"/>
      <c r="O8239" s="5"/>
    </row>
    <row r="8240">
      <c r="A8240" s="6"/>
      <c r="C8240" s="6"/>
      <c r="L8240" s="7"/>
      <c r="M8240" s="5"/>
      <c r="N8240" s="5"/>
      <c r="O8240" s="5"/>
    </row>
    <row r="8241">
      <c r="A8241" s="6"/>
      <c r="C8241" s="6"/>
      <c r="L8241" s="7"/>
      <c r="M8241" s="5"/>
      <c r="N8241" s="5"/>
      <c r="O8241" s="5"/>
    </row>
    <row r="8242">
      <c r="A8242" s="6"/>
      <c r="C8242" s="6"/>
      <c r="L8242" s="7"/>
      <c r="M8242" s="5"/>
      <c r="N8242" s="5"/>
      <c r="O8242" s="5"/>
    </row>
    <row r="8243">
      <c r="A8243" s="6"/>
      <c r="C8243" s="6"/>
      <c r="L8243" s="7"/>
      <c r="M8243" s="5"/>
      <c r="N8243" s="5"/>
      <c r="O8243" s="5"/>
    </row>
    <row r="8244">
      <c r="A8244" s="6"/>
      <c r="C8244" s="6"/>
      <c r="L8244" s="7"/>
      <c r="M8244" s="5"/>
      <c r="N8244" s="5"/>
      <c r="O8244" s="5"/>
    </row>
    <row r="8245">
      <c r="A8245" s="6"/>
      <c r="C8245" s="6"/>
      <c r="L8245" s="7"/>
      <c r="M8245" s="5"/>
      <c r="N8245" s="5"/>
      <c r="O8245" s="5"/>
    </row>
    <row r="8246">
      <c r="A8246" s="6"/>
      <c r="C8246" s="6"/>
      <c r="L8246" s="7"/>
      <c r="M8246" s="5"/>
      <c r="N8246" s="5"/>
      <c r="O8246" s="5"/>
    </row>
    <row r="8247">
      <c r="A8247" s="6"/>
      <c r="C8247" s="6"/>
      <c r="L8247" s="7"/>
      <c r="M8247" s="5"/>
      <c r="N8247" s="5"/>
      <c r="O8247" s="5"/>
    </row>
    <row r="8248">
      <c r="A8248" s="6"/>
      <c r="C8248" s="6"/>
      <c r="L8248" s="7"/>
      <c r="M8248" s="5"/>
      <c r="N8248" s="5"/>
      <c r="O8248" s="5"/>
    </row>
    <row r="8249">
      <c r="A8249" s="6"/>
      <c r="C8249" s="6"/>
      <c r="L8249" s="7"/>
      <c r="M8249" s="5"/>
      <c r="N8249" s="5"/>
      <c r="O8249" s="5"/>
    </row>
    <row r="8250">
      <c r="A8250" s="6"/>
      <c r="C8250" s="6"/>
      <c r="L8250" s="7"/>
      <c r="M8250" s="5"/>
      <c r="N8250" s="5"/>
      <c r="O8250" s="5"/>
    </row>
    <row r="8251">
      <c r="A8251" s="6"/>
      <c r="C8251" s="6"/>
      <c r="L8251" s="7"/>
      <c r="M8251" s="5"/>
      <c r="N8251" s="5"/>
      <c r="O8251" s="5"/>
    </row>
    <row r="8252">
      <c r="A8252" s="6"/>
      <c r="C8252" s="6"/>
      <c r="L8252" s="7"/>
      <c r="M8252" s="5"/>
      <c r="N8252" s="5"/>
      <c r="O8252" s="5"/>
    </row>
    <row r="8253">
      <c r="A8253" s="6"/>
      <c r="C8253" s="6"/>
      <c r="L8253" s="7"/>
      <c r="M8253" s="5"/>
      <c r="N8253" s="5"/>
      <c r="O8253" s="5"/>
    </row>
    <row r="8254">
      <c r="A8254" s="6"/>
      <c r="C8254" s="6"/>
      <c r="L8254" s="7"/>
      <c r="M8254" s="5"/>
      <c r="N8254" s="5"/>
      <c r="O8254" s="5"/>
    </row>
    <row r="8255">
      <c r="A8255" s="6"/>
      <c r="C8255" s="6"/>
      <c r="L8255" s="7"/>
      <c r="M8255" s="5"/>
      <c r="N8255" s="5"/>
      <c r="O8255" s="5"/>
    </row>
    <row r="8256">
      <c r="A8256" s="6"/>
      <c r="C8256" s="6"/>
      <c r="L8256" s="7"/>
      <c r="M8256" s="5"/>
      <c r="N8256" s="5"/>
      <c r="O8256" s="5"/>
    </row>
    <row r="8257">
      <c r="A8257" s="6"/>
      <c r="C8257" s="6"/>
      <c r="L8257" s="7"/>
      <c r="M8257" s="5"/>
      <c r="N8257" s="5"/>
      <c r="O8257" s="5"/>
    </row>
    <row r="8258">
      <c r="A8258" s="6"/>
      <c r="C8258" s="6"/>
      <c r="L8258" s="7"/>
      <c r="M8258" s="5"/>
      <c r="N8258" s="5"/>
      <c r="O8258" s="5"/>
    </row>
    <row r="8259">
      <c r="A8259" s="6"/>
      <c r="C8259" s="6"/>
      <c r="L8259" s="7"/>
      <c r="M8259" s="5"/>
      <c r="N8259" s="5"/>
      <c r="O8259" s="5"/>
    </row>
    <row r="8260">
      <c r="A8260" s="6"/>
      <c r="C8260" s="6"/>
      <c r="L8260" s="7"/>
      <c r="M8260" s="5"/>
      <c r="N8260" s="5"/>
      <c r="O8260" s="5"/>
    </row>
    <row r="8261">
      <c r="A8261" s="6"/>
      <c r="C8261" s="6"/>
      <c r="L8261" s="7"/>
      <c r="M8261" s="5"/>
      <c r="N8261" s="5"/>
      <c r="O8261" s="5"/>
    </row>
    <row r="8262">
      <c r="A8262" s="6"/>
      <c r="C8262" s="6"/>
      <c r="L8262" s="7"/>
      <c r="M8262" s="5"/>
      <c r="N8262" s="5"/>
      <c r="O8262" s="5"/>
    </row>
    <row r="8263">
      <c r="A8263" s="6"/>
      <c r="C8263" s="6"/>
      <c r="L8263" s="7"/>
      <c r="M8263" s="5"/>
      <c r="N8263" s="5"/>
      <c r="O8263" s="5"/>
    </row>
    <row r="8264">
      <c r="A8264" s="6"/>
      <c r="C8264" s="6"/>
      <c r="L8264" s="7"/>
      <c r="M8264" s="5"/>
      <c r="N8264" s="5"/>
      <c r="O8264" s="5"/>
    </row>
    <row r="8265">
      <c r="A8265" s="6"/>
      <c r="C8265" s="6"/>
      <c r="L8265" s="7"/>
      <c r="M8265" s="5"/>
      <c r="N8265" s="5"/>
      <c r="O8265" s="5"/>
    </row>
    <row r="8266">
      <c r="A8266" s="6"/>
      <c r="C8266" s="6"/>
      <c r="L8266" s="7"/>
      <c r="M8266" s="5"/>
      <c r="N8266" s="5"/>
      <c r="O8266" s="5"/>
    </row>
    <row r="8267">
      <c r="A8267" s="6"/>
      <c r="C8267" s="6"/>
      <c r="L8267" s="7"/>
      <c r="M8267" s="5"/>
      <c r="N8267" s="5"/>
      <c r="O8267" s="5"/>
    </row>
    <row r="8268">
      <c r="A8268" s="6"/>
      <c r="C8268" s="6"/>
      <c r="L8268" s="7"/>
      <c r="M8268" s="5"/>
      <c r="N8268" s="5"/>
      <c r="O8268" s="5"/>
    </row>
    <row r="8269">
      <c r="A8269" s="6"/>
      <c r="C8269" s="6"/>
      <c r="L8269" s="7"/>
      <c r="M8269" s="5"/>
      <c r="N8269" s="5"/>
      <c r="O8269" s="5"/>
    </row>
    <row r="8270">
      <c r="A8270" s="6"/>
      <c r="C8270" s="6"/>
      <c r="L8270" s="7"/>
      <c r="M8270" s="5"/>
      <c r="N8270" s="5"/>
      <c r="O8270" s="5"/>
    </row>
    <row r="8271">
      <c r="A8271" s="6"/>
      <c r="C8271" s="6"/>
      <c r="L8271" s="7"/>
      <c r="M8271" s="5"/>
      <c r="N8271" s="5"/>
      <c r="O8271" s="5"/>
    </row>
    <row r="8272">
      <c r="A8272" s="6"/>
      <c r="C8272" s="6"/>
      <c r="L8272" s="7"/>
      <c r="M8272" s="5"/>
      <c r="N8272" s="5"/>
      <c r="O8272" s="5"/>
    </row>
    <row r="8273">
      <c r="A8273" s="6"/>
      <c r="C8273" s="6"/>
      <c r="L8273" s="7"/>
      <c r="M8273" s="5"/>
      <c r="N8273" s="5"/>
      <c r="O8273" s="5"/>
    </row>
    <row r="8274">
      <c r="A8274" s="6"/>
      <c r="C8274" s="6"/>
      <c r="L8274" s="7"/>
      <c r="M8274" s="5"/>
      <c r="N8274" s="5"/>
      <c r="O8274" s="5"/>
    </row>
    <row r="8275">
      <c r="A8275" s="6"/>
      <c r="C8275" s="6"/>
      <c r="L8275" s="7"/>
      <c r="M8275" s="5"/>
      <c r="N8275" s="5"/>
      <c r="O8275" s="5"/>
    </row>
    <row r="8276">
      <c r="A8276" s="6"/>
      <c r="C8276" s="6"/>
      <c r="L8276" s="7"/>
      <c r="M8276" s="5"/>
      <c r="N8276" s="5"/>
      <c r="O8276" s="5"/>
    </row>
    <row r="8277">
      <c r="A8277" s="6"/>
      <c r="C8277" s="6"/>
      <c r="L8277" s="7"/>
      <c r="M8277" s="5"/>
      <c r="N8277" s="5"/>
      <c r="O8277" s="5"/>
    </row>
    <row r="8278">
      <c r="A8278" s="6"/>
      <c r="C8278" s="6"/>
      <c r="L8278" s="7"/>
      <c r="M8278" s="5"/>
      <c r="N8278" s="5"/>
      <c r="O8278" s="5"/>
    </row>
    <row r="8279">
      <c r="A8279" s="6"/>
      <c r="C8279" s="6"/>
      <c r="L8279" s="7"/>
      <c r="M8279" s="5"/>
      <c r="N8279" s="5"/>
      <c r="O8279" s="5"/>
    </row>
    <row r="8280">
      <c r="A8280" s="6"/>
      <c r="C8280" s="6"/>
      <c r="L8280" s="7"/>
      <c r="M8280" s="5"/>
      <c r="N8280" s="5"/>
      <c r="O8280" s="5"/>
    </row>
    <row r="8281">
      <c r="A8281" s="6"/>
      <c r="C8281" s="6"/>
      <c r="L8281" s="7"/>
      <c r="M8281" s="5"/>
      <c r="N8281" s="5"/>
      <c r="O8281" s="5"/>
    </row>
    <row r="8282">
      <c r="A8282" s="6"/>
      <c r="C8282" s="6"/>
      <c r="L8282" s="7"/>
      <c r="M8282" s="5"/>
      <c r="N8282" s="5"/>
      <c r="O8282" s="5"/>
    </row>
    <row r="8283">
      <c r="A8283" s="6"/>
      <c r="C8283" s="6"/>
      <c r="L8283" s="7"/>
      <c r="M8283" s="5"/>
      <c r="N8283" s="5"/>
      <c r="O8283" s="5"/>
    </row>
    <row r="8284">
      <c r="A8284" s="6"/>
      <c r="C8284" s="6"/>
      <c r="L8284" s="7"/>
      <c r="M8284" s="5"/>
      <c r="N8284" s="5"/>
      <c r="O8284" s="5"/>
    </row>
    <row r="8285">
      <c r="A8285" s="6"/>
      <c r="C8285" s="6"/>
      <c r="L8285" s="7"/>
      <c r="M8285" s="5"/>
      <c r="N8285" s="5"/>
      <c r="O8285" s="5"/>
    </row>
    <row r="8286">
      <c r="A8286" s="6"/>
      <c r="C8286" s="6"/>
      <c r="L8286" s="7"/>
      <c r="M8286" s="5"/>
      <c r="N8286" s="5"/>
      <c r="O8286" s="5"/>
    </row>
    <row r="8287">
      <c r="A8287" s="6"/>
      <c r="C8287" s="6"/>
      <c r="L8287" s="7"/>
      <c r="M8287" s="5"/>
      <c r="N8287" s="5"/>
      <c r="O8287" s="5"/>
    </row>
    <row r="8288">
      <c r="A8288" s="6"/>
      <c r="C8288" s="6"/>
      <c r="L8288" s="7"/>
      <c r="M8288" s="5"/>
      <c r="N8288" s="5"/>
      <c r="O8288" s="5"/>
    </row>
    <row r="8289">
      <c r="A8289" s="6"/>
      <c r="C8289" s="6"/>
      <c r="L8289" s="7"/>
      <c r="M8289" s="5"/>
      <c r="N8289" s="5"/>
      <c r="O8289" s="5"/>
    </row>
    <row r="8290">
      <c r="A8290" s="6"/>
      <c r="C8290" s="6"/>
      <c r="L8290" s="7"/>
      <c r="M8290" s="5"/>
      <c r="N8290" s="5"/>
      <c r="O8290" s="5"/>
    </row>
    <row r="8291">
      <c r="A8291" s="6"/>
      <c r="C8291" s="6"/>
      <c r="L8291" s="7"/>
      <c r="M8291" s="5"/>
      <c r="N8291" s="5"/>
      <c r="O8291" s="5"/>
    </row>
    <row r="8292">
      <c r="A8292" s="6"/>
      <c r="C8292" s="6"/>
      <c r="L8292" s="7"/>
      <c r="M8292" s="5"/>
      <c r="N8292" s="5"/>
      <c r="O8292" s="5"/>
    </row>
    <row r="8293">
      <c r="A8293" s="6"/>
      <c r="C8293" s="6"/>
      <c r="L8293" s="7"/>
      <c r="M8293" s="5"/>
      <c r="N8293" s="5"/>
      <c r="O8293" s="5"/>
    </row>
    <row r="8294">
      <c r="A8294" s="6"/>
      <c r="C8294" s="6"/>
      <c r="L8294" s="7"/>
      <c r="M8294" s="5"/>
      <c r="N8294" s="5"/>
      <c r="O8294" s="5"/>
    </row>
    <row r="8295">
      <c r="A8295" s="6"/>
      <c r="C8295" s="6"/>
      <c r="L8295" s="7"/>
      <c r="M8295" s="5"/>
      <c r="N8295" s="5"/>
      <c r="O8295" s="5"/>
    </row>
    <row r="8296">
      <c r="A8296" s="6"/>
      <c r="C8296" s="6"/>
      <c r="L8296" s="7"/>
      <c r="M8296" s="5"/>
      <c r="N8296" s="5"/>
      <c r="O8296" s="5"/>
    </row>
    <row r="8297">
      <c r="A8297" s="6"/>
      <c r="C8297" s="6"/>
      <c r="L8297" s="7"/>
      <c r="M8297" s="5"/>
      <c r="N8297" s="5"/>
      <c r="O8297" s="5"/>
    </row>
    <row r="8298">
      <c r="A8298" s="6"/>
      <c r="C8298" s="6"/>
      <c r="L8298" s="7"/>
      <c r="M8298" s="5"/>
      <c r="N8298" s="5"/>
      <c r="O8298" s="5"/>
    </row>
    <row r="8299">
      <c r="A8299" s="6"/>
      <c r="C8299" s="6"/>
      <c r="L8299" s="7"/>
      <c r="M8299" s="5"/>
      <c r="N8299" s="5"/>
      <c r="O8299" s="5"/>
    </row>
    <row r="8300">
      <c r="A8300" s="6"/>
      <c r="C8300" s="6"/>
      <c r="L8300" s="7"/>
      <c r="M8300" s="5"/>
      <c r="N8300" s="5"/>
      <c r="O8300" s="5"/>
    </row>
    <row r="8301">
      <c r="A8301" s="6"/>
      <c r="C8301" s="6"/>
      <c r="L8301" s="7"/>
      <c r="M8301" s="5"/>
      <c r="N8301" s="5"/>
      <c r="O8301" s="5"/>
    </row>
    <row r="8302">
      <c r="A8302" s="6"/>
      <c r="C8302" s="6"/>
      <c r="L8302" s="7"/>
      <c r="M8302" s="5"/>
      <c r="N8302" s="5"/>
      <c r="O8302" s="5"/>
    </row>
    <row r="8303">
      <c r="A8303" s="6"/>
      <c r="C8303" s="6"/>
      <c r="L8303" s="7"/>
      <c r="M8303" s="5"/>
      <c r="N8303" s="5"/>
      <c r="O8303" s="5"/>
    </row>
    <row r="8304">
      <c r="A8304" s="6"/>
      <c r="C8304" s="6"/>
      <c r="L8304" s="7"/>
      <c r="M8304" s="5"/>
      <c r="N8304" s="5"/>
      <c r="O8304" s="5"/>
    </row>
    <row r="8305">
      <c r="A8305" s="6"/>
      <c r="C8305" s="6"/>
      <c r="L8305" s="7"/>
      <c r="M8305" s="5"/>
      <c r="N8305" s="5"/>
      <c r="O8305" s="5"/>
    </row>
    <row r="8306">
      <c r="A8306" s="6"/>
      <c r="C8306" s="6"/>
      <c r="L8306" s="7"/>
      <c r="M8306" s="5"/>
      <c r="N8306" s="5"/>
      <c r="O8306" s="5"/>
    </row>
    <row r="8307">
      <c r="A8307" s="6"/>
      <c r="C8307" s="6"/>
      <c r="L8307" s="7"/>
      <c r="M8307" s="5"/>
      <c r="N8307" s="5"/>
      <c r="O8307" s="5"/>
    </row>
    <row r="8308">
      <c r="A8308" s="6"/>
      <c r="C8308" s="6"/>
      <c r="L8308" s="7"/>
      <c r="M8308" s="5"/>
      <c r="N8308" s="5"/>
      <c r="O8308" s="5"/>
    </row>
    <row r="8309">
      <c r="A8309" s="6"/>
      <c r="C8309" s="6"/>
      <c r="L8309" s="7"/>
      <c r="M8309" s="5"/>
      <c r="N8309" s="5"/>
      <c r="O8309" s="5"/>
    </row>
    <row r="8310">
      <c r="A8310" s="6"/>
      <c r="C8310" s="6"/>
      <c r="L8310" s="7"/>
      <c r="M8310" s="5"/>
      <c r="N8310" s="5"/>
      <c r="O8310" s="5"/>
    </row>
    <row r="8311">
      <c r="A8311" s="6"/>
      <c r="C8311" s="6"/>
      <c r="L8311" s="7"/>
      <c r="M8311" s="5"/>
      <c r="N8311" s="5"/>
      <c r="O8311" s="5"/>
    </row>
    <row r="8312">
      <c r="A8312" s="6"/>
      <c r="C8312" s="6"/>
      <c r="L8312" s="7"/>
      <c r="M8312" s="5"/>
      <c r="N8312" s="5"/>
      <c r="O8312" s="5"/>
    </row>
    <row r="8313">
      <c r="A8313" s="6"/>
      <c r="C8313" s="6"/>
      <c r="L8313" s="7"/>
      <c r="M8313" s="5"/>
      <c r="N8313" s="5"/>
      <c r="O8313" s="5"/>
    </row>
    <row r="8314">
      <c r="A8314" s="6"/>
      <c r="C8314" s="6"/>
      <c r="L8314" s="7"/>
      <c r="M8314" s="5"/>
      <c r="N8314" s="5"/>
      <c r="O8314" s="5"/>
    </row>
    <row r="8315">
      <c r="A8315" s="6"/>
      <c r="C8315" s="6"/>
      <c r="L8315" s="7"/>
      <c r="M8315" s="5"/>
      <c r="N8315" s="5"/>
      <c r="O8315" s="5"/>
    </row>
    <row r="8316">
      <c r="A8316" s="6"/>
      <c r="C8316" s="6"/>
      <c r="L8316" s="7"/>
      <c r="M8316" s="5"/>
      <c r="N8316" s="5"/>
      <c r="O8316" s="5"/>
    </row>
    <row r="8317">
      <c r="A8317" s="6"/>
      <c r="C8317" s="6"/>
      <c r="L8317" s="7"/>
      <c r="M8317" s="5"/>
      <c r="N8317" s="5"/>
      <c r="O8317" s="5"/>
    </row>
    <row r="8318">
      <c r="A8318" s="6"/>
      <c r="C8318" s="6"/>
      <c r="L8318" s="7"/>
      <c r="M8318" s="5"/>
      <c r="N8318" s="5"/>
      <c r="O8318" s="5"/>
    </row>
    <row r="8319">
      <c r="A8319" s="6"/>
      <c r="C8319" s="6"/>
      <c r="L8319" s="7"/>
      <c r="M8319" s="5"/>
      <c r="N8319" s="5"/>
      <c r="O8319" s="5"/>
    </row>
    <row r="8320">
      <c r="A8320" s="6"/>
      <c r="C8320" s="6"/>
      <c r="L8320" s="7"/>
      <c r="M8320" s="5"/>
      <c r="N8320" s="5"/>
      <c r="O8320" s="5"/>
    </row>
    <row r="8321">
      <c r="A8321" s="6"/>
      <c r="C8321" s="6"/>
      <c r="L8321" s="7"/>
      <c r="M8321" s="5"/>
      <c r="N8321" s="5"/>
      <c r="O8321" s="5"/>
    </row>
    <row r="8322">
      <c r="A8322" s="6"/>
      <c r="C8322" s="6"/>
      <c r="L8322" s="7"/>
      <c r="M8322" s="5"/>
      <c r="N8322" s="5"/>
      <c r="O8322" s="5"/>
    </row>
    <row r="8323">
      <c r="A8323" s="6"/>
      <c r="C8323" s="6"/>
      <c r="L8323" s="7"/>
      <c r="M8323" s="5"/>
      <c r="N8323" s="5"/>
      <c r="O8323" s="5"/>
    </row>
    <row r="8324">
      <c r="A8324" s="6"/>
      <c r="C8324" s="6"/>
      <c r="L8324" s="7"/>
      <c r="M8324" s="5"/>
      <c r="N8324" s="5"/>
      <c r="O8324" s="5"/>
    </row>
    <row r="8325">
      <c r="A8325" s="6"/>
      <c r="C8325" s="6"/>
      <c r="L8325" s="7"/>
      <c r="M8325" s="5"/>
      <c r="N8325" s="5"/>
      <c r="O8325" s="5"/>
    </row>
    <row r="8326">
      <c r="A8326" s="6"/>
      <c r="C8326" s="6"/>
      <c r="L8326" s="7"/>
      <c r="M8326" s="5"/>
      <c r="N8326" s="5"/>
      <c r="O8326" s="5"/>
    </row>
    <row r="8327">
      <c r="A8327" s="6"/>
      <c r="C8327" s="6"/>
      <c r="L8327" s="7"/>
      <c r="M8327" s="5"/>
      <c r="N8327" s="5"/>
      <c r="O8327" s="5"/>
    </row>
    <row r="8328">
      <c r="A8328" s="6"/>
      <c r="C8328" s="6"/>
      <c r="L8328" s="7"/>
      <c r="M8328" s="5"/>
      <c r="N8328" s="5"/>
      <c r="O8328" s="5"/>
    </row>
    <row r="8329">
      <c r="A8329" s="6"/>
      <c r="C8329" s="6"/>
      <c r="L8329" s="7"/>
      <c r="M8329" s="5"/>
      <c r="N8329" s="5"/>
      <c r="O8329" s="5"/>
    </row>
    <row r="8330">
      <c r="A8330" s="6"/>
      <c r="C8330" s="6"/>
      <c r="L8330" s="7"/>
      <c r="M8330" s="5"/>
      <c r="N8330" s="5"/>
      <c r="O8330" s="5"/>
    </row>
    <row r="8331">
      <c r="A8331" s="6"/>
      <c r="C8331" s="6"/>
      <c r="L8331" s="7"/>
      <c r="M8331" s="5"/>
      <c r="N8331" s="5"/>
      <c r="O8331" s="5"/>
    </row>
    <row r="8332">
      <c r="A8332" s="6"/>
      <c r="C8332" s="6"/>
      <c r="L8332" s="7"/>
      <c r="M8332" s="5"/>
      <c r="N8332" s="5"/>
      <c r="O8332" s="5"/>
    </row>
    <row r="8333">
      <c r="A8333" s="6"/>
      <c r="C8333" s="6"/>
      <c r="L8333" s="7"/>
      <c r="M8333" s="5"/>
      <c r="N8333" s="5"/>
      <c r="O8333" s="5"/>
    </row>
    <row r="8334">
      <c r="A8334" s="6"/>
      <c r="C8334" s="6"/>
      <c r="L8334" s="7"/>
      <c r="M8334" s="5"/>
      <c r="N8334" s="5"/>
      <c r="O8334" s="5"/>
    </row>
    <row r="8335">
      <c r="A8335" s="6"/>
      <c r="C8335" s="6"/>
      <c r="L8335" s="7"/>
      <c r="M8335" s="5"/>
      <c r="N8335" s="5"/>
      <c r="O8335" s="5"/>
    </row>
    <row r="8336">
      <c r="A8336" s="6"/>
      <c r="C8336" s="6"/>
      <c r="L8336" s="7"/>
      <c r="M8336" s="5"/>
      <c r="N8336" s="5"/>
      <c r="O8336" s="5"/>
    </row>
    <row r="8337">
      <c r="A8337" s="6"/>
      <c r="C8337" s="6"/>
      <c r="L8337" s="7"/>
      <c r="M8337" s="5"/>
      <c r="N8337" s="5"/>
      <c r="O8337" s="5"/>
    </row>
    <row r="8338">
      <c r="A8338" s="6"/>
      <c r="C8338" s="6"/>
      <c r="L8338" s="7"/>
      <c r="M8338" s="5"/>
      <c r="N8338" s="5"/>
      <c r="O8338" s="5"/>
    </row>
    <row r="8339">
      <c r="A8339" s="6"/>
      <c r="C8339" s="6"/>
      <c r="L8339" s="7"/>
      <c r="M8339" s="5"/>
      <c r="N8339" s="5"/>
      <c r="O8339" s="5"/>
    </row>
    <row r="8340">
      <c r="A8340" s="6"/>
      <c r="C8340" s="6"/>
      <c r="L8340" s="7"/>
      <c r="M8340" s="5"/>
      <c r="N8340" s="5"/>
      <c r="O8340" s="5"/>
    </row>
    <row r="8341">
      <c r="A8341" s="6"/>
      <c r="C8341" s="6"/>
      <c r="L8341" s="7"/>
      <c r="M8341" s="5"/>
      <c r="N8341" s="5"/>
      <c r="O8341" s="5"/>
    </row>
    <row r="8342">
      <c r="A8342" s="6"/>
      <c r="C8342" s="6"/>
      <c r="L8342" s="7"/>
      <c r="M8342" s="5"/>
      <c r="N8342" s="5"/>
      <c r="O8342" s="5"/>
    </row>
    <row r="8343">
      <c r="A8343" s="6"/>
      <c r="C8343" s="6"/>
      <c r="L8343" s="7"/>
      <c r="M8343" s="5"/>
      <c r="N8343" s="5"/>
      <c r="O8343" s="5"/>
    </row>
    <row r="8344">
      <c r="A8344" s="6"/>
      <c r="C8344" s="6"/>
      <c r="L8344" s="7"/>
      <c r="M8344" s="5"/>
      <c r="N8344" s="5"/>
      <c r="O8344" s="5"/>
    </row>
    <row r="8345">
      <c r="A8345" s="6"/>
      <c r="C8345" s="6"/>
      <c r="L8345" s="7"/>
      <c r="M8345" s="5"/>
      <c r="N8345" s="5"/>
      <c r="O8345" s="5"/>
    </row>
    <row r="8346">
      <c r="A8346" s="6"/>
      <c r="C8346" s="6"/>
      <c r="L8346" s="7"/>
      <c r="M8346" s="5"/>
      <c r="N8346" s="5"/>
      <c r="O8346" s="5"/>
    </row>
    <row r="8347">
      <c r="A8347" s="6"/>
      <c r="C8347" s="6"/>
      <c r="L8347" s="7"/>
      <c r="M8347" s="5"/>
      <c r="N8347" s="5"/>
      <c r="O8347" s="5"/>
    </row>
    <row r="8348">
      <c r="A8348" s="6"/>
      <c r="C8348" s="6"/>
      <c r="L8348" s="7"/>
      <c r="M8348" s="5"/>
      <c r="N8348" s="5"/>
      <c r="O8348" s="5"/>
    </row>
    <row r="8349">
      <c r="A8349" s="6"/>
      <c r="C8349" s="6"/>
      <c r="L8349" s="7"/>
      <c r="M8349" s="5"/>
      <c r="N8349" s="5"/>
      <c r="O8349" s="5"/>
    </row>
    <row r="8350">
      <c r="A8350" s="6"/>
      <c r="C8350" s="6"/>
      <c r="L8350" s="7"/>
      <c r="M8350" s="5"/>
      <c r="N8350" s="5"/>
      <c r="O8350" s="5"/>
    </row>
    <row r="8351">
      <c r="A8351" s="6"/>
      <c r="C8351" s="6"/>
      <c r="L8351" s="7"/>
      <c r="M8351" s="5"/>
      <c r="N8351" s="5"/>
      <c r="O8351" s="5"/>
    </row>
    <row r="8352">
      <c r="A8352" s="6"/>
      <c r="C8352" s="6"/>
      <c r="L8352" s="7"/>
      <c r="M8352" s="5"/>
      <c r="N8352" s="5"/>
      <c r="O8352" s="5"/>
    </row>
    <row r="8353">
      <c r="A8353" s="6"/>
      <c r="C8353" s="6"/>
      <c r="L8353" s="7"/>
      <c r="M8353" s="5"/>
      <c r="N8353" s="5"/>
      <c r="O8353" s="5"/>
    </row>
    <row r="8354">
      <c r="A8354" s="6"/>
      <c r="C8354" s="6"/>
      <c r="L8354" s="7"/>
      <c r="M8354" s="5"/>
      <c r="N8354" s="5"/>
      <c r="O8354" s="5"/>
    </row>
    <row r="8355">
      <c r="A8355" s="6"/>
      <c r="C8355" s="6"/>
      <c r="L8355" s="7"/>
      <c r="M8355" s="5"/>
      <c r="N8355" s="5"/>
      <c r="O8355" s="5"/>
    </row>
    <row r="8356">
      <c r="A8356" s="6"/>
      <c r="C8356" s="6"/>
      <c r="L8356" s="7"/>
      <c r="M8356" s="5"/>
      <c r="N8356" s="5"/>
      <c r="O8356" s="5"/>
    </row>
    <row r="8357">
      <c r="A8357" s="6"/>
      <c r="C8357" s="6"/>
      <c r="L8357" s="7"/>
      <c r="M8357" s="5"/>
      <c r="N8357" s="5"/>
      <c r="O8357" s="5"/>
    </row>
    <row r="8358">
      <c r="A8358" s="6"/>
      <c r="C8358" s="6"/>
      <c r="L8358" s="7"/>
      <c r="M8358" s="5"/>
      <c r="N8358" s="5"/>
      <c r="O8358" s="5"/>
    </row>
    <row r="8359">
      <c r="A8359" s="6"/>
      <c r="C8359" s="6"/>
      <c r="L8359" s="7"/>
      <c r="M8359" s="5"/>
      <c r="N8359" s="5"/>
      <c r="O8359" s="5"/>
    </row>
    <row r="8360">
      <c r="A8360" s="6"/>
      <c r="C8360" s="6"/>
      <c r="L8360" s="7"/>
      <c r="M8360" s="5"/>
      <c r="N8360" s="5"/>
      <c r="O8360" s="5"/>
    </row>
    <row r="8361">
      <c r="A8361" s="6"/>
      <c r="C8361" s="6"/>
      <c r="L8361" s="7"/>
      <c r="M8361" s="5"/>
      <c r="N8361" s="5"/>
      <c r="O8361" s="5"/>
    </row>
    <row r="8362">
      <c r="A8362" s="6"/>
      <c r="C8362" s="6"/>
      <c r="L8362" s="7"/>
      <c r="M8362" s="5"/>
      <c r="N8362" s="5"/>
      <c r="O8362" s="5"/>
    </row>
    <row r="8363">
      <c r="A8363" s="6"/>
      <c r="C8363" s="6"/>
      <c r="L8363" s="7"/>
      <c r="M8363" s="5"/>
      <c r="N8363" s="5"/>
      <c r="O8363" s="5"/>
    </row>
    <row r="8364">
      <c r="A8364" s="6"/>
      <c r="C8364" s="6"/>
      <c r="L8364" s="7"/>
      <c r="M8364" s="5"/>
      <c r="N8364" s="5"/>
      <c r="O8364" s="5"/>
    </row>
    <row r="8365">
      <c r="A8365" s="6"/>
      <c r="C8365" s="6"/>
      <c r="L8365" s="7"/>
      <c r="M8365" s="5"/>
      <c r="N8365" s="5"/>
      <c r="O8365" s="5"/>
    </row>
    <row r="8366">
      <c r="A8366" s="6"/>
      <c r="C8366" s="6"/>
      <c r="L8366" s="7"/>
      <c r="M8366" s="5"/>
      <c r="N8366" s="5"/>
      <c r="O8366" s="5"/>
    </row>
    <row r="8367">
      <c r="A8367" s="6"/>
      <c r="C8367" s="6"/>
      <c r="L8367" s="7"/>
      <c r="M8367" s="5"/>
      <c r="N8367" s="5"/>
      <c r="O8367" s="5"/>
    </row>
    <row r="8368">
      <c r="A8368" s="6"/>
      <c r="C8368" s="6"/>
      <c r="L8368" s="7"/>
      <c r="M8368" s="5"/>
      <c r="N8368" s="5"/>
      <c r="O8368" s="5"/>
    </row>
    <row r="8369">
      <c r="A8369" s="6"/>
      <c r="C8369" s="6"/>
      <c r="L8369" s="7"/>
      <c r="M8369" s="5"/>
      <c r="N8369" s="5"/>
      <c r="O8369" s="5"/>
    </row>
    <row r="8370">
      <c r="A8370" s="6"/>
      <c r="C8370" s="6"/>
      <c r="L8370" s="7"/>
      <c r="M8370" s="5"/>
      <c r="N8370" s="5"/>
      <c r="O8370" s="5"/>
    </row>
    <row r="8371">
      <c r="A8371" s="6"/>
      <c r="C8371" s="6"/>
      <c r="L8371" s="7"/>
      <c r="M8371" s="5"/>
      <c r="N8371" s="5"/>
      <c r="O8371" s="5"/>
    </row>
    <row r="8372">
      <c r="A8372" s="6"/>
      <c r="C8372" s="6"/>
      <c r="L8372" s="7"/>
      <c r="M8372" s="5"/>
      <c r="N8372" s="5"/>
      <c r="O8372" s="5"/>
    </row>
    <row r="8373">
      <c r="A8373" s="6"/>
      <c r="C8373" s="6"/>
      <c r="L8373" s="7"/>
      <c r="M8373" s="5"/>
      <c r="N8373" s="5"/>
      <c r="O8373" s="5"/>
    </row>
    <row r="8374">
      <c r="A8374" s="6"/>
      <c r="C8374" s="6"/>
      <c r="L8374" s="7"/>
      <c r="M8374" s="5"/>
      <c r="N8374" s="5"/>
      <c r="O8374" s="5"/>
    </row>
    <row r="8375">
      <c r="A8375" s="6"/>
      <c r="C8375" s="6"/>
      <c r="L8375" s="7"/>
      <c r="M8375" s="5"/>
      <c r="N8375" s="5"/>
      <c r="O8375" s="5"/>
    </row>
    <row r="8376">
      <c r="A8376" s="6"/>
      <c r="C8376" s="6"/>
      <c r="L8376" s="7"/>
      <c r="M8376" s="5"/>
      <c r="N8376" s="5"/>
      <c r="O8376" s="5"/>
    </row>
    <row r="8377">
      <c r="A8377" s="6"/>
      <c r="C8377" s="6"/>
      <c r="L8377" s="7"/>
      <c r="M8377" s="5"/>
      <c r="N8377" s="5"/>
      <c r="O8377" s="5"/>
    </row>
    <row r="8378">
      <c r="A8378" s="6"/>
      <c r="C8378" s="6"/>
      <c r="L8378" s="7"/>
      <c r="M8378" s="5"/>
      <c r="N8378" s="5"/>
      <c r="O8378" s="5"/>
    </row>
    <row r="8379">
      <c r="A8379" s="6"/>
      <c r="C8379" s="6"/>
      <c r="L8379" s="7"/>
      <c r="M8379" s="5"/>
      <c r="N8379" s="5"/>
      <c r="O8379" s="5"/>
    </row>
    <row r="8380">
      <c r="A8380" s="6"/>
      <c r="C8380" s="6"/>
      <c r="L8380" s="7"/>
      <c r="M8380" s="5"/>
      <c r="N8380" s="5"/>
      <c r="O8380" s="5"/>
    </row>
    <row r="8381">
      <c r="A8381" s="6"/>
      <c r="C8381" s="6"/>
      <c r="L8381" s="7"/>
      <c r="M8381" s="5"/>
      <c r="N8381" s="5"/>
      <c r="O8381" s="5"/>
    </row>
    <row r="8382">
      <c r="A8382" s="6"/>
      <c r="C8382" s="6"/>
      <c r="L8382" s="7"/>
      <c r="M8382" s="5"/>
      <c r="N8382" s="5"/>
      <c r="O8382" s="5"/>
    </row>
    <row r="8383">
      <c r="A8383" s="6"/>
      <c r="C8383" s="6"/>
      <c r="L8383" s="7"/>
      <c r="M8383" s="5"/>
      <c r="N8383" s="5"/>
      <c r="O8383" s="5"/>
    </row>
    <row r="8384">
      <c r="A8384" s="6"/>
      <c r="C8384" s="6"/>
      <c r="L8384" s="7"/>
      <c r="M8384" s="5"/>
      <c r="N8384" s="5"/>
      <c r="O8384" s="5"/>
    </row>
    <row r="8385">
      <c r="A8385" s="6"/>
      <c r="C8385" s="6"/>
      <c r="L8385" s="7"/>
      <c r="M8385" s="5"/>
      <c r="N8385" s="5"/>
      <c r="O8385" s="5"/>
    </row>
    <row r="8386">
      <c r="A8386" s="6"/>
      <c r="C8386" s="6"/>
      <c r="L8386" s="7"/>
      <c r="M8386" s="5"/>
      <c r="N8386" s="5"/>
      <c r="O8386" s="5"/>
    </row>
    <row r="8387">
      <c r="A8387" s="6"/>
      <c r="C8387" s="6"/>
      <c r="L8387" s="7"/>
      <c r="M8387" s="5"/>
      <c r="N8387" s="5"/>
      <c r="O8387" s="5"/>
    </row>
    <row r="8388">
      <c r="A8388" s="6"/>
      <c r="C8388" s="6"/>
      <c r="L8388" s="7"/>
      <c r="M8388" s="5"/>
      <c r="N8388" s="5"/>
      <c r="O8388" s="5"/>
    </row>
    <row r="8389">
      <c r="A8389" s="6"/>
      <c r="C8389" s="6"/>
      <c r="L8389" s="7"/>
      <c r="M8389" s="5"/>
      <c r="N8389" s="5"/>
      <c r="O8389" s="5"/>
    </row>
    <row r="8390">
      <c r="A8390" s="6"/>
      <c r="C8390" s="6"/>
      <c r="L8390" s="7"/>
      <c r="M8390" s="5"/>
      <c r="N8390" s="5"/>
      <c r="O8390" s="5"/>
    </row>
    <row r="8391">
      <c r="A8391" s="6"/>
      <c r="C8391" s="6"/>
      <c r="L8391" s="7"/>
      <c r="M8391" s="5"/>
      <c r="N8391" s="5"/>
      <c r="O8391" s="5"/>
    </row>
    <row r="8392">
      <c r="A8392" s="6"/>
      <c r="C8392" s="6"/>
      <c r="L8392" s="7"/>
      <c r="M8392" s="5"/>
      <c r="N8392" s="5"/>
      <c r="O8392" s="5"/>
    </row>
    <row r="8393">
      <c r="A8393" s="6"/>
      <c r="C8393" s="6"/>
      <c r="L8393" s="7"/>
      <c r="M8393" s="5"/>
      <c r="N8393" s="5"/>
      <c r="O8393" s="5"/>
    </row>
    <row r="8394">
      <c r="A8394" s="6"/>
      <c r="C8394" s="6"/>
      <c r="L8394" s="7"/>
      <c r="M8394" s="5"/>
      <c r="N8394" s="5"/>
      <c r="O8394" s="5"/>
    </row>
    <row r="8395">
      <c r="A8395" s="6"/>
      <c r="C8395" s="6"/>
      <c r="L8395" s="7"/>
      <c r="M8395" s="5"/>
      <c r="N8395" s="5"/>
      <c r="O8395" s="5"/>
    </row>
    <row r="8396">
      <c r="A8396" s="6"/>
      <c r="C8396" s="6"/>
      <c r="L8396" s="7"/>
      <c r="M8396" s="5"/>
      <c r="N8396" s="5"/>
      <c r="O8396" s="5"/>
    </row>
    <row r="8397">
      <c r="A8397" s="6"/>
      <c r="C8397" s="6"/>
      <c r="L8397" s="7"/>
      <c r="M8397" s="5"/>
      <c r="N8397" s="5"/>
      <c r="O8397" s="5"/>
    </row>
    <row r="8398">
      <c r="A8398" s="6"/>
      <c r="C8398" s="6"/>
      <c r="L8398" s="7"/>
      <c r="M8398" s="5"/>
      <c r="N8398" s="5"/>
      <c r="O8398" s="5"/>
    </row>
    <row r="8399">
      <c r="A8399" s="6"/>
      <c r="C8399" s="6"/>
      <c r="L8399" s="7"/>
      <c r="M8399" s="5"/>
      <c r="N8399" s="5"/>
      <c r="O8399" s="5"/>
    </row>
    <row r="8400">
      <c r="A8400" s="6"/>
      <c r="C8400" s="6"/>
      <c r="L8400" s="7"/>
      <c r="M8400" s="5"/>
      <c r="N8400" s="5"/>
      <c r="O8400" s="5"/>
    </row>
    <row r="8401">
      <c r="A8401" s="6"/>
      <c r="C8401" s="6"/>
      <c r="L8401" s="7"/>
      <c r="M8401" s="5"/>
      <c r="N8401" s="5"/>
      <c r="O8401" s="5"/>
    </row>
    <row r="8402">
      <c r="A8402" s="6"/>
      <c r="C8402" s="6"/>
      <c r="L8402" s="7"/>
      <c r="M8402" s="5"/>
      <c r="N8402" s="5"/>
      <c r="O8402" s="5"/>
    </row>
    <row r="8403">
      <c r="A8403" s="6"/>
      <c r="C8403" s="6"/>
      <c r="L8403" s="7"/>
      <c r="M8403" s="5"/>
      <c r="N8403" s="5"/>
      <c r="O8403" s="5"/>
    </row>
    <row r="8404">
      <c r="A8404" s="6"/>
      <c r="C8404" s="6"/>
      <c r="L8404" s="7"/>
      <c r="M8404" s="5"/>
      <c r="N8404" s="5"/>
      <c r="O8404" s="5"/>
    </row>
    <row r="8405">
      <c r="A8405" s="6"/>
      <c r="C8405" s="6"/>
      <c r="L8405" s="7"/>
      <c r="M8405" s="5"/>
      <c r="N8405" s="5"/>
      <c r="O8405" s="5"/>
    </row>
    <row r="8406">
      <c r="A8406" s="6"/>
      <c r="C8406" s="6"/>
      <c r="L8406" s="7"/>
      <c r="M8406" s="5"/>
      <c r="N8406" s="5"/>
      <c r="O8406" s="5"/>
    </row>
    <row r="8407">
      <c r="A8407" s="6"/>
      <c r="C8407" s="6"/>
      <c r="L8407" s="7"/>
      <c r="M8407" s="5"/>
      <c r="N8407" s="5"/>
      <c r="O8407" s="5"/>
    </row>
    <row r="8408">
      <c r="A8408" s="6"/>
      <c r="C8408" s="6"/>
      <c r="L8408" s="7"/>
      <c r="M8408" s="5"/>
      <c r="N8408" s="5"/>
      <c r="O8408" s="5"/>
    </row>
    <row r="8409">
      <c r="A8409" s="6"/>
      <c r="C8409" s="6"/>
      <c r="L8409" s="7"/>
      <c r="M8409" s="5"/>
      <c r="N8409" s="5"/>
      <c r="O8409" s="5"/>
    </row>
    <row r="8410">
      <c r="A8410" s="6"/>
      <c r="C8410" s="6"/>
      <c r="L8410" s="7"/>
      <c r="M8410" s="5"/>
      <c r="N8410" s="5"/>
      <c r="O8410" s="5"/>
    </row>
    <row r="8411">
      <c r="A8411" s="6"/>
      <c r="C8411" s="6"/>
      <c r="L8411" s="7"/>
      <c r="M8411" s="5"/>
      <c r="N8411" s="5"/>
      <c r="O8411" s="5"/>
    </row>
    <row r="8412">
      <c r="A8412" s="6"/>
      <c r="C8412" s="6"/>
      <c r="L8412" s="7"/>
      <c r="M8412" s="5"/>
      <c r="N8412" s="5"/>
      <c r="O8412" s="5"/>
    </row>
    <row r="8413">
      <c r="A8413" s="6"/>
      <c r="C8413" s="6"/>
      <c r="L8413" s="7"/>
      <c r="M8413" s="5"/>
      <c r="N8413" s="5"/>
      <c r="O8413" s="5"/>
    </row>
    <row r="8414">
      <c r="A8414" s="6"/>
      <c r="C8414" s="6"/>
      <c r="L8414" s="7"/>
      <c r="M8414" s="5"/>
      <c r="N8414" s="5"/>
      <c r="O8414" s="5"/>
    </row>
    <row r="8415">
      <c r="A8415" s="6"/>
      <c r="C8415" s="6"/>
      <c r="L8415" s="7"/>
      <c r="M8415" s="5"/>
      <c r="N8415" s="5"/>
      <c r="O8415" s="5"/>
    </row>
    <row r="8416">
      <c r="A8416" s="6"/>
      <c r="C8416" s="6"/>
      <c r="L8416" s="7"/>
      <c r="M8416" s="5"/>
      <c r="N8416" s="5"/>
      <c r="O8416" s="5"/>
    </row>
    <row r="8417">
      <c r="A8417" s="6"/>
      <c r="C8417" s="6"/>
      <c r="L8417" s="7"/>
      <c r="M8417" s="5"/>
      <c r="N8417" s="5"/>
      <c r="O8417" s="5"/>
    </row>
    <row r="8418">
      <c r="A8418" s="6"/>
      <c r="C8418" s="6"/>
      <c r="L8418" s="7"/>
      <c r="M8418" s="5"/>
      <c r="N8418" s="5"/>
      <c r="O8418" s="5"/>
    </row>
    <row r="8419">
      <c r="A8419" s="6"/>
      <c r="C8419" s="6"/>
      <c r="L8419" s="7"/>
      <c r="M8419" s="5"/>
      <c r="N8419" s="5"/>
      <c r="O8419" s="5"/>
    </row>
    <row r="8420">
      <c r="A8420" s="6"/>
      <c r="C8420" s="6"/>
      <c r="L8420" s="7"/>
      <c r="M8420" s="5"/>
      <c r="N8420" s="5"/>
      <c r="O8420" s="5"/>
    </row>
    <row r="8421">
      <c r="A8421" s="6"/>
      <c r="C8421" s="6"/>
      <c r="L8421" s="7"/>
      <c r="M8421" s="5"/>
      <c r="N8421" s="5"/>
      <c r="O8421" s="5"/>
    </row>
    <row r="8422">
      <c r="A8422" s="6"/>
      <c r="C8422" s="6"/>
      <c r="L8422" s="7"/>
      <c r="M8422" s="5"/>
      <c r="N8422" s="5"/>
      <c r="O8422" s="5"/>
    </row>
    <row r="8423">
      <c r="A8423" s="6"/>
      <c r="C8423" s="6"/>
      <c r="L8423" s="7"/>
      <c r="M8423" s="5"/>
      <c r="N8423" s="5"/>
      <c r="O8423" s="5"/>
    </row>
    <row r="8424">
      <c r="A8424" s="6"/>
      <c r="C8424" s="6"/>
      <c r="L8424" s="7"/>
      <c r="M8424" s="5"/>
      <c r="N8424" s="5"/>
      <c r="O8424" s="5"/>
    </row>
    <row r="8425">
      <c r="A8425" s="6"/>
      <c r="C8425" s="6"/>
      <c r="L8425" s="7"/>
      <c r="M8425" s="5"/>
      <c r="N8425" s="5"/>
      <c r="O8425" s="5"/>
    </row>
    <row r="8426">
      <c r="A8426" s="6"/>
      <c r="C8426" s="6"/>
      <c r="L8426" s="7"/>
      <c r="M8426" s="5"/>
      <c r="N8426" s="5"/>
      <c r="O8426" s="5"/>
    </row>
    <row r="8427">
      <c r="A8427" s="6"/>
      <c r="C8427" s="6"/>
      <c r="L8427" s="7"/>
      <c r="M8427" s="5"/>
      <c r="N8427" s="5"/>
      <c r="O8427" s="5"/>
    </row>
    <row r="8428">
      <c r="A8428" s="6"/>
      <c r="C8428" s="6"/>
      <c r="L8428" s="7"/>
      <c r="M8428" s="5"/>
      <c r="N8428" s="5"/>
      <c r="O8428" s="5"/>
    </row>
    <row r="8429">
      <c r="A8429" s="6"/>
      <c r="C8429" s="6"/>
      <c r="L8429" s="7"/>
      <c r="M8429" s="5"/>
      <c r="N8429" s="5"/>
      <c r="O8429" s="5"/>
    </row>
    <row r="8430">
      <c r="A8430" s="6"/>
      <c r="C8430" s="6"/>
      <c r="L8430" s="7"/>
      <c r="M8430" s="5"/>
      <c r="N8430" s="5"/>
      <c r="O8430" s="5"/>
    </row>
    <row r="8431">
      <c r="A8431" s="6"/>
      <c r="C8431" s="6"/>
      <c r="L8431" s="7"/>
      <c r="M8431" s="5"/>
      <c r="N8431" s="5"/>
      <c r="O8431" s="5"/>
    </row>
    <row r="8432">
      <c r="A8432" s="6"/>
      <c r="C8432" s="6"/>
      <c r="L8432" s="7"/>
      <c r="M8432" s="5"/>
      <c r="N8432" s="5"/>
      <c r="O8432" s="5"/>
    </row>
    <row r="8433">
      <c r="A8433" s="6"/>
      <c r="C8433" s="6"/>
      <c r="L8433" s="7"/>
      <c r="M8433" s="5"/>
      <c r="N8433" s="5"/>
      <c r="O8433" s="5"/>
    </row>
    <row r="8434">
      <c r="A8434" s="6"/>
      <c r="C8434" s="6"/>
      <c r="L8434" s="7"/>
      <c r="M8434" s="5"/>
      <c r="N8434" s="5"/>
      <c r="O8434" s="5"/>
    </row>
    <row r="8435">
      <c r="A8435" s="6"/>
      <c r="C8435" s="6"/>
      <c r="L8435" s="7"/>
      <c r="M8435" s="5"/>
      <c r="N8435" s="5"/>
      <c r="O8435" s="5"/>
    </row>
    <row r="8436">
      <c r="A8436" s="6"/>
      <c r="C8436" s="6"/>
      <c r="L8436" s="7"/>
      <c r="M8436" s="5"/>
      <c r="N8436" s="5"/>
      <c r="O8436" s="5"/>
    </row>
    <row r="8437">
      <c r="A8437" s="6"/>
      <c r="C8437" s="6"/>
      <c r="L8437" s="7"/>
      <c r="M8437" s="5"/>
      <c r="N8437" s="5"/>
      <c r="O8437" s="5"/>
    </row>
    <row r="8438">
      <c r="A8438" s="6"/>
      <c r="C8438" s="6"/>
      <c r="L8438" s="7"/>
      <c r="M8438" s="5"/>
      <c r="N8438" s="5"/>
      <c r="O8438" s="5"/>
    </row>
    <row r="8439">
      <c r="A8439" s="6"/>
      <c r="C8439" s="6"/>
      <c r="L8439" s="7"/>
      <c r="M8439" s="5"/>
      <c r="N8439" s="5"/>
      <c r="O8439" s="5"/>
    </row>
    <row r="8440">
      <c r="A8440" s="6"/>
      <c r="C8440" s="6"/>
      <c r="L8440" s="7"/>
      <c r="M8440" s="5"/>
      <c r="N8440" s="5"/>
      <c r="O8440" s="5"/>
    </row>
    <row r="8441">
      <c r="A8441" s="6"/>
      <c r="C8441" s="6"/>
      <c r="L8441" s="7"/>
      <c r="M8441" s="5"/>
      <c r="N8441" s="5"/>
      <c r="O8441" s="5"/>
    </row>
    <row r="8442">
      <c r="A8442" s="6"/>
      <c r="C8442" s="6"/>
      <c r="L8442" s="7"/>
      <c r="M8442" s="5"/>
      <c r="N8442" s="5"/>
      <c r="O8442" s="5"/>
    </row>
    <row r="8443">
      <c r="A8443" s="6"/>
      <c r="C8443" s="6"/>
      <c r="L8443" s="7"/>
      <c r="M8443" s="5"/>
      <c r="N8443" s="5"/>
      <c r="O8443" s="5"/>
    </row>
    <row r="8444">
      <c r="A8444" s="6"/>
      <c r="C8444" s="6"/>
      <c r="L8444" s="7"/>
      <c r="M8444" s="5"/>
      <c r="N8444" s="5"/>
      <c r="O8444" s="5"/>
    </row>
    <row r="8445">
      <c r="A8445" s="6"/>
      <c r="C8445" s="6"/>
      <c r="L8445" s="7"/>
      <c r="M8445" s="5"/>
      <c r="N8445" s="5"/>
      <c r="O8445" s="5"/>
    </row>
    <row r="8446">
      <c r="A8446" s="6"/>
      <c r="C8446" s="6"/>
      <c r="L8446" s="7"/>
      <c r="M8446" s="5"/>
      <c r="N8446" s="5"/>
      <c r="O8446" s="5"/>
    </row>
    <row r="8447">
      <c r="A8447" s="6"/>
      <c r="C8447" s="6"/>
      <c r="L8447" s="7"/>
      <c r="M8447" s="5"/>
      <c r="N8447" s="5"/>
      <c r="O8447" s="5"/>
    </row>
    <row r="8448">
      <c r="A8448" s="6"/>
      <c r="C8448" s="6"/>
      <c r="L8448" s="7"/>
      <c r="M8448" s="5"/>
      <c r="N8448" s="5"/>
      <c r="O8448" s="5"/>
    </row>
    <row r="8449">
      <c r="A8449" s="6"/>
      <c r="C8449" s="6"/>
      <c r="L8449" s="7"/>
      <c r="M8449" s="5"/>
      <c r="N8449" s="5"/>
      <c r="O8449" s="5"/>
    </row>
    <row r="8450">
      <c r="A8450" s="6"/>
      <c r="C8450" s="6"/>
      <c r="L8450" s="7"/>
      <c r="M8450" s="5"/>
      <c r="N8450" s="5"/>
      <c r="O8450" s="5"/>
    </row>
    <row r="8451">
      <c r="A8451" s="6"/>
      <c r="C8451" s="6"/>
      <c r="L8451" s="7"/>
      <c r="M8451" s="5"/>
      <c r="N8451" s="5"/>
      <c r="O8451" s="5"/>
    </row>
    <row r="8452">
      <c r="A8452" s="6"/>
      <c r="C8452" s="6"/>
      <c r="L8452" s="7"/>
      <c r="M8452" s="5"/>
      <c r="N8452" s="5"/>
      <c r="O8452" s="5"/>
    </row>
    <row r="8453">
      <c r="A8453" s="6"/>
      <c r="C8453" s="6"/>
      <c r="L8453" s="7"/>
      <c r="M8453" s="5"/>
      <c r="N8453" s="5"/>
      <c r="O8453" s="5"/>
    </row>
    <row r="8454">
      <c r="A8454" s="6"/>
      <c r="C8454" s="6"/>
      <c r="L8454" s="7"/>
      <c r="M8454" s="5"/>
      <c r="N8454" s="5"/>
      <c r="O8454" s="5"/>
    </row>
    <row r="8455">
      <c r="A8455" s="6"/>
      <c r="C8455" s="6"/>
      <c r="L8455" s="7"/>
      <c r="M8455" s="5"/>
      <c r="N8455" s="5"/>
      <c r="O8455" s="5"/>
    </row>
    <row r="8456">
      <c r="A8456" s="6"/>
      <c r="C8456" s="6"/>
      <c r="L8456" s="7"/>
      <c r="M8456" s="5"/>
      <c r="N8456" s="5"/>
      <c r="O8456" s="5"/>
    </row>
    <row r="8457">
      <c r="A8457" s="6"/>
      <c r="C8457" s="6"/>
      <c r="L8457" s="7"/>
      <c r="M8457" s="5"/>
      <c r="N8457" s="5"/>
      <c r="O8457" s="5"/>
    </row>
    <row r="8458">
      <c r="A8458" s="6"/>
      <c r="C8458" s="6"/>
      <c r="L8458" s="7"/>
      <c r="M8458" s="5"/>
      <c r="N8458" s="5"/>
      <c r="O8458" s="5"/>
    </row>
    <row r="8459">
      <c r="A8459" s="6"/>
      <c r="C8459" s="6"/>
      <c r="L8459" s="7"/>
      <c r="M8459" s="5"/>
      <c r="N8459" s="5"/>
      <c r="O8459" s="5"/>
    </row>
    <row r="8460">
      <c r="A8460" s="6"/>
      <c r="C8460" s="6"/>
      <c r="L8460" s="7"/>
      <c r="M8460" s="5"/>
      <c r="N8460" s="5"/>
      <c r="O8460" s="5"/>
    </row>
    <row r="8461">
      <c r="A8461" s="6"/>
      <c r="C8461" s="6"/>
      <c r="L8461" s="7"/>
      <c r="M8461" s="5"/>
      <c r="N8461" s="5"/>
      <c r="O8461" s="5"/>
    </row>
    <row r="8462">
      <c r="A8462" s="6"/>
      <c r="C8462" s="6"/>
      <c r="L8462" s="7"/>
      <c r="M8462" s="5"/>
      <c r="N8462" s="5"/>
      <c r="O8462" s="5"/>
    </row>
    <row r="8463">
      <c r="A8463" s="6"/>
      <c r="C8463" s="6"/>
      <c r="L8463" s="7"/>
      <c r="M8463" s="5"/>
      <c r="N8463" s="5"/>
      <c r="O8463" s="5"/>
    </row>
    <row r="8464">
      <c r="A8464" s="6"/>
      <c r="C8464" s="6"/>
      <c r="L8464" s="7"/>
      <c r="M8464" s="5"/>
      <c r="N8464" s="5"/>
      <c r="O8464" s="5"/>
    </row>
    <row r="8465">
      <c r="A8465" s="6"/>
      <c r="C8465" s="6"/>
      <c r="L8465" s="7"/>
      <c r="M8465" s="5"/>
      <c r="N8465" s="5"/>
      <c r="O8465" s="5"/>
    </row>
    <row r="8466">
      <c r="A8466" s="6"/>
      <c r="C8466" s="6"/>
      <c r="L8466" s="7"/>
      <c r="M8466" s="5"/>
      <c r="N8466" s="5"/>
      <c r="O8466" s="5"/>
    </row>
    <row r="8467">
      <c r="A8467" s="6"/>
      <c r="C8467" s="6"/>
      <c r="L8467" s="7"/>
      <c r="M8467" s="5"/>
      <c r="N8467" s="5"/>
      <c r="O8467" s="5"/>
    </row>
    <row r="8468">
      <c r="A8468" s="6"/>
      <c r="C8468" s="6"/>
      <c r="L8468" s="7"/>
      <c r="M8468" s="5"/>
      <c r="N8468" s="5"/>
      <c r="O8468" s="5"/>
    </row>
    <row r="8469">
      <c r="A8469" s="6"/>
      <c r="C8469" s="6"/>
      <c r="L8469" s="7"/>
      <c r="M8469" s="5"/>
      <c r="N8469" s="5"/>
      <c r="O8469" s="5"/>
    </row>
    <row r="8470">
      <c r="A8470" s="6"/>
      <c r="C8470" s="6"/>
      <c r="L8470" s="7"/>
      <c r="M8470" s="5"/>
      <c r="N8470" s="5"/>
      <c r="O8470" s="5"/>
    </row>
    <row r="8471">
      <c r="A8471" s="6"/>
      <c r="C8471" s="6"/>
      <c r="L8471" s="7"/>
      <c r="M8471" s="5"/>
      <c r="N8471" s="5"/>
      <c r="O8471" s="5"/>
    </row>
    <row r="8472">
      <c r="A8472" s="6"/>
      <c r="C8472" s="6"/>
      <c r="L8472" s="7"/>
      <c r="M8472" s="5"/>
      <c r="N8472" s="5"/>
      <c r="O8472" s="5"/>
    </row>
    <row r="8473">
      <c r="A8473" s="6"/>
      <c r="C8473" s="6"/>
      <c r="L8473" s="7"/>
      <c r="M8473" s="5"/>
      <c r="N8473" s="5"/>
      <c r="O8473" s="5"/>
    </row>
    <row r="8474">
      <c r="A8474" s="6"/>
      <c r="C8474" s="6"/>
      <c r="L8474" s="7"/>
      <c r="M8474" s="5"/>
      <c r="N8474" s="5"/>
      <c r="O8474" s="5"/>
    </row>
    <row r="8475">
      <c r="A8475" s="6"/>
      <c r="C8475" s="6"/>
      <c r="L8475" s="7"/>
      <c r="M8475" s="5"/>
      <c r="N8475" s="5"/>
      <c r="O8475" s="5"/>
    </row>
    <row r="8476">
      <c r="A8476" s="6"/>
      <c r="C8476" s="6"/>
      <c r="L8476" s="7"/>
      <c r="M8476" s="5"/>
      <c r="N8476" s="5"/>
      <c r="O8476" s="5"/>
    </row>
    <row r="8477">
      <c r="A8477" s="6"/>
      <c r="C8477" s="6"/>
      <c r="L8477" s="7"/>
      <c r="M8477" s="5"/>
      <c r="N8477" s="5"/>
      <c r="O8477" s="5"/>
    </row>
    <row r="8478">
      <c r="A8478" s="6"/>
      <c r="C8478" s="6"/>
      <c r="L8478" s="7"/>
      <c r="M8478" s="5"/>
      <c r="N8478" s="5"/>
      <c r="O8478" s="5"/>
    </row>
    <row r="8479">
      <c r="A8479" s="6"/>
      <c r="C8479" s="6"/>
      <c r="L8479" s="7"/>
      <c r="M8479" s="5"/>
      <c r="N8479" s="5"/>
      <c r="O8479" s="5"/>
    </row>
    <row r="8480">
      <c r="A8480" s="6"/>
      <c r="C8480" s="6"/>
      <c r="L8480" s="7"/>
      <c r="M8480" s="5"/>
      <c r="N8480" s="5"/>
      <c r="O8480" s="5"/>
    </row>
    <row r="8481">
      <c r="A8481" s="6"/>
      <c r="C8481" s="6"/>
      <c r="L8481" s="7"/>
      <c r="M8481" s="5"/>
      <c r="N8481" s="5"/>
      <c r="O8481" s="5"/>
    </row>
    <row r="8482">
      <c r="A8482" s="6"/>
      <c r="C8482" s="6"/>
      <c r="L8482" s="7"/>
      <c r="M8482" s="5"/>
      <c r="N8482" s="5"/>
      <c r="O8482" s="5"/>
    </row>
    <row r="8483">
      <c r="A8483" s="6"/>
      <c r="C8483" s="6"/>
      <c r="L8483" s="7"/>
      <c r="M8483" s="5"/>
      <c r="N8483" s="5"/>
      <c r="O8483" s="5"/>
    </row>
    <row r="8484">
      <c r="A8484" s="6"/>
      <c r="C8484" s="6"/>
      <c r="L8484" s="7"/>
      <c r="M8484" s="5"/>
      <c r="N8484" s="5"/>
      <c r="O8484" s="5"/>
    </row>
    <row r="8485">
      <c r="A8485" s="6"/>
      <c r="C8485" s="6"/>
      <c r="L8485" s="7"/>
      <c r="M8485" s="5"/>
      <c r="N8485" s="5"/>
      <c r="O8485" s="5"/>
    </row>
    <row r="8486">
      <c r="A8486" s="6"/>
      <c r="C8486" s="6"/>
      <c r="L8486" s="7"/>
      <c r="M8486" s="5"/>
      <c r="N8486" s="5"/>
      <c r="O8486" s="5"/>
    </row>
    <row r="8487">
      <c r="A8487" s="6"/>
      <c r="C8487" s="6"/>
      <c r="L8487" s="7"/>
      <c r="M8487" s="5"/>
      <c r="N8487" s="5"/>
      <c r="O8487" s="5"/>
    </row>
    <row r="8488">
      <c r="A8488" s="6"/>
      <c r="C8488" s="6"/>
      <c r="L8488" s="7"/>
      <c r="M8488" s="5"/>
      <c r="N8488" s="5"/>
      <c r="O8488" s="5"/>
    </row>
    <row r="8489">
      <c r="A8489" s="6"/>
      <c r="C8489" s="6"/>
      <c r="L8489" s="7"/>
      <c r="M8489" s="5"/>
      <c r="N8489" s="5"/>
      <c r="O8489" s="5"/>
    </row>
    <row r="8490">
      <c r="A8490" s="6"/>
      <c r="C8490" s="6"/>
      <c r="L8490" s="7"/>
      <c r="M8490" s="5"/>
      <c r="N8490" s="5"/>
      <c r="O8490" s="5"/>
    </row>
    <row r="8491">
      <c r="A8491" s="6"/>
      <c r="C8491" s="6"/>
      <c r="L8491" s="7"/>
      <c r="M8491" s="5"/>
      <c r="N8491" s="5"/>
      <c r="O8491" s="5"/>
    </row>
    <row r="8492">
      <c r="A8492" s="6"/>
      <c r="C8492" s="6"/>
      <c r="L8492" s="7"/>
      <c r="M8492" s="5"/>
      <c r="N8492" s="5"/>
      <c r="O8492" s="5"/>
    </row>
    <row r="8493">
      <c r="A8493" s="6"/>
      <c r="C8493" s="6"/>
      <c r="L8493" s="7"/>
      <c r="M8493" s="5"/>
      <c r="N8493" s="5"/>
      <c r="O8493" s="5"/>
    </row>
    <row r="8494">
      <c r="A8494" s="6"/>
      <c r="C8494" s="6"/>
      <c r="L8494" s="7"/>
      <c r="M8494" s="5"/>
      <c r="N8494" s="5"/>
      <c r="O8494" s="5"/>
    </row>
    <row r="8495">
      <c r="A8495" s="6"/>
      <c r="C8495" s="6"/>
      <c r="L8495" s="7"/>
      <c r="M8495" s="5"/>
      <c r="N8495" s="5"/>
      <c r="O8495" s="5"/>
    </row>
    <row r="8496">
      <c r="A8496" s="6"/>
      <c r="C8496" s="6"/>
      <c r="L8496" s="7"/>
      <c r="M8496" s="5"/>
      <c r="N8496" s="5"/>
      <c r="O8496" s="5"/>
    </row>
    <row r="8497">
      <c r="A8497" s="6"/>
      <c r="C8497" s="6"/>
      <c r="L8497" s="7"/>
      <c r="M8497" s="5"/>
      <c r="N8497" s="5"/>
      <c r="O8497" s="5"/>
    </row>
    <row r="8498">
      <c r="A8498" s="6"/>
      <c r="C8498" s="6"/>
      <c r="L8498" s="7"/>
      <c r="M8498" s="5"/>
      <c r="N8498" s="5"/>
      <c r="O8498" s="5"/>
    </row>
    <row r="8499">
      <c r="A8499" s="6"/>
      <c r="C8499" s="6"/>
      <c r="L8499" s="7"/>
      <c r="M8499" s="5"/>
      <c r="N8499" s="5"/>
      <c r="O8499" s="5"/>
    </row>
    <row r="8500">
      <c r="A8500" s="6"/>
      <c r="C8500" s="6"/>
      <c r="L8500" s="7"/>
      <c r="M8500" s="5"/>
      <c r="N8500" s="5"/>
      <c r="O8500" s="5"/>
    </row>
    <row r="8501">
      <c r="A8501" s="6"/>
      <c r="C8501" s="6"/>
      <c r="L8501" s="7"/>
      <c r="M8501" s="5"/>
      <c r="N8501" s="5"/>
      <c r="O8501" s="5"/>
    </row>
    <row r="8502">
      <c r="A8502" s="6"/>
      <c r="C8502" s="6"/>
      <c r="L8502" s="7"/>
      <c r="M8502" s="5"/>
      <c r="N8502" s="5"/>
      <c r="O8502" s="5"/>
    </row>
    <row r="8503">
      <c r="A8503" s="6"/>
      <c r="C8503" s="6"/>
      <c r="L8503" s="7"/>
      <c r="M8503" s="5"/>
      <c r="N8503" s="5"/>
      <c r="O8503" s="5"/>
    </row>
    <row r="8504">
      <c r="A8504" s="6"/>
      <c r="C8504" s="6"/>
      <c r="L8504" s="7"/>
      <c r="M8504" s="5"/>
      <c r="N8504" s="5"/>
      <c r="O8504" s="5"/>
    </row>
    <row r="8505">
      <c r="A8505" s="6"/>
      <c r="C8505" s="6"/>
      <c r="L8505" s="7"/>
      <c r="M8505" s="5"/>
      <c r="N8505" s="5"/>
      <c r="O8505" s="5"/>
    </row>
    <row r="8506">
      <c r="A8506" s="6"/>
      <c r="C8506" s="6"/>
      <c r="L8506" s="7"/>
      <c r="M8506" s="5"/>
      <c r="N8506" s="5"/>
      <c r="O8506" s="5"/>
    </row>
    <row r="8507">
      <c r="A8507" s="6"/>
      <c r="C8507" s="6"/>
      <c r="L8507" s="7"/>
      <c r="M8507" s="5"/>
      <c r="N8507" s="5"/>
      <c r="O8507" s="5"/>
    </row>
    <row r="8508">
      <c r="A8508" s="6"/>
      <c r="C8508" s="6"/>
      <c r="L8508" s="7"/>
      <c r="M8508" s="5"/>
      <c r="N8508" s="5"/>
      <c r="O8508" s="5"/>
    </row>
    <row r="8509">
      <c r="A8509" s="6"/>
      <c r="C8509" s="6"/>
      <c r="L8509" s="7"/>
      <c r="M8509" s="5"/>
      <c r="N8509" s="5"/>
      <c r="O8509" s="5"/>
    </row>
    <row r="8510">
      <c r="A8510" s="6"/>
      <c r="C8510" s="6"/>
      <c r="L8510" s="7"/>
      <c r="M8510" s="5"/>
      <c r="N8510" s="5"/>
      <c r="O8510" s="5"/>
    </row>
    <row r="8511">
      <c r="A8511" s="6"/>
      <c r="C8511" s="6"/>
      <c r="L8511" s="7"/>
      <c r="M8511" s="5"/>
      <c r="N8511" s="5"/>
      <c r="O8511" s="5"/>
    </row>
    <row r="8512">
      <c r="A8512" s="6"/>
      <c r="C8512" s="6"/>
      <c r="L8512" s="7"/>
      <c r="M8512" s="5"/>
      <c r="N8512" s="5"/>
      <c r="O8512" s="5"/>
    </row>
    <row r="8513">
      <c r="A8513" s="6"/>
      <c r="C8513" s="6"/>
      <c r="L8513" s="7"/>
      <c r="M8513" s="5"/>
      <c r="N8513" s="5"/>
      <c r="O8513" s="5"/>
    </row>
    <row r="8514">
      <c r="A8514" s="6"/>
      <c r="C8514" s="6"/>
      <c r="L8514" s="7"/>
      <c r="M8514" s="5"/>
      <c r="N8514" s="5"/>
      <c r="O8514" s="5"/>
    </row>
    <row r="8515">
      <c r="A8515" s="6"/>
      <c r="C8515" s="6"/>
      <c r="L8515" s="7"/>
      <c r="M8515" s="5"/>
      <c r="N8515" s="5"/>
      <c r="O8515" s="5"/>
    </row>
    <row r="8516">
      <c r="A8516" s="6"/>
      <c r="C8516" s="6"/>
      <c r="L8516" s="7"/>
      <c r="M8516" s="5"/>
      <c r="N8516" s="5"/>
      <c r="O8516" s="5"/>
    </row>
    <row r="8517">
      <c r="A8517" s="6"/>
      <c r="C8517" s="6"/>
      <c r="L8517" s="7"/>
      <c r="M8517" s="5"/>
      <c r="N8517" s="5"/>
      <c r="O8517" s="5"/>
    </row>
    <row r="8518">
      <c r="A8518" s="6"/>
      <c r="C8518" s="6"/>
      <c r="L8518" s="7"/>
      <c r="M8518" s="5"/>
      <c r="N8518" s="5"/>
      <c r="O8518" s="5"/>
    </row>
    <row r="8519">
      <c r="A8519" s="6"/>
      <c r="C8519" s="6"/>
      <c r="L8519" s="7"/>
      <c r="M8519" s="5"/>
      <c r="N8519" s="5"/>
      <c r="O8519" s="5"/>
    </row>
    <row r="8520">
      <c r="A8520" s="6"/>
      <c r="C8520" s="6"/>
      <c r="L8520" s="7"/>
      <c r="M8520" s="5"/>
      <c r="N8520" s="5"/>
      <c r="O8520" s="5"/>
    </row>
    <row r="8521">
      <c r="A8521" s="6"/>
      <c r="C8521" s="6"/>
      <c r="L8521" s="7"/>
      <c r="M8521" s="5"/>
      <c r="N8521" s="5"/>
      <c r="O8521" s="5"/>
    </row>
    <row r="8522">
      <c r="A8522" s="6"/>
      <c r="C8522" s="6"/>
      <c r="L8522" s="7"/>
      <c r="M8522" s="5"/>
      <c r="N8522" s="5"/>
      <c r="O8522" s="5"/>
    </row>
    <row r="8523">
      <c r="A8523" s="6"/>
      <c r="C8523" s="6"/>
      <c r="L8523" s="7"/>
      <c r="M8523" s="5"/>
      <c r="N8523" s="5"/>
      <c r="O8523" s="5"/>
    </row>
    <row r="8524">
      <c r="A8524" s="6"/>
      <c r="C8524" s="6"/>
      <c r="L8524" s="7"/>
      <c r="M8524" s="5"/>
      <c r="N8524" s="5"/>
      <c r="O8524" s="5"/>
    </row>
    <row r="8525">
      <c r="A8525" s="6"/>
      <c r="C8525" s="6"/>
      <c r="L8525" s="7"/>
      <c r="M8525" s="5"/>
      <c r="N8525" s="5"/>
      <c r="O8525" s="5"/>
    </row>
    <row r="8526">
      <c r="A8526" s="6"/>
      <c r="C8526" s="6"/>
      <c r="L8526" s="7"/>
      <c r="M8526" s="5"/>
      <c r="N8526" s="5"/>
      <c r="O8526" s="5"/>
    </row>
    <row r="8527">
      <c r="A8527" s="6"/>
      <c r="C8527" s="6"/>
      <c r="L8527" s="7"/>
      <c r="M8527" s="5"/>
      <c r="N8527" s="5"/>
      <c r="O8527" s="5"/>
    </row>
    <row r="8528">
      <c r="A8528" s="6"/>
      <c r="C8528" s="6"/>
      <c r="L8528" s="7"/>
      <c r="M8528" s="5"/>
      <c r="N8528" s="5"/>
      <c r="O8528" s="5"/>
    </row>
    <row r="8529">
      <c r="A8529" s="6"/>
      <c r="C8529" s="6"/>
      <c r="L8529" s="7"/>
      <c r="M8529" s="5"/>
      <c r="N8529" s="5"/>
      <c r="O8529" s="5"/>
    </row>
    <row r="8530">
      <c r="A8530" s="6"/>
      <c r="C8530" s="6"/>
      <c r="L8530" s="7"/>
      <c r="M8530" s="5"/>
      <c r="N8530" s="5"/>
      <c r="O8530" s="5"/>
    </row>
    <row r="8531">
      <c r="A8531" s="6"/>
      <c r="C8531" s="6"/>
      <c r="L8531" s="7"/>
      <c r="M8531" s="5"/>
      <c r="N8531" s="5"/>
      <c r="O8531" s="5"/>
    </row>
    <row r="8532">
      <c r="A8532" s="6"/>
      <c r="C8532" s="6"/>
      <c r="L8532" s="7"/>
      <c r="M8532" s="5"/>
      <c r="N8532" s="5"/>
      <c r="O8532" s="5"/>
    </row>
    <row r="8533">
      <c r="A8533" s="6"/>
      <c r="C8533" s="6"/>
      <c r="L8533" s="7"/>
      <c r="M8533" s="5"/>
      <c r="N8533" s="5"/>
      <c r="O8533" s="5"/>
    </row>
    <row r="8534">
      <c r="A8534" s="6"/>
      <c r="C8534" s="6"/>
      <c r="L8534" s="7"/>
      <c r="M8534" s="5"/>
      <c r="N8534" s="5"/>
      <c r="O8534" s="5"/>
    </row>
    <row r="8535">
      <c r="A8535" s="6"/>
      <c r="C8535" s="6"/>
      <c r="L8535" s="7"/>
      <c r="M8535" s="5"/>
      <c r="N8535" s="5"/>
      <c r="O8535" s="5"/>
    </row>
    <row r="8536">
      <c r="A8536" s="6"/>
      <c r="C8536" s="6"/>
      <c r="L8536" s="7"/>
      <c r="M8536" s="5"/>
      <c r="N8536" s="5"/>
      <c r="O8536" s="5"/>
    </row>
    <row r="8537">
      <c r="A8537" s="6"/>
      <c r="C8537" s="6"/>
      <c r="L8537" s="7"/>
      <c r="M8537" s="5"/>
      <c r="N8537" s="5"/>
      <c r="O8537" s="5"/>
    </row>
    <row r="8538">
      <c r="A8538" s="6"/>
      <c r="C8538" s="6"/>
      <c r="L8538" s="7"/>
      <c r="M8538" s="5"/>
      <c r="N8538" s="5"/>
      <c r="O8538" s="5"/>
    </row>
    <row r="8539">
      <c r="A8539" s="6"/>
      <c r="C8539" s="6"/>
      <c r="L8539" s="7"/>
      <c r="M8539" s="5"/>
      <c r="N8539" s="5"/>
      <c r="O8539" s="5"/>
    </row>
    <row r="8540">
      <c r="A8540" s="6"/>
      <c r="C8540" s="6"/>
      <c r="L8540" s="7"/>
      <c r="M8540" s="5"/>
      <c r="N8540" s="5"/>
      <c r="O8540" s="5"/>
    </row>
    <row r="8541">
      <c r="A8541" s="6"/>
      <c r="C8541" s="6"/>
      <c r="L8541" s="7"/>
      <c r="M8541" s="5"/>
      <c r="N8541" s="5"/>
      <c r="O8541" s="5"/>
    </row>
    <row r="8542">
      <c r="A8542" s="6"/>
      <c r="C8542" s="6"/>
      <c r="L8542" s="7"/>
      <c r="M8542" s="5"/>
      <c r="N8542" s="5"/>
      <c r="O8542" s="5"/>
    </row>
    <row r="8543">
      <c r="A8543" s="6"/>
      <c r="C8543" s="6"/>
      <c r="L8543" s="7"/>
      <c r="M8543" s="5"/>
      <c r="N8543" s="5"/>
      <c r="O8543" s="5"/>
    </row>
    <row r="8544">
      <c r="A8544" s="6"/>
      <c r="C8544" s="6"/>
      <c r="L8544" s="7"/>
      <c r="M8544" s="5"/>
      <c r="N8544" s="5"/>
      <c r="O8544" s="5"/>
    </row>
    <row r="8545">
      <c r="A8545" s="6"/>
      <c r="C8545" s="6"/>
      <c r="L8545" s="7"/>
      <c r="M8545" s="5"/>
      <c r="N8545" s="5"/>
      <c r="O8545" s="5"/>
    </row>
    <row r="8546">
      <c r="A8546" s="6"/>
      <c r="C8546" s="6"/>
      <c r="L8546" s="7"/>
      <c r="M8546" s="5"/>
      <c r="N8546" s="5"/>
      <c r="O8546" s="5"/>
    </row>
    <row r="8547">
      <c r="A8547" s="6"/>
      <c r="C8547" s="6"/>
      <c r="L8547" s="7"/>
      <c r="M8547" s="5"/>
      <c r="N8547" s="5"/>
      <c r="O8547" s="5"/>
    </row>
    <row r="8548">
      <c r="A8548" s="6"/>
      <c r="C8548" s="6"/>
      <c r="L8548" s="7"/>
      <c r="M8548" s="5"/>
      <c r="N8548" s="5"/>
      <c r="O8548" s="5"/>
    </row>
    <row r="8549">
      <c r="A8549" s="6"/>
      <c r="C8549" s="6"/>
      <c r="L8549" s="7"/>
      <c r="M8549" s="5"/>
      <c r="N8549" s="5"/>
      <c r="O8549" s="5"/>
    </row>
    <row r="8550">
      <c r="A8550" s="6"/>
      <c r="C8550" s="6"/>
      <c r="L8550" s="7"/>
      <c r="M8550" s="5"/>
      <c r="N8550" s="5"/>
      <c r="O8550" s="5"/>
    </row>
    <row r="8551">
      <c r="A8551" s="6"/>
      <c r="C8551" s="6"/>
      <c r="L8551" s="7"/>
      <c r="M8551" s="5"/>
      <c r="N8551" s="5"/>
      <c r="O8551" s="5"/>
    </row>
    <row r="8552">
      <c r="A8552" s="6"/>
      <c r="C8552" s="6"/>
      <c r="L8552" s="7"/>
      <c r="M8552" s="5"/>
      <c r="N8552" s="5"/>
      <c r="O8552" s="5"/>
    </row>
    <row r="8553">
      <c r="A8553" s="6"/>
      <c r="C8553" s="6"/>
      <c r="L8553" s="7"/>
      <c r="M8553" s="5"/>
      <c r="N8553" s="5"/>
      <c r="O8553" s="5"/>
    </row>
    <row r="8554">
      <c r="A8554" s="6"/>
      <c r="C8554" s="6"/>
      <c r="L8554" s="7"/>
      <c r="M8554" s="5"/>
      <c r="N8554" s="5"/>
      <c r="O8554" s="5"/>
    </row>
    <row r="8555">
      <c r="A8555" s="6"/>
      <c r="C8555" s="6"/>
      <c r="L8555" s="7"/>
      <c r="M8555" s="5"/>
      <c r="N8555" s="5"/>
      <c r="O8555" s="5"/>
    </row>
    <row r="8556">
      <c r="A8556" s="6"/>
      <c r="C8556" s="6"/>
      <c r="L8556" s="7"/>
      <c r="M8556" s="5"/>
      <c r="N8556" s="5"/>
      <c r="O8556" s="5"/>
    </row>
    <row r="8557">
      <c r="A8557" s="6"/>
      <c r="C8557" s="6"/>
      <c r="L8557" s="7"/>
      <c r="M8557" s="5"/>
      <c r="N8557" s="5"/>
      <c r="O8557" s="5"/>
    </row>
    <row r="8558">
      <c r="A8558" s="6"/>
      <c r="C8558" s="6"/>
      <c r="L8558" s="7"/>
      <c r="M8558" s="5"/>
      <c r="N8558" s="5"/>
      <c r="O8558" s="5"/>
    </row>
    <row r="8559">
      <c r="A8559" s="6"/>
      <c r="C8559" s="6"/>
      <c r="L8559" s="7"/>
      <c r="M8559" s="5"/>
      <c r="N8559" s="5"/>
      <c r="O8559" s="5"/>
    </row>
    <row r="8560">
      <c r="A8560" s="6"/>
      <c r="C8560" s="6"/>
      <c r="L8560" s="7"/>
      <c r="M8560" s="5"/>
      <c r="N8560" s="5"/>
      <c r="O8560" s="5"/>
    </row>
    <row r="8561">
      <c r="A8561" s="6"/>
      <c r="C8561" s="6"/>
      <c r="L8561" s="7"/>
      <c r="M8561" s="5"/>
      <c r="N8561" s="5"/>
      <c r="O8561" s="5"/>
    </row>
    <row r="8562">
      <c r="A8562" s="6"/>
      <c r="C8562" s="6"/>
      <c r="L8562" s="7"/>
      <c r="M8562" s="5"/>
      <c r="N8562" s="5"/>
      <c r="O8562" s="5"/>
    </row>
    <row r="8563">
      <c r="A8563" s="6"/>
      <c r="C8563" s="6"/>
      <c r="L8563" s="7"/>
      <c r="M8563" s="5"/>
      <c r="N8563" s="5"/>
      <c r="O8563" s="5"/>
    </row>
    <row r="8564">
      <c r="A8564" s="6"/>
      <c r="C8564" s="6"/>
      <c r="L8564" s="7"/>
      <c r="M8564" s="5"/>
      <c r="N8564" s="5"/>
      <c r="O8564" s="5"/>
    </row>
    <row r="8565">
      <c r="A8565" s="6"/>
      <c r="C8565" s="6"/>
      <c r="L8565" s="7"/>
      <c r="M8565" s="5"/>
      <c r="N8565" s="5"/>
      <c r="O8565" s="5"/>
    </row>
    <row r="8566">
      <c r="A8566" s="6"/>
      <c r="C8566" s="6"/>
      <c r="L8566" s="7"/>
      <c r="M8566" s="5"/>
      <c r="N8566" s="5"/>
      <c r="O8566" s="5"/>
    </row>
    <row r="8567">
      <c r="A8567" s="6"/>
      <c r="C8567" s="6"/>
      <c r="L8567" s="7"/>
      <c r="M8567" s="5"/>
      <c r="N8567" s="5"/>
      <c r="O8567" s="5"/>
    </row>
    <row r="8568">
      <c r="A8568" s="6"/>
      <c r="C8568" s="6"/>
      <c r="L8568" s="7"/>
      <c r="M8568" s="5"/>
      <c r="N8568" s="5"/>
      <c r="O8568" s="5"/>
    </row>
    <row r="8569">
      <c r="A8569" s="6"/>
      <c r="C8569" s="6"/>
      <c r="L8569" s="7"/>
      <c r="M8569" s="5"/>
      <c r="N8569" s="5"/>
      <c r="O8569" s="5"/>
    </row>
    <row r="8570">
      <c r="A8570" s="6"/>
      <c r="C8570" s="6"/>
      <c r="L8570" s="7"/>
      <c r="M8570" s="5"/>
      <c r="N8570" s="5"/>
      <c r="O8570" s="5"/>
    </row>
    <row r="8571">
      <c r="A8571" s="6"/>
      <c r="C8571" s="6"/>
      <c r="L8571" s="7"/>
      <c r="M8571" s="5"/>
      <c r="N8571" s="5"/>
      <c r="O8571" s="5"/>
    </row>
    <row r="8572">
      <c r="A8572" s="6"/>
      <c r="C8572" s="6"/>
      <c r="L8572" s="7"/>
      <c r="M8572" s="5"/>
      <c r="N8572" s="5"/>
      <c r="O8572" s="5"/>
    </row>
    <row r="8573">
      <c r="A8573" s="6"/>
      <c r="C8573" s="6"/>
      <c r="L8573" s="7"/>
      <c r="M8573" s="5"/>
      <c r="N8573" s="5"/>
      <c r="O8573" s="5"/>
    </row>
    <row r="8574">
      <c r="A8574" s="6"/>
      <c r="C8574" s="6"/>
      <c r="L8574" s="7"/>
      <c r="M8574" s="5"/>
      <c r="N8574" s="5"/>
      <c r="O8574" s="5"/>
    </row>
    <row r="8575">
      <c r="A8575" s="6"/>
      <c r="C8575" s="6"/>
      <c r="L8575" s="7"/>
      <c r="M8575" s="5"/>
      <c r="N8575" s="5"/>
      <c r="O8575" s="5"/>
    </row>
    <row r="8576">
      <c r="A8576" s="6"/>
      <c r="C8576" s="6"/>
      <c r="L8576" s="7"/>
      <c r="M8576" s="5"/>
      <c r="N8576" s="5"/>
      <c r="O8576" s="5"/>
    </row>
    <row r="8577">
      <c r="A8577" s="6"/>
      <c r="C8577" s="6"/>
      <c r="L8577" s="7"/>
      <c r="M8577" s="5"/>
      <c r="N8577" s="5"/>
      <c r="O8577" s="5"/>
    </row>
    <row r="8578">
      <c r="A8578" s="6"/>
      <c r="C8578" s="6"/>
      <c r="L8578" s="7"/>
      <c r="M8578" s="5"/>
      <c r="N8578" s="5"/>
      <c r="O8578" s="5"/>
    </row>
    <row r="8579">
      <c r="A8579" s="6"/>
      <c r="C8579" s="6"/>
      <c r="L8579" s="7"/>
      <c r="M8579" s="5"/>
      <c r="N8579" s="5"/>
      <c r="O8579" s="5"/>
    </row>
    <row r="8580">
      <c r="A8580" s="6"/>
      <c r="C8580" s="6"/>
      <c r="L8580" s="7"/>
      <c r="M8580" s="5"/>
      <c r="N8580" s="5"/>
      <c r="O8580" s="5"/>
    </row>
    <row r="8581">
      <c r="A8581" s="6"/>
      <c r="C8581" s="6"/>
      <c r="L8581" s="7"/>
      <c r="M8581" s="5"/>
      <c r="N8581" s="5"/>
      <c r="O8581" s="5"/>
    </row>
    <row r="8582">
      <c r="A8582" s="6"/>
      <c r="C8582" s="6"/>
      <c r="L8582" s="7"/>
      <c r="M8582" s="5"/>
      <c r="N8582" s="5"/>
      <c r="O8582" s="5"/>
    </row>
    <row r="8583">
      <c r="A8583" s="6"/>
      <c r="C8583" s="6"/>
      <c r="L8583" s="7"/>
      <c r="M8583" s="5"/>
      <c r="N8583" s="5"/>
      <c r="O8583" s="5"/>
    </row>
    <row r="8584">
      <c r="A8584" s="6"/>
      <c r="C8584" s="6"/>
      <c r="L8584" s="7"/>
      <c r="M8584" s="5"/>
      <c r="N8584" s="5"/>
      <c r="O8584" s="5"/>
    </row>
    <row r="8585">
      <c r="A8585" s="6"/>
      <c r="C8585" s="6"/>
      <c r="L8585" s="7"/>
      <c r="M8585" s="5"/>
      <c r="N8585" s="5"/>
      <c r="O8585" s="5"/>
    </row>
    <row r="8586">
      <c r="A8586" s="6"/>
      <c r="C8586" s="6"/>
      <c r="L8586" s="7"/>
      <c r="M8586" s="5"/>
      <c r="N8586" s="5"/>
      <c r="O8586" s="5"/>
    </row>
    <row r="8587">
      <c r="A8587" s="6"/>
      <c r="C8587" s="6"/>
      <c r="L8587" s="7"/>
      <c r="M8587" s="5"/>
      <c r="N8587" s="5"/>
      <c r="O8587" s="5"/>
    </row>
    <row r="8588">
      <c r="A8588" s="6"/>
      <c r="C8588" s="6"/>
      <c r="L8588" s="7"/>
      <c r="M8588" s="5"/>
      <c r="N8588" s="5"/>
      <c r="O8588" s="5"/>
    </row>
    <row r="8589">
      <c r="A8589" s="6"/>
      <c r="C8589" s="6"/>
      <c r="L8589" s="7"/>
      <c r="M8589" s="5"/>
      <c r="N8589" s="5"/>
      <c r="O8589" s="5"/>
    </row>
    <row r="8590">
      <c r="A8590" s="6"/>
      <c r="C8590" s="6"/>
      <c r="L8590" s="7"/>
      <c r="M8590" s="5"/>
      <c r="N8590" s="5"/>
      <c r="O8590" s="5"/>
    </row>
    <row r="8591">
      <c r="A8591" s="6"/>
      <c r="C8591" s="6"/>
      <c r="L8591" s="7"/>
      <c r="M8591" s="5"/>
      <c r="N8591" s="5"/>
      <c r="O8591" s="5"/>
    </row>
    <row r="8592">
      <c r="A8592" s="6"/>
      <c r="C8592" s="6"/>
      <c r="L8592" s="7"/>
      <c r="M8592" s="5"/>
      <c r="N8592" s="5"/>
      <c r="O8592" s="5"/>
    </row>
    <row r="8593">
      <c r="A8593" s="6"/>
      <c r="C8593" s="6"/>
      <c r="L8593" s="7"/>
      <c r="M8593" s="5"/>
      <c r="N8593" s="5"/>
      <c r="O8593" s="5"/>
    </row>
    <row r="8594">
      <c r="A8594" s="6"/>
      <c r="C8594" s="6"/>
      <c r="L8594" s="7"/>
      <c r="M8594" s="5"/>
      <c r="N8594" s="5"/>
      <c r="O8594" s="5"/>
    </row>
    <row r="8595">
      <c r="A8595" s="6"/>
      <c r="C8595" s="6"/>
      <c r="L8595" s="7"/>
      <c r="M8595" s="5"/>
      <c r="N8595" s="5"/>
      <c r="O8595" s="5"/>
    </row>
    <row r="8596">
      <c r="A8596" s="6"/>
      <c r="C8596" s="6"/>
      <c r="L8596" s="7"/>
      <c r="M8596" s="5"/>
      <c r="N8596" s="5"/>
      <c r="O8596" s="5"/>
    </row>
    <row r="8597">
      <c r="A8597" s="6"/>
      <c r="C8597" s="6"/>
      <c r="L8597" s="7"/>
      <c r="M8597" s="5"/>
      <c r="N8597" s="5"/>
      <c r="O8597" s="5"/>
    </row>
    <row r="8598">
      <c r="A8598" s="6"/>
      <c r="C8598" s="6"/>
      <c r="L8598" s="7"/>
      <c r="M8598" s="5"/>
      <c r="N8598" s="5"/>
      <c r="O8598" s="5"/>
    </row>
    <row r="8599">
      <c r="A8599" s="6"/>
      <c r="C8599" s="6"/>
      <c r="L8599" s="7"/>
      <c r="M8599" s="5"/>
      <c r="N8599" s="5"/>
      <c r="O8599" s="5"/>
    </row>
    <row r="8600">
      <c r="A8600" s="6"/>
      <c r="C8600" s="6"/>
      <c r="L8600" s="7"/>
      <c r="M8600" s="5"/>
      <c r="N8600" s="5"/>
      <c r="O8600" s="5"/>
    </row>
    <row r="8601">
      <c r="A8601" s="6"/>
      <c r="C8601" s="6"/>
      <c r="L8601" s="7"/>
      <c r="M8601" s="5"/>
      <c r="N8601" s="5"/>
      <c r="O8601" s="5"/>
    </row>
    <row r="8602">
      <c r="A8602" s="6"/>
      <c r="C8602" s="6"/>
      <c r="L8602" s="7"/>
      <c r="M8602" s="5"/>
      <c r="N8602" s="5"/>
      <c r="O8602" s="5"/>
    </row>
    <row r="8603">
      <c r="A8603" s="6"/>
      <c r="C8603" s="6"/>
      <c r="L8603" s="7"/>
      <c r="M8603" s="5"/>
      <c r="N8603" s="5"/>
      <c r="O8603" s="5"/>
    </row>
    <row r="8604">
      <c r="A8604" s="6"/>
      <c r="C8604" s="6"/>
      <c r="L8604" s="7"/>
      <c r="M8604" s="5"/>
      <c r="N8604" s="5"/>
      <c r="O8604" s="5"/>
    </row>
    <row r="8605">
      <c r="A8605" s="6"/>
      <c r="C8605" s="6"/>
      <c r="L8605" s="7"/>
      <c r="M8605" s="5"/>
      <c r="N8605" s="5"/>
      <c r="O8605" s="5"/>
    </row>
    <row r="8606">
      <c r="A8606" s="6"/>
      <c r="C8606" s="6"/>
      <c r="L8606" s="7"/>
      <c r="M8606" s="5"/>
      <c r="N8606" s="5"/>
      <c r="O8606" s="5"/>
    </row>
    <row r="8607">
      <c r="A8607" s="6"/>
      <c r="C8607" s="6"/>
      <c r="L8607" s="7"/>
      <c r="M8607" s="5"/>
      <c r="N8607" s="5"/>
      <c r="O8607" s="5"/>
    </row>
    <row r="8608">
      <c r="A8608" s="6"/>
      <c r="C8608" s="6"/>
      <c r="L8608" s="7"/>
      <c r="M8608" s="5"/>
      <c r="N8608" s="5"/>
      <c r="O8608" s="5"/>
    </row>
    <row r="8609">
      <c r="A8609" s="6"/>
      <c r="C8609" s="6"/>
      <c r="L8609" s="7"/>
      <c r="M8609" s="5"/>
      <c r="N8609" s="5"/>
      <c r="O8609" s="5"/>
    </row>
    <row r="8610">
      <c r="A8610" s="6"/>
      <c r="C8610" s="6"/>
      <c r="L8610" s="7"/>
      <c r="M8610" s="5"/>
      <c r="N8610" s="5"/>
      <c r="O8610" s="5"/>
    </row>
    <row r="8611">
      <c r="A8611" s="6"/>
      <c r="C8611" s="6"/>
      <c r="L8611" s="7"/>
      <c r="M8611" s="5"/>
      <c r="N8611" s="5"/>
      <c r="O8611" s="5"/>
    </row>
    <row r="8612">
      <c r="A8612" s="6"/>
      <c r="C8612" s="6"/>
      <c r="L8612" s="7"/>
      <c r="M8612" s="5"/>
      <c r="N8612" s="5"/>
      <c r="O8612" s="5"/>
    </row>
    <row r="8613">
      <c r="A8613" s="6"/>
      <c r="C8613" s="6"/>
      <c r="L8613" s="7"/>
      <c r="M8613" s="5"/>
      <c r="N8613" s="5"/>
      <c r="O8613" s="5"/>
    </row>
    <row r="8614">
      <c r="A8614" s="6"/>
      <c r="C8614" s="6"/>
      <c r="L8614" s="7"/>
      <c r="M8614" s="5"/>
      <c r="N8614" s="5"/>
      <c r="O8614" s="5"/>
    </row>
    <row r="8615">
      <c r="A8615" s="6"/>
      <c r="C8615" s="6"/>
      <c r="L8615" s="7"/>
      <c r="M8615" s="5"/>
      <c r="N8615" s="5"/>
      <c r="O8615" s="5"/>
    </row>
    <row r="8616">
      <c r="A8616" s="6"/>
      <c r="C8616" s="6"/>
      <c r="L8616" s="7"/>
      <c r="M8616" s="5"/>
      <c r="N8616" s="5"/>
      <c r="O8616" s="5"/>
    </row>
    <row r="8617">
      <c r="A8617" s="6"/>
      <c r="C8617" s="6"/>
      <c r="L8617" s="7"/>
      <c r="M8617" s="5"/>
      <c r="N8617" s="5"/>
      <c r="O8617" s="5"/>
    </row>
    <row r="8618">
      <c r="A8618" s="6"/>
      <c r="C8618" s="6"/>
      <c r="L8618" s="7"/>
      <c r="M8618" s="5"/>
      <c r="N8618" s="5"/>
      <c r="O8618" s="5"/>
    </row>
    <row r="8619">
      <c r="A8619" s="6"/>
      <c r="C8619" s="6"/>
      <c r="L8619" s="7"/>
      <c r="M8619" s="5"/>
      <c r="N8619" s="5"/>
      <c r="O8619" s="5"/>
    </row>
    <row r="8620">
      <c r="A8620" s="6"/>
      <c r="C8620" s="6"/>
      <c r="L8620" s="7"/>
      <c r="M8620" s="5"/>
      <c r="N8620" s="5"/>
      <c r="O8620" s="5"/>
    </row>
    <row r="8621">
      <c r="A8621" s="6"/>
      <c r="C8621" s="6"/>
      <c r="L8621" s="7"/>
      <c r="M8621" s="5"/>
      <c r="N8621" s="5"/>
      <c r="O8621" s="5"/>
    </row>
    <row r="8622">
      <c r="A8622" s="6"/>
      <c r="C8622" s="6"/>
      <c r="L8622" s="7"/>
      <c r="M8622" s="5"/>
      <c r="N8622" s="5"/>
      <c r="O8622" s="5"/>
    </row>
    <row r="8623">
      <c r="A8623" s="6"/>
      <c r="C8623" s="6"/>
      <c r="L8623" s="7"/>
      <c r="M8623" s="5"/>
      <c r="N8623" s="5"/>
      <c r="O8623" s="5"/>
    </row>
    <row r="8624">
      <c r="A8624" s="6"/>
      <c r="C8624" s="6"/>
      <c r="L8624" s="7"/>
      <c r="M8624" s="5"/>
      <c r="N8624" s="5"/>
      <c r="O8624" s="5"/>
    </row>
    <row r="8625">
      <c r="A8625" s="6"/>
      <c r="C8625" s="6"/>
      <c r="L8625" s="7"/>
      <c r="M8625" s="5"/>
      <c r="N8625" s="5"/>
      <c r="O8625" s="5"/>
    </row>
    <row r="8626">
      <c r="A8626" s="6"/>
      <c r="C8626" s="6"/>
      <c r="L8626" s="7"/>
      <c r="M8626" s="5"/>
      <c r="N8626" s="5"/>
      <c r="O8626" s="5"/>
    </row>
    <row r="8627">
      <c r="A8627" s="6"/>
      <c r="C8627" s="6"/>
      <c r="L8627" s="7"/>
      <c r="M8627" s="5"/>
      <c r="N8627" s="5"/>
      <c r="O8627" s="5"/>
    </row>
    <row r="8628">
      <c r="A8628" s="6"/>
      <c r="C8628" s="6"/>
      <c r="L8628" s="7"/>
      <c r="M8628" s="5"/>
      <c r="N8628" s="5"/>
      <c r="O8628" s="5"/>
    </row>
    <row r="8629">
      <c r="A8629" s="6"/>
      <c r="C8629" s="6"/>
      <c r="L8629" s="7"/>
      <c r="M8629" s="5"/>
      <c r="N8629" s="5"/>
      <c r="O8629" s="5"/>
    </row>
    <row r="8630">
      <c r="A8630" s="6"/>
      <c r="C8630" s="6"/>
      <c r="L8630" s="7"/>
      <c r="M8630" s="5"/>
      <c r="N8630" s="5"/>
      <c r="O8630" s="5"/>
    </row>
    <row r="8631">
      <c r="A8631" s="6"/>
      <c r="C8631" s="6"/>
      <c r="L8631" s="7"/>
      <c r="M8631" s="5"/>
      <c r="N8631" s="5"/>
      <c r="O8631" s="5"/>
    </row>
    <row r="8632">
      <c r="A8632" s="6"/>
      <c r="C8632" s="6"/>
      <c r="L8632" s="7"/>
      <c r="M8632" s="5"/>
      <c r="N8632" s="5"/>
      <c r="O8632" s="5"/>
    </row>
    <row r="8633">
      <c r="A8633" s="6"/>
      <c r="C8633" s="6"/>
      <c r="L8633" s="7"/>
      <c r="M8633" s="5"/>
      <c r="N8633" s="5"/>
      <c r="O8633" s="5"/>
    </row>
    <row r="8634">
      <c r="A8634" s="6"/>
      <c r="C8634" s="6"/>
      <c r="L8634" s="7"/>
      <c r="M8634" s="5"/>
      <c r="N8634" s="5"/>
      <c r="O8634" s="5"/>
    </row>
    <row r="8635">
      <c r="A8635" s="6"/>
      <c r="C8635" s="6"/>
      <c r="L8635" s="7"/>
      <c r="M8635" s="5"/>
      <c r="N8635" s="5"/>
      <c r="O8635" s="5"/>
    </row>
    <row r="8636">
      <c r="A8636" s="6"/>
      <c r="C8636" s="6"/>
      <c r="L8636" s="7"/>
      <c r="M8636" s="5"/>
      <c r="N8636" s="5"/>
      <c r="O8636" s="5"/>
    </row>
    <row r="8637">
      <c r="A8637" s="6"/>
      <c r="C8637" s="6"/>
      <c r="L8637" s="7"/>
      <c r="M8637" s="5"/>
      <c r="N8637" s="5"/>
      <c r="O8637" s="5"/>
    </row>
    <row r="8638">
      <c r="A8638" s="6"/>
      <c r="C8638" s="6"/>
      <c r="L8638" s="7"/>
      <c r="M8638" s="5"/>
      <c r="N8638" s="5"/>
      <c r="O8638" s="5"/>
    </row>
    <row r="8639">
      <c r="A8639" s="6"/>
      <c r="C8639" s="6"/>
      <c r="L8639" s="7"/>
      <c r="M8639" s="5"/>
      <c r="N8639" s="5"/>
      <c r="O8639" s="5"/>
    </row>
    <row r="8640">
      <c r="A8640" s="6"/>
      <c r="C8640" s="6"/>
      <c r="L8640" s="7"/>
      <c r="M8640" s="5"/>
      <c r="N8640" s="5"/>
      <c r="O8640" s="5"/>
    </row>
    <row r="8641">
      <c r="A8641" s="6"/>
      <c r="C8641" s="6"/>
      <c r="L8641" s="7"/>
      <c r="M8641" s="5"/>
      <c r="N8641" s="5"/>
      <c r="O8641" s="5"/>
    </row>
    <row r="8642">
      <c r="A8642" s="6"/>
      <c r="C8642" s="6"/>
      <c r="L8642" s="7"/>
      <c r="M8642" s="5"/>
      <c r="N8642" s="5"/>
      <c r="O8642" s="5"/>
    </row>
    <row r="8643">
      <c r="A8643" s="6"/>
      <c r="C8643" s="6"/>
      <c r="L8643" s="7"/>
      <c r="M8643" s="5"/>
      <c r="N8643" s="5"/>
      <c r="O8643" s="5"/>
    </row>
    <row r="8644">
      <c r="A8644" s="6"/>
      <c r="C8644" s="6"/>
      <c r="L8644" s="7"/>
      <c r="M8644" s="5"/>
      <c r="N8644" s="5"/>
      <c r="O8644" s="5"/>
    </row>
    <row r="8645">
      <c r="A8645" s="6"/>
      <c r="C8645" s="6"/>
      <c r="L8645" s="7"/>
      <c r="M8645" s="5"/>
      <c r="N8645" s="5"/>
      <c r="O8645" s="5"/>
    </row>
    <row r="8646">
      <c r="A8646" s="6"/>
      <c r="C8646" s="6"/>
      <c r="L8646" s="7"/>
      <c r="M8646" s="5"/>
      <c r="N8646" s="5"/>
      <c r="O8646" s="5"/>
    </row>
    <row r="8647">
      <c r="A8647" s="6"/>
      <c r="C8647" s="6"/>
      <c r="L8647" s="7"/>
      <c r="M8647" s="5"/>
      <c r="N8647" s="5"/>
      <c r="O8647" s="5"/>
    </row>
    <row r="8648">
      <c r="A8648" s="6"/>
      <c r="C8648" s="6"/>
      <c r="L8648" s="7"/>
      <c r="M8648" s="5"/>
      <c r="N8648" s="5"/>
      <c r="O8648" s="5"/>
    </row>
    <row r="8649">
      <c r="A8649" s="6"/>
      <c r="C8649" s="6"/>
      <c r="L8649" s="7"/>
      <c r="M8649" s="5"/>
      <c r="N8649" s="5"/>
      <c r="O8649" s="5"/>
    </row>
    <row r="8650">
      <c r="A8650" s="6"/>
      <c r="C8650" s="6"/>
      <c r="L8650" s="7"/>
      <c r="M8650" s="5"/>
      <c r="N8650" s="5"/>
      <c r="O8650" s="5"/>
    </row>
    <row r="8651">
      <c r="A8651" s="6"/>
      <c r="C8651" s="6"/>
      <c r="L8651" s="7"/>
      <c r="M8651" s="5"/>
      <c r="N8651" s="5"/>
      <c r="O8651" s="5"/>
    </row>
    <row r="8652">
      <c r="A8652" s="6"/>
      <c r="C8652" s="6"/>
      <c r="L8652" s="7"/>
      <c r="M8652" s="5"/>
      <c r="N8652" s="5"/>
      <c r="O8652" s="5"/>
    </row>
    <row r="8653">
      <c r="A8653" s="6"/>
      <c r="C8653" s="6"/>
      <c r="L8653" s="7"/>
      <c r="M8653" s="5"/>
      <c r="N8653" s="5"/>
      <c r="O8653" s="5"/>
    </row>
    <row r="8654">
      <c r="A8654" s="6"/>
      <c r="C8654" s="6"/>
      <c r="L8654" s="7"/>
      <c r="M8654" s="5"/>
      <c r="N8654" s="5"/>
      <c r="O8654" s="5"/>
    </row>
    <row r="8655">
      <c r="A8655" s="6"/>
      <c r="C8655" s="6"/>
      <c r="L8655" s="7"/>
      <c r="M8655" s="5"/>
      <c r="N8655" s="5"/>
      <c r="O8655" s="5"/>
    </row>
    <row r="8656">
      <c r="A8656" s="6"/>
      <c r="C8656" s="6"/>
      <c r="L8656" s="7"/>
      <c r="M8656" s="5"/>
      <c r="N8656" s="5"/>
      <c r="O8656" s="5"/>
    </row>
    <row r="8657">
      <c r="A8657" s="6"/>
      <c r="C8657" s="6"/>
      <c r="L8657" s="7"/>
      <c r="M8657" s="5"/>
      <c r="N8657" s="5"/>
      <c r="O8657" s="5"/>
    </row>
    <row r="8658">
      <c r="A8658" s="6"/>
      <c r="C8658" s="6"/>
      <c r="L8658" s="7"/>
      <c r="M8658" s="5"/>
      <c r="N8658" s="5"/>
      <c r="O8658" s="5"/>
    </row>
    <row r="8659">
      <c r="A8659" s="6"/>
      <c r="C8659" s="6"/>
      <c r="L8659" s="7"/>
      <c r="M8659" s="5"/>
      <c r="N8659" s="5"/>
      <c r="O8659" s="5"/>
    </row>
    <row r="8660">
      <c r="A8660" s="6"/>
      <c r="C8660" s="6"/>
      <c r="L8660" s="7"/>
      <c r="M8660" s="5"/>
      <c r="N8660" s="5"/>
      <c r="O8660" s="5"/>
    </row>
    <row r="8661">
      <c r="A8661" s="6"/>
      <c r="C8661" s="6"/>
      <c r="L8661" s="7"/>
      <c r="M8661" s="5"/>
      <c r="N8661" s="5"/>
      <c r="O8661" s="5"/>
    </row>
    <row r="8662">
      <c r="A8662" s="6"/>
      <c r="C8662" s="6"/>
      <c r="L8662" s="7"/>
      <c r="M8662" s="5"/>
      <c r="N8662" s="5"/>
      <c r="O8662" s="5"/>
    </row>
    <row r="8663">
      <c r="A8663" s="6"/>
      <c r="C8663" s="6"/>
      <c r="L8663" s="7"/>
      <c r="M8663" s="5"/>
      <c r="N8663" s="5"/>
      <c r="O8663" s="5"/>
    </row>
    <row r="8664">
      <c r="A8664" s="6"/>
      <c r="C8664" s="6"/>
      <c r="L8664" s="7"/>
      <c r="M8664" s="5"/>
      <c r="N8664" s="5"/>
      <c r="O8664" s="5"/>
    </row>
    <row r="8665">
      <c r="A8665" s="6"/>
      <c r="C8665" s="6"/>
      <c r="L8665" s="7"/>
      <c r="M8665" s="5"/>
      <c r="N8665" s="5"/>
      <c r="O8665" s="5"/>
    </row>
    <row r="8666">
      <c r="A8666" s="6"/>
      <c r="C8666" s="6"/>
      <c r="L8666" s="7"/>
      <c r="M8666" s="5"/>
      <c r="N8666" s="5"/>
      <c r="O8666" s="5"/>
    </row>
    <row r="8667">
      <c r="A8667" s="6"/>
      <c r="C8667" s="6"/>
      <c r="L8667" s="7"/>
      <c r="M8667" s="5"/>
      <c r="N8667" s="5"/>
      <c r="O8667" s="5"/>
    </row>
    <row r="8668">
      <c r="A8668" s="6"/>
      <c r="C8668" s="6"/>
      <c r="L8668" s="7"/>
      <c r="M8668" s="5"/>
      <c r="N8668" s="5"/>
      <c r="O8668" s="5"/>
    </row>
    <row r="8669">
      <c r="A8669" s="6"/>
      <c r="C8669" s="6"/>
      <c r="L8669" s="7"/>
      <c r="M8669" s="5"/>
      <c r="N8669" s="5"/>
      <c r="O8669" s="5"/>
    </row>
    <row r="8670">
      <c r="A8670" s="6"/>
      <c r="C8670" s="6"/>
      <c r="L8670" s="7"/>
      <c r="M8670" s="5"/>
      <c r="N8670" s="5"/>
      <c r="O8670" s="5"/>
    </row>
    <row r="8671">
      <c r="A8671" s="6"/>
      <c r="C8671" s="6"/>
      <c r="L8671" s="7"/>
      <c r="M8671" s="5"/>
      <c r="N8671" s="5"/>
      <c r="O8671" s="5"/>
    </row>
    <row r="8672">
      <c r="A8672" s="6"/>
      <c r="C8672" s="6"/>
      <c r="L8672" s="7"/>
      <c r="M8672" s="5"/>
      <c r="N8672" s="5"/>
      <c r="O8672" s="5"/>
    </row>
    <row r="8673">
      <c r="A8673" s="6"/>
      <c r="C8673" s="6"/>
      <c r="L8673" s="7"/>
      <c r="M8673" s="5"/>
      <c r="N8673" s="5"/>
      <c r="O8673" s="5"/>
    </row>
    <row r="8674">
      <c r="A8674" s="6"/>
      <c r="C8674" s="6"/>
      <c r="L8674" s="7"/>
      <c r="M8674" s="5"/>
      <c r="N8674" s="5"/>
      <c r="O8674" s="5"/>
    </row>
    <row r="8675">
      <c r="A8675" s="6"/>
      <c r="C8675" s="6"/>
      <c r="L8675" s="7"/>
      <c r="M8675" s="5"/>
      <c r="N8675" s="5"/>
      <c r="O8675" s="5"/>
    </row>
    <row r="8676">
      <c r="A8676" s="6"/>
      <c r="C8676" s="6"/>
      <c r="L8676" s="7"/>
      <c r="M8676" s="5"/>
      <c r="N8676" s="5"/>
      <c r="O8676" s="5"/>
    </row>
    <row r="8677">
      <c r="A8677" s="6"/>
      <c r="C8677" s="6"/>
      <c r="L8677" s="7"/>
      <c r="M8677" s="5"/>
      <c r="N8677" s="5"/>
      <c r="O8677" s="5"/>
    </row>
    <row r="8678">
      <c r="A8678" s="6"/>
      <c r="C8678" s="6"/>
      <c r="L8678" s="7"/>
      <c r="M8678" s="5"/>
      <c r="N8678" s="5"/>
      <c r="O8678" s="5"/>
    </row>
    <row r="8679">
      <c r="A8679" s="6"/>
      <c r="C8679" s="6"/>
      <c r="L8679" s="7"/>
      <c r="M8679" s="5"/>
      <c r="N8679" s="5"/>
      <c r="O8679" s="5"/>
    </row>
    <row r="8680">
      <c r="A8680" s="6"/>
      <c r="C8680" s="6"/>
      <c r="L8680" s="7"/>
      <c r="M8680" s="5"/>
      <c r="N8680" s="5"/>
      <c r="O8680" s="5"/>
    </row>
    <row r="8681">
      <c r="A8681" s="6"/>
      <c r="C8681" s="6"/>
      <c r="L8681" s="7"/>
      <c r="M8681" s="5"/>
      <c r="N8681" s="5"/>
      <c r="O8681" s="5"/>
    </row>
    <row r="8682">
      <c r="A8682" s="6"/>
      <c r="C8682" s="6"/>
      <c r="L8682" s="7"/>
      <c r="M8682" s="5"/>
      <c r="N8682" s="5"/>
      <c r="O8682" s="5"/>
    </row>
    <row r="8683">
      <c r="A8683" s="6"/>
      <c r="C8683" s="6"/>
      <c r="L8683" s="7"/>
      <c r="M8683" s="5"/>
      <c r="N8683" s="5"/>
      <c r="O8683" s="5"/>
    </row>
    <row r="8684">
      <c r="A8684" s="6"/>
      <c r="C8684" s="6"/>
      <c r="L8684" s="7"/>
      <c r="M8684" s="5"/>
      <c r="N8684" s="5"/>
      <c r="O8684" s="5"/>
    </row>
    <row r="8685">
      <c r="A8685" s="6"/>
      <c r="C8685" s="6"/>
      <c r="L8685" s="7"/>
      <c r="M8685" s="5"/>
      <c r="N8685" s="5"/>
      <c r="O8685" s="5"/>
    </row>
    <row r="8686">
      <c r="A8686" s="6"/>
      <c r="C8686" s="6"/>
      <c r="L8686" s="7"/>
      <c r="M8686" s="5"/>
      <c r="N8686" s="5"/>
      <c r="O8686" s="5"/>
    </row>
    <row r="8687">
      <c r="A8687" s="6"/>
      <c r="C8687" s="6"/>
      <c r="L8687" s="7"/>
      <c r="M8687" s="5"/>
      <c r="N8687" s="5"/>
      <c r="O8687" s="5"/>
    </row>
    <row r="8688">
      <c r="A8688" s="6"/>
      <c r="C8688" s="6"/>
      <c r="L8688" s="7"/>
      <c r="M8688" s="5"/>
      <c r="N8688" s="5"/>
      <c r="O8688" s="5"/>
    </row>
    <row r="8689">
      <c r="A8689" s="6"/>
      <c r="C8689" s="6"/>
      <c r="L8689" s="7"/>
      <c r="M8689" s="5"/>
      <c r="N8689" s="5"/>
      <c r="O8689" s="5"/>
    </row>
    <row r="8690">
      <c r="A8690" s="6"/>
      <c r="C8690" s="6"/>
      <c r="L8690" s="7"/>
      <c r="M8690" s="5"/>
      <c r="N8690" s="5"/>
      <c r="O8690" s="5"/>
    </row>
    <row r="8691">
      <c r="A8691" s="6"/>
      <c r="C8691" s="6"/>
      <c r="L8691" s="7"/>
      <c r="M8691" s="5"/>
      <c r="N8691" s="5"/>
      <c r="O8691" s="5"/>
    </row>
    <row r="8692">
      <c r="A8692" s="6"/>
      <c r="C8692" s="6"/>
      <c r="L8692" s="7"/>
      <c r="M8692" s="5"/>
      <c r="N8692" s="5"/>
      <c r="O8692" s="5"/>
    </row>
    <row r="8693">
      <c r="A8693" s="6"/>
      <c r="C8693" s="6"/>
      <c r="L8693" s="7"/>
      <c r="M8693" s="5"/>
      <c r="N8693" s="5"/>
      <c r="O8693" s="5"/>
    </row>
    <row r="8694">
      <c r="A8694" s="6"/>
      <c r="C8694" s="6"/>
      <c r="L8694" s="7"/>
      <c r="M8694" s="5"/>
      <c r="N8694" s="5"/>
      <c r="O8694" s="5"/>
    </row>
    <row r="8695">
      <c r="A8695" s="6"/>
      <c r="C8695" s="6"/>
      <c r="L8695" s="7"/>
      <c r="M8695" s="5"/>
      <c r="N8695" s="5"/>
      <c r="O8695" s="5"/>
    </row>
    <row r="8696">
      <c r="A8696" s="6"/>
      <c r="C8696" s="6"/>
      <c r="L8696" s="7"/>
      <c r="M8696" s="5"/>
      <c r="N8696" s="5"/>
      <c r="O8696" s="5"/>
    </row>
    <row r="8697">
      <c r="A8697" s="6"/>
      <c r="C8697" s="6"/>
      <c r="L8697" s="7"/>
      <c r="M8697" s="5"/>
      <c r="N8697" s="5"/>
      <c r="O8697" s="5"/>
    </row>
    <row r="8698">
      <c r="A8698" s="6"/>
      <c r="C8698" s="6"/>
      <c r="L8698" s="7"/>
      <c r="M8698" s="5"/>
      <c r="N8698" s="5"/>
      <c r="O8698" s="5"/>
    </row>
    <row r="8699">
      <c r="A8699" s="6"/>
      <c r="C8699" s="6"/>
      <c r="L8699" s="7"/>
      <c r="M8699" s="5"/>
      <c r="N8699" s="5"/>
      <c r="O8699" s="5"/>
    </row>
    <row r="8700">
      <c r="A8700" s="6"/>
      <c r="C8700" s="6"/>
      <c r="L8700" s="7"/>
      <c r="M8700" s="5"/>
      <c r="N8700" s="5"/>
      <c r="O8700" s="5"/>
    </row>
    <row r="8701">
      <c r="A8701" s="6"/>
      <c r="C8701" s="6"/>
      <c r="L8701" s="7"/>
      <c r="M8701" s="5"/>
      <c r="N8701" s="5"/>
      <c r="O8701" s="5"/>
    </row>
    <row r="8702">
      <c r="A8702" s="6"/>
      <c r="C8702" s="6"/>
      <c r="L8702" s="7"/>
      <c r="M8702" s="5"/>
      <c r="N8702" s="5"/>
      <c r="O8702" s="5"/>
    </row>
    <row r="8703">
      <c r="A8703" s="6"/>
      <c r="C8703" s="6"/>
      <c r="L8703" s="7"/>
      <c r="M8703" s="5"/>
      <c r="N8703" s="5"/>
      <c r="O8703" s="5"/>
    </row>
    <row r="8704">
      <c r="A8704" s="6"/>
      <c r="C8704" s="6"/>
      <c r="L8704" s="7"/>
      <c r="M8704" s="5"/>
      <c r="N8704" s="5"/>
      <c r="O8704" s="5"/>
    </row>
    <row r="8705">
      <c r="A8705" s="6"/>
      <c r="C8705" s="6"/>
      <c r="L8705" s="7"/>
      <c r="M8705" s="5"/>
      <c r="N8705" s="5"/>
      <c r="O8705" s="5"/>
    </row>
    <row r="8706">
      <c r="A8706" s="6"/>
      <c r="C8706" s="6"/>
      <c r="L8706" s="7"/>
      <c r="M8706" s="5"/>
      <c r="N8706" s="5"/>
      <c r="O8706" s="5"/>
    </row>
    <row r="8707">
      <c r="A8707" s="6"/>
      <c r="C8707" s="6"/>
      <c r="L8707" s="7"/>
      <c r="M8707" s="5"/>
      <c r="N8707" s="5"/>
      <c r="O8707" s="5"/>
    </row>
    <row r="8708">
      <c r="A8708" s="6"/>
      <c r="C8708" s="6"/>
      <c r="L8708" s="7"/>
      <c r="M8708" s="5"/>
      <c r="N8708" s="5"/>
      <c r="O8708" s="5"/>
    </row>
    <row r="8709">
      <c r="A8709" s="6"/>
      <c r="C8709" s="6"/>
      <c r="L8709" s="7"/>
      <c r="M8709" s="5"/>
      <c r="N8709" s="5"/>
      <c r="O8709" s="5"/>
    </row>
    <row r="8710">
      <c r="A8710" s="6"/>
      <c r="C8710" s="6"/>
      <c r="L8710" s="7"/>
      <c r="M8710" s="5"/>
      <c r="N8710" s="5"/>
      <c r="O8710" s="5"/>
    </row>
    <row r="8711">
      <c r="A8711" s="6"/>
      <c r="C8711" s="6"/>
      <c r="L8711" s="7"/>
      <c r="M8711" s="5"/>
      <c r="N8711" s="5"/>
      <c r="O8711" s="5"/>
    </row>
    <row r="8712">
      <c r="A8712" s="6"/>
      <c r="C8712" s="6"/>
      <c r="L8712" s="7"/>
      <c r="M8712" s="5"/>
      <c r="N8712" s="5"/>
      <c r="O8712" s="5"/>
    </row>
    <row r="8713">
      <c r="A8713" s="6"/>
      <c r="C8713" s="6"/>
      <c r="L8713" s="7"/>
      <c r="M8713" s="5"/>
      <c r="N8713" s="5"/>
      <c r="O8713" s="5"/>
    </row>
    <row r="8714">
      <c r="A8714" s="6"/>
      <c r="C8714" s="6"/>
      <c r="L8714" s="7"/>
      <c r="M8714" s="5"/>
      <c r="N8714" s="5"/>
      <c r="O8714" s="5"/>
    </row>
    <row r="8715">
      <c r="A8715" s="6"/>
      <c r="C8715" s="6"/>
      <c r="L8715" s="7"/>
      <c r="M8715" s="5"/>
      <c r="N8715" s="5"/>
      <c r="O8715" s="5"/>
    </row>
    <row r="8716">
      <c r="A8716" s="6"/>
      <c r="C8716" s="6"/>
      <c r="L8716" s="7"/>
      <c r="M8716" s="5"/>
      <c r="N8716" s="5"/>
      <c r="O8716" s="5"/>
    </row>
    <row r="8717">
      <c r="A8717" s="6"/>
      <c r="C8717" s="6"/>
      <c r="L8717" s="7"/>
      <c r="M8717" s="5"/>
      <c r="N8717" s="5"/>
      <c r="O8717" s="5"/>
    </row>
    <row r="8718">
      <c r="A8718" s="6"/>
      <c r="C8718" s="6"/>
      <c r="L8718" s="7"/>
      <c r="M8718" s="5"/>
      <c r="N8718" s="5"/>
      <c r="O8718" s="5"/>
    </row>
    <row r="8719">
      <c r="A8719" s="6"/>
      <c r="C8719" s="6"/>
      <c r="L8719" s="7"/>
      <c r="M8719" s="5"/>
      <c r="N8719" s="5"/>
      <c r="O8719" s="5"/>
    </row>
    <row r="8720">
      <c r="A8720" s="6"/>
      <c r="C8720" s="6"/>
      <c r="L8720" s="7"/>
      <c r="M8720" s="5"/>
      <c r="N8720" s="5"/>
      <c r="O8720" s="5"/>
    </row>
    <row r="8721">
      <c r="A8721" s="6"/>
      <c r="C8721" s="6"/>
      <c r="L8721" s="7"/>
      <c r="M8721" s="5"/>
      <c r="N8721" s="5"/>
      <c r="O8721" s="5"/>
    </row>
    <row r="8722">
      <c r="A8722" s="6"/>
      <c r="C8722" s="6"/>
      <c r="L8722" s="7"/>
      <c r="M8722" s="5"/>
      <c r="N8722" s="5"/>
      <c r="O8722" s="5"/>
    </row>
    <row r="8723">
      <c r="A8723" s="6"/>
      <c r="C8723" s="6"/>
      <c r="L8723" s="7"/>
      <c r="M8723" s="5"/>
      <c r="N8723" s="5"/>
      <c r="O8723" s="5"/>
    </row>
    <row r="8724">
      <c r="A8724" s="6"/>
      <c r="C8724" s="6"/>
      <c r="L8724" s="7"/>
      <c r="M8724" s="5"/>
      <c r="N8724" s="5"/>
      <c r="O8724" s="5"/>
    </row>
    <row r="8725">
      <c r="A8725" s="6"/>
      <c r="C8725" s="6"/>
      <c r="L8725" s="7"/>
      <c r="M8725" s="5"/>
      <c r="N8725" s="5"/>
      <c r="O8725" s="5"/>
    </row>
    <row r="8726">
      <c r="A8726" s="6"/>
      <c r="C8726" s="6"/>
      <c r="L8726" s="7"/>
      <c r="M8726" s="5"/>
      <c r="N8726" s="5"/>
      <c r="O8726" s="5"/>
    </row>
    <row r="8727">
      <c r="A8727" s="6"/>
      <c r="C8727" s="6"/>
      <c r="L8727" s="7"/>
      <c r="M8727" s="5"/>
      <c r="N8727" s="5"/>
      <c r="O8727" s="5"/>
    </row>
    <row r="8728">
      <c r="A8728" s="6"/>
      <c r="C8728" s="6"/>
      <c r="L8728" s="7"/>
      <c r="M8728" s="5"/>
      <c r="N8728" s="5"/>
      <c r="O8728" s="5"/>
    </row>
    <row r="8729">
      <c r="A8729" s="6"/>
      <c r="C8729" s="6"/>
      <c r="L8729" s="7"/>
      <c r="M8729" s="5"/>
      <c r="N8729" s="5"/>
      <c r="O8729" s="5"/>
    </row>
    <row r="8730">
      <c r="A8730" s="6"/>
      <c r="C8730" s="6"/>
      <c r="L8730" s="7"/>
      <c r="M8730" s="5"/>
      <c r="N8730" s="5"/>
      <c r="O8730" s="5"/>
    </row>
    <row r="8731">
      <c r="A8731" s="6"/>
      <c r="C8731" s="6"/>
      <c r="L8731" s="7"/>
      <c r="M8731" s="5"/>
      <c r="N8731" s="5"/>
      <c r="O8731" s="5"/>
    </row>
    <row r="8732">
      <c r="A8732" s="6"/>
      <c r="C8732" s="6"/>
      <c r="L8732" s="7"/>
      <c r="M8732" s="5"/>
      <c r="N8732" s="5"/>
      <c r="O8732" s="5"/>
    </row>
    <row r="8733">
      <c r="A8733" s="6"/>
      <c r="C8733" s="6"/>
      <c r="L8733" s="7"/>
      <c r="M8733" s="5"/>
      <c r="N8733" s="5"/>
      <c r="O8733" s="5"/>
    </row>
    <row r="8734">
      <c r="A8734" s="6"/>
      <c r="C8734" s="6"/>
      <c r="L8734" s="7"/>
      <c r="M8734" s="5"/>
      <c r="N8734" s="5"/>
      <c r="O8734" s="5"/>
    </row>
    <row r="8735">
      <c r="A8735" s="6"/>
      <c r="C8735" s="6"/>
      <c r="L8735" s="7"/>
      <c r="M8735" s="5"/>
      <c r="N8735" s="5"/>
      <c r="O8735" s="5"/>
    </row>
    <row r="8736">
      <c r="A8736" s="6"/>
      <c r="C8736" s="6"/>
      <c r="L8736" s="7"/>
      <c r="M8736" s="5"/>
      <c r="N8736" s="5"/>
      <c r="O8736" s="5"/>
    </row>
    <row r="8737">
      <c r="A8737" s="6"/>
      <c r="C8737" s="6"/>
      <c r="L8737" s="7"/>
      <c r="M8737" s="5"/>
      <c r="N8737" s="5"/>
      <c r="O8737" s="5"/>
    </row>
    <row r="8738">
      <c r="A8738" s="6"/>
      <c r="C8738" s="6"/>
      <c r="L8738" s="7"/>
      <c r="M8738" s="5"/>
      <c r="N8738" s="5"/>
      <c r="O8738" s="5"/>
    </row>
    <row r="8739">
      <c r="A8739" s="6"/>
      <c r="C8739" s="6"/>
      <c r="L8739" s="7"/>
      <c r="M8739" s="5"/>
      <c r="N8739" s="5"/>
      <c r="O8739" s="5"/>
    </row>
    <row r="8740">
      <c r="A8740" s="6"/>
      <c r="C8740" s="6"/>
      <c r="L8740" s="7"/>
      <c r="M8740" s="5"/>
      <c r="N8740" s="5"/>
      <c r="O8740" s="5"/>
    </row>
    <row r="8741">
      <c r="A8741" s="6"/>
      <c r="C8741" s="6"/>
      <c r="L8741" s="7"/>
      <c r="M8741" s="5"/>
      <c r="N8741" s="5"/>
      <c r="O8741" s="5"/>
    </row>
    <row r="8742">
      <c r="A8742" s="6"/>
      <c r="C8742" s="6"/>
      <c r="L8742" s="7"/>
      <c r="M8742" s="5"/>
      <c r="N8742" s="5"/>
      <c r="O8742" s="5"/>
    </row>
    <row r="8743">
      <c r="A8743" s="6"/>
      <c r="C8743" s="6"/>
      <c r="L8743" s="7"/>
      <c r="M8743" s="5"/>
      <c r="N8743" s="5"/>
      <c r="O8743" s="5"/>
    </row>
    <row r="8744">
      <c r="A8744" s="6"/>
      <c r="C8744" s="6"/>
      <c r="L8744" s="7"/>
      <c r="M8744" s="5"/>
      <c r="N8744" s="5"/>
      <c r="O8744" s="5"/>
    </row>
    <row r="8745">
      <c r="A8745" s="6"/>
      <c r="C8745" s="6"/>
      <c r="L8745" s="7"/>
      <c r="M8745" s="5"/>
      <c r="N8745" s="5"/>
      <c r="O8745" s="5"/>
    </row>
    <row r="8746">
      <c r="A8746" s="6"/>
      <c r="C8746" s="6"/>
      <c r="L8746" s="7"/>
      <c r="M8746" s="5"/>
      <c r="N8746" s="5"/>
      <c r="O8746" s="5"/>
    </row>
    <row r="8747">
      <c r="A8747" s="6"/>
      <c r="C8747" s="6"/>
      <c r="L8747" s="7"/>
      <c r="M8747" s="5"/>
      <c r="N8747" s="5"/>
      <c r="O8747" s="5"/>
    </row>
    <row r="8748">
      <c r="A8748" s="6"/>
      <c r="C8748" s="6"/>
      <c r="L8748" s="7"/>
      <c r="M8748" s="5"/>
      <c r="N8748" s="5"/>
      <c r="O8748" s="5"/>
    </row>
    <row r="8749">
      <c r="A8749" s="6"/>
      <c r="C8749" s="6"/>
      <c r="L8749" s="7"/>
      <c r="M8749" s="5"/>
      <c r="N8749" s="5"/>
      <c r="O8749" s="5"/>
    </row>
    <row r="8750">
      <c r="A8750" s="6"/>
      <c r="C8750" s="6"/>
      <c r="L8750" s="7"/>
      <c r="M8750" s="5"/>
      <c r="N8750" s="5"/>
      <c r="O8750" s="5"/>
    </row>
    <row r="8751">
      <c r="A8751" s="6"/>
      <c r="C8751" s="6"/>
      <c r="L8751" s="7"/>
      <c r="M8751" s="5"/>
      <c r="N8751" s="5"/>
      <c r="O8751" s="5"/>
    </row>
    <row r="8752">
      <c r="A8752" s="6"/>
      <c r="C8752" s="6"/>
      <c r="L8752" s="7"/>
      <c r="M8752" s="5"/>
      <c r="N8752" s="5"/>
      <c r="O8752" s="5"/>
    </row>
    <row r="8753">
      <c r="A8753" s="6"/>
      <c r="C8753" s="6"/>
      <c r="L8753" s="7"/>
      <c r="M8753" s="5"/>
      <c r="N8753" s="5"/>
      <c r="O8753" s="5"/>
    </row>
    <row r="8754">
      <c r="A8754" s="6"/>
      <c r="C8754" s="6"/>
      <c r="L8754" s="7"/>
      <c r="M8754" s="5"/>
      <c r="N8754" s="5"/>
      <c r="O8754" s="5"/>
    </row>
    <row r="8755">
      <c r="A8755" s="6"/>
      <c r="C8755" s="6"/>
      <c r="L8755" s="7"/>
      <c r="M8755" s="5"/>
      <c r="N8755" s="5"/>
      <c r="O8755" s="5"/>
    </row>
    <row r="8756">
      <c r="A8756" s="6"/>
      <c r="C8756" s="6"/>
      <c r="L8756" s="7"/>
      <c r="M8756" s="5"/>
      <c r="N8756" s="5"/>
      <c r="O8756" s="5"/>
    </row>
    <row r="8757">
      <c r="A8757" s="6"/>
      <c r="C8757" s="6"/>
      <c r="L8757" s="7"/>
      <c r="M8757" s="5"/>
      <c r="N8757" s="5"/>
      <c r="O8757" s="5"/>
    </row>
    <row r="8758">
      <c r="A8758" s="6"/>
      <c r="C8758" s="6"/>
      <c r="L8758" s="7"/>
      <c r="M8758" s="5"/>
      <c r="N8758" s="5"/>
      <c r="O8758" s="5"/>
    </row>
    <row r="8759">
      <c r="A8759" s="6"/>
      <c r="C8759" s="6"/>
      <c r="L8759" s="7"/>
      <c r="M8759" s="5"/>
      <c r="N8759" s="5"/>
      <c r="O8759" s="5"/>
    </row>
    <row r="8760">
      <c r="A8760" s="6"/>
      <c r="C8760" s="6"/>
      <c r="L8760" s="7"/>
      <c r="M8760" s="5"/>
      <c r="N8760" s="5"/>
      <c r="O8760" s="5"/>
    </row>
    <row r="8761">
      <c r="A8761" s="6"/>
      <c r="C8761" s="6"/>
      <c r="L8761" s="7"/>
      <c r="M8761" s="5"/>
      <c r="N8761" s="5"/>
      <c r="O8761" s="5"/>
    </row>
    <row r="8762">
      <c r="A8762" s="6"/>
      <c r="C8762" s="6"/>
      <c r="L8762" s="7"/>
      <c r="M8762" s="5"/>
      <c r="N8762" s="5"/>
      <c r="O8762" s="5"/>
    </row>
    <row r="8763">
      <c r="A8763" s="6"/>
      <c r="C8763" s="6"/>
      <c r="L8763" s="7"/>
      <c r="M8763" s="5"/>
      <c r="N8763" s="5"/>
      <c r="O8763" s="5"/>
    </row>
    <row r="8764">
      <c r="A8764" s="6"/>
      <c r="C8764" s="6"/>
      <c r="L8764" s="7"/>
      <c r="M8764" s="5"/>
      <c r="N8764" s="5"/>
      <c r="O8764" s="5"/>
    </row>
    <row r="8765">
      <c r="A8765" s="6"/>
      <c r="C8765" s="6"/>
      <c r="L8765" s="7"/>
      <c r="M8765" s="5"/>
      <c r="N8765" s="5"/>
      <c r="O8765" s="5"/>
    </row>
    <row r="8766">
      <c r="A8766" s="6"/>
      <c r="C8766" s="6"/>
      <c r="L8766" s="7"/>
      <c r="M8766" s="5"/>
      <c r="N8766" s="5"/>
      <c r="O8766" s="5"/>
    </row>
    <row r="8767">
      <c r="A8767" s="6"/>
      <c r="C8767" s="6"/>
      <c r="L8767" s="7"/>
      <c r="M8767" s="5"/>
      <c r="N8767" s="5"/>
      <c r="O8767" s="5"/>
    </row>
    <row r="8768">
      <c r="A8768" s="6"/>
      <c r="C8768" s="6"/>
      <c r="L8768" s="7"/>
      <c r="M8768" s="5"/>
      <c r="N8768" s="5"/>
      <c r="O8768" s="5"/>
    </row>
    <row r="8769">
      <c r="A8769" s="6"/>
      <c r="C8769" s="6"/>
      <c r="L8769" s="7"/>
      <c r="M8769" s="5"/>
      <c r="N8769" s="5"/>
      <c r="O8769" s="5"/>
    </row>
    <row r="8770">
      <c r="A8770" s="6"/>
      <c r="C8770" s="6"/>
      <c r="L8770" s="7"/>
      <c r="M8770" s="5"/>
      <c r="N8770" s="5"/>
      <c r="O8770" s="5"/>
    </row>
    <row r="8771">
      <c r="A8771" s="6"/>
      <c r="C8771" s="6"/>
      <c r="L8771" s="7"/>
      <c r="M8771" s="5"/>
      <c r="N8771" s="5"/>
      <c r="O8771" s="5"/>
    </row>
    <row r="8772">
      <c r="A8772" s="6"/>
      <c r="C8772" s="6"/>
      <c r="L8772" s="7"/>
      <c r="M8772" s="5"/>
      <c r="N8772" s="5"/>
      <c r="O8772" s="5"/>
    </row>
    <row r="8773">
      <c r="A8773" s="6"/>
      <c r="C8773" s="6"/>
      <c r="L8773" s="7"/>
      <c r="M8773" s="5"/>
      <c r="N8773" s="5"/>
      <c r="O8773" s="5"/>
    </row>
    <row r="8774">
      <c r="A8774" s="6"/>
      <c r="C8774" s="6"/>
      <c r="L8774" s="7"/>
      <c r="M8774" s="5"/>
      <c r="N8774" s="5"/>
      <c r="O8774" s="5"/>
    </row>
    <row r="8775">
      <c r="A8775" s="6"/>
      <c r="C8775" s="6"/>
      <c r="L8775" s="7"/>
      <c r="M8775" s="5"/>
      <c r="N8775" s="5"/>
      <c r="O8775" s="5"/>
    </row>
    <row r="8776">
      <c r="A8776" s="6"/>
      <c r="C8776" s="6"/>
      <c r="L8776" s="7"/>
      <c r="M8776" s="5"/>
      <c r="N8776" s="5"/>
      <c r="O8776" s="5"/>
    </row>
    <row r="8777">
      <c r="A8777" s="6"/>
      <c r="C8777" s="6"/>
      <c r="L8777" s="7"/>
      <c r="M8777" s="5"/>
      <c r="N8777" s="5"/>
      <c r="O8777" s="5"/>
    </row>
    <row r="8778">
      <c r="A8778" s="6"/>
      <c r="C8778" s="6"/>
      <c r="L8778" s="7"/>
      <c r="M8778" s="5"/>
      <c r="N8778" s="5"/>
      <c r="O8778" s="5"/>
    </row>
    <row r="8779">
      <c r="A8779" s="6"/>
      <c r="C8779" s="6"/>
      <c r="L8779" s="7"/>
      <c r="M8779" s="5"/>
      <c r="N8779" s="5"/>
      <c r="O8779" s="5"/>
    </row>
    <row r="8780">
      <c r="A8780" s="6"/>
      <c r="C8780" s="6"/>
      <c r="L8780" s="7"/>
      <c r="M8780" s="5"/>
      <c r="N8780" s="5"/>
      <c r="O8780" s="5"/>
    </row>
    <row r="8781">
      <c r="A8781" s="6"/>
      <c r="C8781" s="6"/>
      <c r="L8781" s="7"/>
      <c r="M8781" s="5"/>
      <c r="N8781" s="5"/>
      <c r="O8781" s="5"/>
    </row>
    <row r="8782">
      <c r="A8782" s="6"/>
      <c r="C8782" s="6"/>
      <c r="L8782" s="7"/>
      <c r="M8782" s="5"/>
      <c r="N8782" s="5"/>
      <c r="O8782" s="5"/>
    </row>
    <row r="8783">
      <c r="A8783" s="6"/>
      <c r="C8783" s="6"/>
      <c r="L8783" s="7"/>
      <c r="M8783" s="5"/>
      <c r="N8783" s="5"/>
      <c r="O8783" s="5"/>
    </row>
    <row r="8784">
      <c r="A8784" s="6"/>
      <c r="C8784" s="6"/>
      <c r="L8784" s="7"/>
      <c r="M8784" s="5"/>
      <c r="N8784" s="5"/>
      <c r="O8784" s="5"/>
    </row>
    <row r="8785">
      <c r="A8785" s="6"/>
      <c r="C8785" s="6"/>
      <c r="L8785" s="7"/>
      <c r="M8785" s="5"/>
      <c r="N8785" s="5"/>
      <c r="O8785" s="5"/>
    </row>
    <row r="8786">
      <c r="A8786" s="6"/>
      <c r="C8786" s="6"/>
      <c r="L8786" s="7"/>
      <c r="M8786" s="5"/>
      <c r="N8786" s="5"/>
      <c r="O8786" s="5"/>
    </row>
    <row r="8787">
      <c r="A8787" s="6"/>
      <c r="C8787" s="6"/>
      <c r="L8787" s="7"/>
      <c r="M8787" s="5"/>
      <c r="N8787" s="5"/>
      <c r="O8787" s="5"/>
    </row>
    <row r="8788">
      <c r="A8788" s="6"/>
      <c r="C8788" s="6"/>
      <c r="L8788" s="7"/>
      <c r="M8788" s="5"/>
      <c r="N8788" s="5"/>
      <c r="O8788" s="5"/>
    </row>
    <row r="8789">
      <c r="A8789" s="6"/>
      <c r="C8789" s="6"/>
      <c r="L8789" s="7"/>
      <c r="M8789" s="5"/>
      <c r="N8789" s="5"/>
      <c r="O8789" s="5"/>
    </row>
    <row r="8790">
      <c r="A8790" s="6"/>
      <c r="C8790" s="6"/>
      <c r="L8790" s="7"/>
      <c r="M8790" s="5"/>
      <c r="N8790" s="5"/>
      <c r="O8790" s="5"/>
    </row>
    <row r="8791">
      <c r="A8791" s="6"/>
      <c r="C8791" s="6"/>
      <c r="L8791" s="7"/>
      <c r="M8791" s="5"/>
      <c r="N8791" s="5"/>
      <c r="O8791" s="5"/>
    </row>
    <row r="8792">
      <c r="A8792" s="6"/>
      <c r="C8792" s="6"/>
      <c r="L8792" s="7"/>
      <c r="M8792" s="5"/>
      <c r="N8792" s="5"/>
      <c r="O8792" s="5"/>
    </row>
    <row r="8793">
      <c r="A8793" s="6"/>
      <c r="C8793" s="6"/>
      <c r="L8793" s="7"/>
      <c r="M8793" s="5"/>
      <c r="N8793" s="5"/>
      <c r="O8793" s="5"/>
    </row>
    <row r="8794">
      <c r="A8794" s="6"/>
      <c r="C8794" s="6"/>
      <c r="L8794" s="7"/>
      <c r="M8794" s="5"/>
      <c r="N8794" s="5"/>
      <c r="O8794" s="5"/>
    </row>
    <row r="8795">
      <c r="A8795" s="6"/>
      <c r="C8795" s="6"/>
      <c r="L8795" s="7"/>
      <c r="M8795" s="5"/>
      <c r="N8795" s="5"/>
      <c r="O8795" s="5"/>
    </row>
    <row r="8796">
      <c r="A8796" s="6"/>
      <c r="C8796" s="6"/>
      <c r="L8796" s="7"/>
      <c r="M8796" s="5"/>
      <c r="N8796" s="5"/>
      <c r="O8796" s="5"/>
    </row>
    <row r="8797">
      <c r="A8797" s="6"/>
      <c r="C8797" s="6"/>
      <c r="L8797" s="7"/>
      <c r="M8797" s="5"/>
      <c r="N8797" s="5"/>
      <c r="O8797" s="5"/>
    </row>
    <row r="8798">
      <c r="A8798" s="6"/>
      <c r="C8798" s="6"/>
      <c r="L8798" s="7"/>
      <c r="M8798" s="5"/>
      <c r="N8798" s="5"/>
      <c r="O8798" s="5"/>
    </row>
    <row r="8799">
      <c r="A8799" s="6"/>
      <c r="C8799" s="6"/>
      <c r="L8799" s="7"/>
      <c r="M8799" s="5"/>
      <c r="N8799" s="5"/>
      <c r="O8799" s="5"/>
    </row>
    <row r="8800">
      <c r="A8800" s="6"/>
      <c r="C8800" s="6"/>
      <c r="L8800" s="7"/>
      <c r="M8800" s="5"/>
      <c r="N8800" s="5"/>
      <c r="O8800" s="5"/>
    </row>
    <row r="8801">
      <c r="A8801" s="6"/>
      <c r="C8801" s="6"/>
      <c r="L8801" s="7"/>
      <c r="M8801" s="5"/>
      <c r="N8801" s="5"/>
      <c r="O8801" s="5"/>
    </row>
    <row r="8802">
      <c r="A8802" s="6"/>
      <c r="C8802" s="6"/>
      <c r="L8802" s="7"/>
      <c r="M8802" s="5"/>
      <c r="N8802" s="5"/>
      <c r="O8802" s="5"/>
    </row>
    <row r="8803">
      <c r="A8803" s="6"/>
      <c r="C8803" s="6"/>
      <c r="L8803" s="7"/>
      <c r="M8803" s="5"/>
      <c r="N8803" s="5"/>
      <c r="O8803" s="5"/>
    </row>
    <row r="8804">
      <c r="A8804" s="6"/>
      <c r="C8804" s="6"/>
      <c r="L8804" s="7"/>
      <c r="M8804" s="5"/>
      <c r="N8804" s="5"/>
      <c r="O8804" s="5"/>
    </row>
    <row r="8805">
      <c r="A8805" s="6"/>
      <c r="C8805" s="6"/>
      <c r="L8805" s="7"/>
      <c r="M8805" s="5"/>
      <c r="N8805" s="5"/>
      <c r="O8805" s="5"/>
    </row>
    <row r="8806">
      <c r="A8806" s="6"/>
      <c r="C8806" s="6"/>
      <c r="L8806" s="7"/>
      <c r="M8806" s="5"/>
      <c r="N8806" s="5"/>
      <c r="O8806" s="5"/>
    </row>
    <row r="8807">
      <c r="A8807" s="6"/>
      <c r="C8807" s="6"/>
      <c r="L8807" s="7"/>
      <c r="M8807" s="5"/>
      <c r="N8807" s="5"/>
      <c r="O8807" s="5"/>
    </row>
    <row r="8808">
      <c r="A8808" s="6"/>
      <c r="C8808" s="6"/>
      <c r="L8808" s="7"/>
      <c r="M8808" s="5"/>
      <c r="N8808" s="5"/>
      <c r="O8808" s="5"/>
    </row>
    <row r="8809">
      <c r="A8809" s="6"/>
      <c r="C8809" s="6"/>
      <c r="L8809" s="7"/>
      <c r="M8809" s="5"/>
      <c r="N8809" s="5"/>
      <c r="O8809" s="5"/>
    </row>
    <row r="8810">
      <c r="A8810" s="6"/>
      <c r="C8810" s="6"/>
      <c r="L8810" s="7"/>
      <c r="M8810" s="5"/>
      <c r="N8810" s="5"/>
      <c r="O8810" s="5"/>
    </row>
    <row r="8811">
      <c r="A8811" s="6"/>
      <c r="C8811" s="6"/>
      <c r="L8811" s="7"/>
      <c r="M8811" s="5"/>
      <c r="N8811" s="5"/>
      <c r="O8811" s="5"/>
    </row>
    <row r="8812">
      <c r="A8812" s="6"/>
      <c r="C8812" s="6"/>
      <c r="L8812" s="7"/>
      <c r="M8812" s="5"/>
      <c r="N8812" s="5"/>
      <c r="O8812" s="5"/>
    </row>
    <row r="8813">
      <c r="A8813" s="6"/>
      <c r="C8813" s="6"/>
      <c r="L8813" s="7"/>
      <c r="M8813" s="5"/>
      <c r="N8813" s="5"/>
      <c r="O8813" s="5"/>
    </row>
    <row r="8814">
      <c r="A8814" s="6"/>
      <c r="C8814" s="6"/>
      <c r="L8814" s="7"/>
      <c r="M8814" s="5"/>
      <c r="N8814" s="5"/>
      <c r="O8814" s="5"/>
    </row>
    <row r="8815">
      <c r="A8815" s="6"/>
      <c r="C8815" s="6"/>
      <c r="L8815" s="7"/>
      <c r="M8815" s="5"/>
      <c r="N8815" s="5"/>
      <c r="O8815" s="5"/>
    </row>
    <row r="8816">
      <c r="A8816" s="6"/>
      <c r="C8816" s="6"/>
      <c r="L8816" s="7"/>
      <c r="M8816" s="5"/>
      <c r="N8816" s="5"/>
      <c r="O8816" s="5"/>
    </row>
    <row r="8817">
      <c r="A8817" s="6"/>
      <c r="C8817" s="6"/>
      <c r="L8817" s="7"/>
      <c r="M8817" s="5"/>
      <c r="N8817" s="5"/>
      <c r="O8817" s="5"/>
    </row>
    <row r="8818">
      <c r="A8818" s="6"/>
      <c r="C8818" s="6"/>
      <c r="L8818" s="7"/>
      <c r="M8818" s="5"/>
      <c r="N8818" s="5"/>
      <c r="O8818" s="5"/>
    </row>
    <row r="8819">
      <c r="A8819" s="6"/>
      <c r="C8819" s="6"/>
      <c r="L8819" s="7"/>
      <c r="M8819" s="5"/>
      <c r="N8819" s="5"/>
      <c r="O8819" s="5"/>
    </row>
    <row r="8820">
      <c r="A8820" s="6"/>
      <c r="C8820" s="6"/>
      <c r="L8820" s="7"/>
      <c r="M8820" s="5"/>
      <c r="N8820" s="5"/>
      <c r="O8820" s="5"/>
    </row>
    <row r="8821">
      <c r="A8821" s="6"/>
      <c r="C8821" s="6"/>
      <c r="L8821" s="7"/>
      <c r="M8821" s="5"/>
      <c r="N8821" s="5"/>
      <c r="O8821" s="5"/>
    </row>
    <row r="8822">
      <c r="A8822" s="6"/>
      <c r="C8822" s="6"/>
      <c r="L8822" s="7"/>
      <c r="M8822" s="5"/>
      <c r="N8822" s="5"/>
      <c r="O8822" s="5"/>
    </row>
    <row r="8823">
      <c r="A8823" s="6"/>
      <c r="C8823" s="6"/>
      <c r="L8823" s="7"/>
      <c r="M8823" s="5"/>
      <c r="N8823" s="5"/>
      <c r="O8823" s="5"/>
    </row>
    <row r="8824">
      <c r="A8824" s="6"/>
      <c r="C8824" s="6"/>
      <c r="L8824" s="7"/>
      <c r="M8824" s="5"/>
      <c r="N8824" s="5"/>
      <c r="O8824" s="5"/>
    </row>
    <row r="8825">
      <c r="A8825" s="6"/>
      <c r="C8825" s="6"/>
      <c r="L8825" s="7"/>
      <c r="M8825" s="5"/>
      <c r="N8825" s="5"/>
      <c r="O8825" s="5"/>
    </row>
    <row r="8826">
      <c r="A8826" s="6"/>
      <c r="C8826" s="6"/>
      <c r="L8826" s="7"/>
      <c r="M8826" s="5"/>
      <c r="N8826" s="5"/>
      <c r="O8826" s="5"/>
    </row>
    <row r="8827">
      <c r="A8827" s="6"/>
      <c r="C8827" s="6"/>
      <c r="L8827" s="7"/>
      <c r="M8827" s="5"/>
      <c r="N8827" s="5"/>
      <c r="O8827" s="5"/>
    </row>
    <row r="8828">
      <c r="A8828" s="6"/>
      <c r="C8828" s="6"/>
      <c r="L8828" s="7"/>
      <c r="M8828" s="5"/>
      <c r="N8828" s="5"/>
      <c r="O8828" s="5"/>
    </row>
    <row r="8829">
      <c r="A8829" s="6"/>
      <c r="C8829" s="6"/>
      <c r="L8829" s="7"/>
      <c r="M8829" s="5"/>
      <c r="N8829" s="5"/>
      <c r="O8829" s="5"/>
    </row>
    <row r="8830">
      <c r="A8830" s="6"/>
      <c r="C8830" s="6"/>
      <c r="L8830" s="7"/>
      <c r="M8830" s="5"/>
      <c r="N8830" s="5"/>
      <c r="O8830" s="5"/>
    </row>
    <row r="8831">
      <c r="A8831" s="6"/>
      <c r="C8831" s="6"/>
      <c r="L8831" s="7"/>
      <c r="M8831" s="5"/>
      <c r="N8831" s="5"/>
      <c r="O8831" s="5"/>
    </row>
    <row r="8832">
      <c r="A8832" s="6"/>
      <c r="C8832" s="6"/>
      <c r="L8832" s="7"/>
      <c r="M8832" s="5"/>
      <c r="N8832" s="5"/>
      <c r="O8832" s="5"/>
    </row>
    <row r="8833">
      <c r="A8833" s="6"/>
      <c r="C8833" s="6"/>
      <c r="L8833" s="7"/>
      <c r="M8833" s="5"/>
      <c r="N8833" s="5"/>
      <c r="O8833" s="5"/>
    </row>
    <row r="8834">
      <c r="A8834" s="6"/>
      <c r="C8834" s="6"/>
      <c r="L8834" s="7"/>
      <c r="M8834" s="5"/>
      <c r="N8834" s="5"/>
      <c r="O8834" s="5"/>
    </row>
    <row r="8835">
      <c r="A8835" s="6"/>
      <c r="C8835" s="6"/>
      <c r="L8835" s="7"/>
      <c r="M8835" s="5"/>
      <c r="N8835" s="5"/>
      <c r="O8835" s="5"/>
    </row>
    <row r="8836">
      <c r="A8836" s="6"/>
      <c r="C8836" s="6"/>
      <c r="L8836" s="7"/>
      <c r="M8836" s="5"/>
      <c r="N8836" s="5"/>
      <c r="O8836" s="5"/>
    </row>
    <row r="8837">
      <c r="A8837" s="6"/>
      <c r="C8837" s="6"/>
      <c r="L8837" s="7"/>
      <c r="M8837" s="5"/>
      <c r="N8837" s="5"/>
      <c r="O8837" s="5"/>
    </row>
    <row r="8838">
      <c r="A8838" s="6"/>
      <c r="C8838" s="6"/>
      <c r="L8838" s="7"/>
      <c r="M8838" s="5"/>
      <c r="N8838" s="5"/>
      <c r="O8838" s="5"/>
    </row>
    <row r="8839">
      <c r="A8839" s="6"/>
      <c r="C8839" s="6"/>
      <c r="L8839" s="7"/>
      <c r="M8839" s="5"/>
      <c r="N8839" s="5"/>
      <c r="O8839" s="5"/>
    </row>
    <row r="8840">
      <c r="A8840" s="6"/>
      <c r="C8840" s="6"/>
      <c r="L8840" s="7"/>
      <c r="M8840" s="5"/>
      <c r="N8840" s="5"/>
      <c r="O8840" s="5"/>
    </row>
    <row r="8841">
      <c r="A8841" s="6"/>
      <c r="C8841" s="6"/>
      <c r="L8841" s="7"/>
      <c r="M8841" s="5"/>
      <c r="N8841" s="5"/>
      <c r="O8841" s="5"/>
    </row>
    <row r="8842">
      <c r="A8842" s="6"/>
      <c r="C8842" s="6"/>
      <c r="L8842" s="7"/>
      <c r="M8842" s="5"/>
      <c r="N8842" s="5"/>
      <c r="O8842" s="5"/>
    </row>
    <row r="8843">
      <c r="A8843" s="6"/>
      <c r="C8843" s="6"/>
      <c r="L8843" s="7"/>
      <c r="M8843" s="5"/>
      <c r="N8843" s="5"/>
      <c r="O8843" s="5"/>
    </row>
    <row r="8844">
      <c r="A8844" s="6"/>
      <c r="C8844" s="6"/>
      <c r="L8844" s="7"/>
      <c r="M8844" s="5"/>
      <c r="N8844" s="5"/>
      <c r="O8844" s="5"/>
    </row>
    <row r="8845">
      <c r="A8845" s="6"/>
      <c r="C8845" s="6"/>
      <c r="L8845" s="7"/>
      <c r="M8845" s="5"/>
      <c r="N8845" s="5"/>
      <c r="O8845" s="5"/>
    </row>
    <row r="8846">
      <c r="A8846" s="6"/>
      <c r="C8846" s="6"/>
      <c r="L8846" s="7"/>
      <c r="M8846" s="5"/>
      <c r="N8846" s="5"/>
      <c r="O8846" s="5"/>
    </row>
    <row r="8847">
      <c r="A8847" s="6"/>
      <c r="C8847" s="6"/>
      <c r="L8847" s="7"/>
      <c r="M8847" s="5"/>
      <c r="N8847" s="5"/>
      <c r="O8847" s="5"/>
    </row>
    <row r="8848">
      <c r="A8848" s="6"/>
      <c r="C8848" s="6"/>
      <c r="L8848" s="7"/>
      <c r="M8848" s="5"/>
      <c r="N8848" s="5"/>
      <c r="O8848" s="5"/>
    </row>
    <row r="8849">
      <c r="A8849" s="6"/>
      <c r="C8849" s="6"/>
      <c r="L8849" s="7"/>
      <c r="M8849" s="5"/>
      <c r="N8849" s="5"/>
      <c r="O8849" s="5"/>
    </row>
    <row r="8850">
      <c r="A8850" s="6"/>
      <c r="C8850" s="6"/>
      <c r="L8850" s="7"/>
      <c r="M8850" s="5"/>
      <c r="N8850" s="5"/>
      <c r="O8850" s="5"/>
    </row>
    <row r="8851">
      <c r="A8851" s="6"/>
      <c r="C8851" s="6"/>
      <c r="L8851" s="7"/>
      <c r="M8851" s="5"/>
      <c r="N8851" s="5"/>
      <c r="O8851" s="5"/>
    </row>
    <row r="8852">
      <c r="A8852" s="6"/>
      <c r="C8852" s="6"/>
      <c r="L8852" s="7"/>
      <c r="M8852" s="5"/>
      <c r="N8852" s="5"/>
      <c r="O8852" s="5"/>
    </row>
    <row r="8853">
      <c r="A8853" s="6"/>
      <c r="C8853" s="6"/>
      <c r="L8853" s="7"/>
      <c r="M8853" s="5"/>
      <c r="N8853" s="5"/>
      <c r="O8853" s="5"/>
    </row>
    <row r="8854">
      <c r="A8854" s="6"/>
      <c r="C8854" s="6"/>
      <c r="L8854" s="7"/>
      <c r="M8854" s="5"/>
      <c r="N8854" s="5"/>
      <c r="O8854" s="5"/>
    </row>
    <row r="8855">
      <c r="A8855" s="6"/>
      <c r="C8855" s="6"/>
      <c r="L8855" s="7"/>
      <c r="M8855" s="5"/>
      <c r="N8855" s="5"/>
      <c r="O8855" s="5"/>
    </row>
    <row r="8856">
      <c r="A8856" s="6"/>
      <c r="C8856" s="6"/>
      <c r="L8856" s="7"/>
      <c r="M8856" s="5"/>
      <c r="N8856" s="5"/>
      <c r="O8856" s="5"/>
    </row>
    <row r="8857">
      <c r="A8857" s="6"/>
      <c r="C8857" s="6"/>
      <c r="L8857" s="7"/>
      <c r="M8857" s="5"/>
      <c r="N8857" s="5"/>
      <c r="O8857" s="5"/>
    </row>
    <row r="8858">
      <c r="A8858" s="6"/>
      <c r="C8858" s="6"/>
      <c r="L8858" s="7"/>
      <c r="M8858" s="5"/>
      <c r="N8858" s="5"/>
      <c r="O8858" s="5"/>
    </row>
    <row r="8859">
      <c r="A8859" s="6"/>
      <c r="C8859" s="6"/>
      <c r="L8859" s="7"/>
      <c r="M8859" s="5"/>
      <c r="N8859" s="5"/>
      <c r="O8859" s="5"/>
    </row>
    <row r="8860">
      <c r="A8860" s="6"/>
      <c r="C8860" s="6"/>
      <c r="L8860" s="7"/>
      <c r="M8860" s="5"/>
      <c r="N8860" s="5"/>
      <c r="O8860" s="5"/>
    </row>
    <row r="8861">
      <c r="A8861" s="6"/>
      <c r="C8861" s="6"/>
      <c r="L8861" s="7"/>
      <c r="M8861" s="5"/>
      <c r="N8861" s="5"/>
      <c r="O8861" s="5"/>
    </row>
    <row r="8862">
      <c r="A8862" s="6"/>
      <c r="C8862" s="6"/>
      <c r="L8862" s="7"/>
      <c r="M8862" s="5"/>
      <c r="N8862" s="5"/>
      <c r="O8862" s="5"/>
    </row>
    <row r="8863">
      <c r="A8863" s="6"/>
      <c r="C8863" s="6"/>
      <c r="L8863" s="7"/>
      <c r="M8863" s="5"/>
      <c r="N8863" s="5"/>
      <c r="O8863" s="5"/>
    </row>
    <row r="8864">
      <c r="A8864" s="6"/>
      <c r="C8864" s="6"/>
      <c r="L8864" s="7"/>
      <c r="M8864" s="5"/>
      <c r="N8864" s="5"/>
      <c r="O8864" s="5"/>
    </row>
    <row r="8865">
      <c r="A8865" s="6"/>
      <c r="C8865" s="6"/>
      <c r="L8865" s="7"/>
      <c r="M8865" s="5"/>
      <c r="N8865" s="5"/>
      <c r="O8865" s="5"/>
    </row>
    <row r="8866">
      <c r="A8866" s="6"/>
      <c r="C8866" s="6"/>
      <c r="L8866" s="7"/>
      <c r="M8866" s="5"/>
      <c r="N8866" s="5"/>
      <c r="O8866" s="5"/>
    </row>
    <row r="8867">
      <c r="A8867" s="6"/>
      <c r="C8867" s="6"/>
      <c r="L8867" s="7"/>
      <c r="M8867" s="5"/>
      <c r="N8867" s="5"/>
      <c r="O8867" s="5"/>
    </row>
    <row r="8868">
      <c r="A8868" s="6"/>
      <c r="C8868" s="6"/>
      <c r="L8868" s="7"/>
      <c r="M8868" s="5"/>
      <c r="N8868" s="5"/>
      <c r="O8868" s="5"/>
    </row>
    <row r="8869">
      <c r="A8869" s="6"/>
      <c r="C8869" s="6"/>
      <c r="L8869" s="7"/>
      <c r="M8869" s="5"/>
      <c r="N8869" s="5"/>
      <c r="O8869" s="5"/>
    </row>
    <row r="8870">
      <c r="A8870" s="6"/>
      <c r="C8870" s="6"/>
      <c r="L8870" s="7"/>
      <c r="M8870" s="5"/>
      <c r="N8870" s="5"/>
      <c r="O8870" s="5"/>
    </row>
    <row r="8871">
      <c r="A8871" s="6"/>
      <c r="C8871" s="6"/>
      <c r="L8871" s="7"/>
      <c r="M8871" s="5"/>
      <c r="N8871" s="5"/>
      <c r="O8871" s="5"/>
    </row>
    <row r="8872">
      <c r="A8872" s="6"/>
      <c r="C8872" s="6"/>
      <c r="L8872" s="7"/>
      <c r="M8872" s="5"/>
      <c r="N8872" s="5"/>
      <c r="O8872" s="5"/>
    </row>
    <row r="8873">
      <c r="A8873" s="6"/>
      <c r="C8873" s="6"/>
      <c r="L8873" s="7"/>
      <c r="M8873" s="5"/>
      <c r="N8873" s="5"/>
      <c r="O8873" s="5"/>
    </row>
    <row r="8874">
      <c r="A8874" s="6"/>
      <c r="C8874" s="6"/>
      <c r="L8874" s="7"/>
      <c r="M8874" s="5"/>
      <c r="N8874" s="5"/>
      <c r="O8874" s="5"/>
    </row>
    <row r="8875">
      <c r="A8875" s="6"/>
      <c r="C8875" s="6"/>
      <c r="L8875" s="7"/>
      <c r="M8875" s="5"/>
      <c r="N8875" s="5"/>
      <c r="O8875" s="5"/>
    </row>
    <row r="8876">
      <c r="A8876" s="6"/>
      <c r="C8876" s="6"/>
      <c r="L8876" s="7"/>
      <c r="M8876" s="5"/>
      <c r="N8876" s="5"/>
      <c r="O8876" s="5"/>
    </row>
    <row r="8877">
      <c r="A8877" s="6"/>
      <c r="C8877" s="6"/>
      <c r="L8877" s="7"/>
      <c r="M8877" s="5"/>
      <c r="N8877" s="5"/>
      <c r="O8877" s="5"/>
    </row>
    <row r="8878">
      <c r="A8878" s="6"/>
      <c r="C8878" s="6"/>
      <c r="L8878" s="7"/>
      <c r="M8878" s="5"/>
      <c r="N8878" s="5"/>
      <c r="O8878" s="5"/>
    </row>
    <row r="8879">
      <c r="A8879" s="6"/>
      <c r="C8879" s="6"/>
      <c r="L8879" s="7"/>
      <c r="M8879" s="5"/>
      <c r="N8879" s="5"/>
      <c r="O8879" s="5"/>
    </row>
    <row r="8880">
      <c r="A8880" s="6"/>
      <c r="C8880" s="6"/>
      <c r="L8880" s="7"/>
      <c r="M8880" s="5"/>
      <c r="N8880" s="5"/>
      <c r="O8880" s="5"/>
    </row>
    <row r="8881">
      <c r="A8881" s="6"/>
      <c r="C8881" s="6"/>
      <c r="L8881" s="7"/>
      <c r="M8881" s="5"/>
      <c r="N8881" s="5"/>
      <c r="O8881" s="5"/>
    </row>
    <row r="8882">
      <c r="A8882" s="6"/>
      <c r="C8882" s="6"/>
      <c r="L8882" s="7"/>
      <c r="M8882" s="5"/>
      <c r="N8882" s="5"/>
      <c r="O8882" s="5"/>
    </row>
    <row r="8883">
      <c r="A8883" s="6"/>
      <c r="C8883" s="6"/>
      <c r="L8883" s="7"/>
      <c r="M8883" s="5"/>
      <c r="N8883" s="5"/>
      <c r="O8883" s="5"/>
    </row>
    <row r="8884">
      <c r="A8884" s="6"/>
      <c r="C8884" s="6"/>
      <c r="L8884" s="7"/>
      <c r="M8884" s="5"/>
      <c r="N8884" s="5"/>
      <c r="O8884" s="5"/>
    </row>
    <row r="8885">
      <c r="A8885" s="6"/>
      <c r="C8885" s="6"/>
      <c r="L8885" s="7"/>
      <c r="M8885" s="5"/>
      <c r="N8885" s="5"/>
      <c r="O8885" s="5"/>
    </row>
    <row r="8886">
      <c r="A8886" s="6"/>
      <c r="C8886" s="6"/>
      <c r="L8886" s="7"/>
      <c r="M8886" s="5"/>
      <c r="N8886" s="5"/>
      <c r="O8886" s="5"/>
    </row>
    <row r="8887">
      <c r="A8887" s="6"/>
      <c r="C8887" s="6"/>
      <c r="L8887" s="7"/>
      <c r="M8887" s="5"/>
      <c r="N8887" s="5"/>
      <c r="O8887" s="5"/>
    </row>
    <row r="8888">
      <c r="A8888" s="6"/>
      <c r="C8888" s="6"/>
      <c r="L8888" s="7"/>
      <c r="M8888" s="5"/>
      <c r="N8888" s="5"/>
      <c r="O8888" s="5"/>
    </row>
    <row r="8889">
      <c r="A8889" s="6"/>
      <c r="C8889" s="6"/>
      <c r="L8889" s="7"/>
      <c r="M8889" s="5"/>
      <c r="N8889" s="5"/>
      <c r="O8889" s="5"/>
    </row>
    <row r="8890">
      <c r="A8890" s="6"/>
      <c r="C8890" s="6"/>
      <c r="L8890" s="7"/>
      <c r="M8890" s="5"/>
      <c r="N8890" s="5"/>
      <c r="O8890" s="5"/>
    </row>
    <row r="8891">
      <c r="A8891" s="6"/>
      <c r="C8891" s="6"/>
      <c r="L8891" s="7"/>
      <c r="M8891" s="5"/>
      <c r="N8891" s="5"/>
      <c r="O8891" s="5"/>
    </row>
    <row r="8892">
      <c r="A8892" s="6"/>
      <c r="C8892" s="6"/>
      <c r="L8892" s="7"/>
      <c r="M8892" s="5"/>
      <c r="N8892" s="5"/>
      <c r="O8892" s="5"/>
    </row>
    <row r="8893">
      <c r="A8893" s="6"/>
      <c r="C8893" s="6"/>
      <c r="L8893" s="7"/>
      <c r="M8893" s="5"/>
      <c r="N8893" s="5"/>
      <c r="O8893" s="5"/>
    </row>
    <row r="8894">
      <c r="A8894" s="6"/>
      <c r="C8894" s="6"/>
      <c r="L8894" s="7"/>
      <c r="M8894" s="5"/>
      <c r="N8894" s="5"/>
      <c r="O8894" s="5"/>
    </row>
    <row r="8895">
      <c r="A8895" s="6"/>
      <c r="C8895" s="6"/>
      <c r="L8895" s="7"/>
      <c r="M8895" s="5"/>
      <c r="N8895" s="5"/>
      <c r="O8895" s="5"/>
    </row>
    <row r="8896">
      <c r="A8896" s="6"/>
      <c r="C8896" s="6"/>
      <c r="L8896" s="7"/>
      <c r="M8896" s="5"/>
      <c r="N8896" s="5"/>
      <c r="O8896" s="5"/>
    </row>
    <row r="8897">
      <c r="A8897" s="6"/>
      <c r="C8897" s="6"/>
      <c r="L8897" s="7"/>
      <c r="M8897" s="5"/>
      <c r="N8897" s="5"/>
      <c r="O8897" s="5"/>
    </row>
    <row r="8898">
      <c r="A8898" s="6"/>
      <c r="C8898" s="6"/>
      <c r="L8898" s="7"/>
      <c r="M8898" s="5"/>
      <c r="N8898" s="5"/>
      <c r="O8898" s="5"/>
    </row>
    <row r="8899">
      <c r="A8899" s="6"/>
      <c r="C8899" s="6"/>
      <c r="L8899" s="7"/>
      <c r="M8899" s="5"/>
      <c r="N8899" s="5"/>
      <c r="O8899" s="5"/>
    </row>
    <row r="8900">
      <c r="A8900" s="6"/>
      <c r="C8900" s="6"/>
      <c r="L8900" s="7"/>
      <c r="M8900" s="5"/>
      <c r="N8900" s="5"/>
      <c r="O8900" s="5"/>
    </row>
    <row r="8901">
      <c r="A8901" s="6"/>
      <c r="C8901" s="6"/>
      <c r="L8901" s="7"/>
      <c r="M8901" s="5"/>
      <c r="N8901" s="5"/>
      <c r="O8901" s="5"/>
    </row>
    <row r="8902">
      <c r="A8902" s="6"/>
      <c r="C8902" s="6"/>
      <c r="L8902" s="7"/>
      <c r="M8902" s="5"/>
      <c r="N8902" s="5"/>
      <c r="O8902" s="5"/>
    </row>
    <row r="8903">
      <c r="A8903" s="6"/>
      <c r="C8903" s="6"/>
      <c r="L8903" s="7"/>
      <c r="M8903" s="5"/>
      <c r="N8903" s="5"/>
      <c r="O8903" s="5"/>
    </row>
    <row r="8904">
      <c r="A8904" s="6"/>
      <c r="C8904" s="6"/>
      <c r="L8904" s="7"/>
      <c r="M8904" s="5"/>
      <c r="N8904" s="5"/>
      <c r="O8904" s="5"/>
    </row>
    <row r="8905">
      <c r="A8905" s="6"/>
      <c r="C8905" s="6"/>
      <c r="L8905" s="7"/>
      <c r="M8905" s="5"/>
      <c r="N8905" s="5"/>
      <c r="O8905" s="5"/>
    </row>
    <row r="8906">
      <c r="A8906" s="6"/>
      <c r="C8906" s="6"/>
      <c r="L8906" s="7"/>
      <c r="M8906" s="5"/>
      <c r="N8906" s="5"/>
      <c r="O8906" s="5"/>
    </row>
    <row r="8907">
      <c r="A8907" s="6"/>
      <c r="C8907" s="6"/>
      <c r="L8907" s="7"/>
      <c r="M8907" s="5"/>
      <c r="N8907" s="5"/>
      <c r="O8907" s="5"/>
    </row>
    <row r="8908">
      <c r="A8908" s="6"/>
      <c r="C8908" s="6"/>
      <c r="L8908" s="7"/>
      <c r="M8908" s="5"/>
      <c r="N8908" s="5"/>
      <c r="O8908" s="5"/>
    </row>
    <row r="8909">
      <c r="A8909" s="6"/>
      <c r="C8909" s="6"/>
      <c r="L8909" s="7"/>
      <c r="M8909" s="5"/>
      <c r="N8909" s="5"/>
      <c r="O8909" s="5"/>
    </row>
    <row r="8910">
      <c r="A8910" s="6"/>
      <c r="C8910" s="6"/>
      <c r="L8910" s="7"/>
      <c r="M8910" s="5"/>
      <c r="N8910" s="5"/>
      <c r="O8910" s="5"/>
    </row>
    <row r="8911">
      <c r="A8911" s="6"/>
      <c r="C8911" s="6"/>
      <c r="L8911" s="7"/>
      <c r="M8911" s="5"/>
      <c r="N8911" s="5"/>
      <c r="O8911" s="5"/>
    </row>
    <row r="8912">
      <c r="A8912" s="6"/>
      <c r="C8912" s="6"/>
      <c r="L8912" s="7"/>
      <c r="M8912" s="5"/>
      <c r="N8912" s="5"/>
      <c r="O8912" s="5"/>
    </row>
    <row r="8913">
      <c r="A8913" s="6"/>
      <c r="C8913" s="6"/>
      <c r="L8913" s="7"/>
      <c r="M8913" s="5"/>
      <c r="N8913" s="5"/>
      <c r="O8913" s="5"/>
    </row>
    <row r="8914">
      <c r="A8914" s="6"/>
      <c r="C8914" s="6"/>
      <c r="L8914" s="7"/>
      <c r="M8914" s="5"/>
      <c r="N8914" s="5"/>
      <c r="O8914" s="5"/>
    </row>
    <row r="8915">
      <c r="A8915" s="6"/>
      <c r="C8915" s="6"/>
      <c r="L8915" s="7"/>
      <c r="M8915" s="5"/>
      <c r="N8915" s="5"/>
      <c r="O8915" s="5"/>
    </row>
    <row r="8916">
      <c r="A8916" s="6"/>
      <c r="C8916" s="6"/>
      <c r="L8916" s="7"/>
      <c r="M8916" s="5"/>
      <c r="N8916" s="5"/>
      <c r="O8916" s="5"/>
    </row>
    <row r="8917">
      <c r="A8917" s="6"/>
      <c r="C8917" s="6"/>
      <c r="L8917" s="7"/>
      <c r="M8917" s="5"/>
      <c r="N8917" s="5"/>
      <c r="O8917" s="5"/>
    </row>
    <row r="8918">
      <c r="A8918" s="6"/>
      <c r="C8918" s="6"/>
      <c r="L8918" s="7"/>
      <c r="M8918" s="5"/>
      <c r="N8918" s="5"/>
      <c r="O8918" s="5"/>
    </row>
    <row r="8919">
      <c r="A8919" s="6"/>
      <c r="C8919" s="6"/>
      <c r="L8919" s="7"/>
      <c r="M8919" s="5"/>
      <c r="N8919" s="5"/>
      <c r="O8919" s="5"/>
    </row>
    <row r="8920">
      <c r="A8920" s="6"/>
      <c r="C8920" s="6"/>
      <c r="L8920" s="7"/>
      <c r="M8920" s="5"/>
      <c r="N8920" s="5"/>
      <c r="O8920" s="5"/>
    </row>
    <row r="8921">
      <c r="A8921" s="6"/>
      <c r="C8921" s="6"/>
      <c r="L8921" s="7"/>
      <c r="M8921" s="5"/>
      <c r="N8921" s="5"/>
      <c r="O8921" s="5"/>
    </row>
    <row r="8922">
      <c r="A8922" s="6"/>
      <c r="C8922" s="6"/>
      <c r="L8922" s="7"/>
      <c r="M8922" s="5"/>
      <c r="N8922" s="5"/>
      <c r="O8922" s="5"/>
    </row>
    <row r="8923">
      <c r="A8923" s="6"/>
      <c r="C8923" s="6"/>
      <c r="L8923" s="7"/>
      <c r="M8923" s="5"/>
      <c r="N8923" s="5"/>
      <c r="O8923" s="5"/>
    </row>
    <row r="8924">
      <c r="A8924" s="6"/>
      <c r="C8924" s="6"/>
      <c r="L8924" s="7"/>
      <c r="M8924" s="5"/>
      <c r="N8924" s="5"/>
      <c r="O8924" s="5"/>
    </row>
    <row r="8925">
      <c r="A8925" s="6"/>
      <c r="C8925" s="6"/>
      <c r="L8925" s="7"/>
      <c r="M8925" s="5"/>
      <c r="N8925" s="5"/>
      <c r="O8925" s="5"/>
    </row>
    <row r="8926">
      <c r="A8926" s="6"/>
      <c r="C8926" s="6"/>
      <c r="L8926" s="7"/>
      <c r="M8926" s="5"/>
      <c r="N8926" s="5"/>
      <c r="O8926" s="5"/>
    </row>
    <row r="8927">
      <c r="A8927" s="6"/>
      <c r="C8927" s="6"/>
      <c r="L8927" s="7"/>
      <c r="M8927" s="5"/>
      <c r="N8927" s="5"/>
      <c r="O8927" s="5"/>
    </row>
    <row r="8928">
      <c r="A8928" s="6"/>
      <c r="C8928" s="6"/>
      <c r="L8928" s="7"/>
      <c r="M8928" s="5"/>
      <c r="N8928" s="5"/>
      <c r="O8928" s="5"/>
    </row>
    <row r="8929">
      <c r="A8929" s="6"/>
      <c r="C8929" s="6"/>
      <c r="L8929" s="7"/>
      <c r="M8929" s="5"/>
      <c r="N8929" s="5"/>
      <c r="O8929" s="5"/>
    </row>
    <row r="8930">
      <c r="A8930" s="6"/>
      <c r="C8930" s="6"/>
      <c r="L8930" s="7"/>
      <c r="M8930" s="5"/>
      <c r="N8930" s="5"/>
      <c r="O8930" s="5"/>
    </row>
    <row r="8931">
      <c r="A8931" s="6"/>
      <c r="C8931" s="6"/>
      <c r="L8931" s="7"/>
      <c r="M8931" s="5"/>
      <c r="N8931" s="5"/>
      <c r="O8931" s="5"/>
    </row>
    <row r="8932">
      <c r="A8932" s="6"/>
      <c r="C8932" s="6"/>
      <c r="L8932" s="7"/>
      <c r="M8932" s="5"/>
      <c r="N8932" s="5"/>
      <c r="O8932" s="5"/>
    </row>
    <row r="8933">
      <c r="A8933" s="6"/>
      <c r="C8933" s="6"/>
      <c r="L8933" s="7"/>
      <c r="M8933" s="5"/>
      <c r="N8933" s="5"/>
      <c r="O8933" s="5"/>
    </row>
    <row r="8934">
      <c r="A8934" s="6"/>
      <c r="C8934" s="6"/>
      <c r="L8934" s="7"/>
      <c r="M8934" s="5"/>
      <c r="N8934" s="5"/>
      <c r="O8934" s="5"/>
    </row>
    <row r="8935">
      <c r="A8935" s="6"/>
      <c r="C8935" s="6"/>
      <c r="L8935" s="7"/>
      <c r="M8935" s="5"/>
      <c r="N8935" s="5"/>
      <c r="O8935" s="5"/>
    </row>
    <row r="8936">
      <c r="A8936" s="6"/>
      <c r="C8936" s="6"/>
      <c r="L8936" s="7"/>
      <c r="M8936" s="5"/>
      <c r="N8936" s="5"/>
      <c r="O8936" s="5"/>
    </row>
    <row r="8937">
      <c r="A8937" s="6"/>
      <c r="C8937" s="6"/>
      <c r="L8937" s="7"/>
      <c r="M8937" s="5"/>
      <c r="N8937" s="5"/>
      <c r="O8937" s="5"/>
    </row>
    <row r="8938">
      <c r="A8938" s="6"/>
      <c r="C8938" s="6"/>
      <c r="L8938" s="7"/>
      <c r="M8938" s="5"/>
      <c r="N8938" s="5"/>
      <c r="O8938" s="5"/>
    </row>
    <row r="8939">
      <c r="A8939" s="6"/>
      <c r="C8939" s="6"/>
      <c r="L8939" s="7"/>
      <c r="M8939" s="5"/>
      <c r="N8939" s="5"/>
      <c r="O8939" s="5"/>
    </row>
    <row r="8940">
      <c r="A8940" s="6"/>
      <c r="C8940" s="6"/>
      <c r="L8940" s="7"/>
      <c r="M8940" s="5"/>
      <c r="N8940" s="5"/>
      <c r="O8940" s="5"/>
    </row>
    <row r="8941">
      <c r="A8941" s="6"/>
      <c r="C8941" s="6"/>
      <c r="L8941" s="7"/>
      <c r="M8941" s="5"/>
      <c r="N8941" s="5"/>
      <c r="O8941" s="5"/>
    </row>
    <row r="8942">
      <c r="A8942" s="6"/>
      <c r="C8942" s="6"/>
      <c r="L8942" s="7"/>
      <c r="M8942" s="5"/>
      <c r="N8942" s="5"/>
      <c r="O8942" s="5"/>
    </row>
    <row r="8943">
      <c r="A8943" s="6"/>
      <c r="C8943" s="6"/>
      <c r="L8943" s="7"/>
      <c r="M8943" s="5"/>
      <c r="N8943" s="5"/>
      <c r="O8943" s="5"/>
    </row>
    <row r="8944">
      <c r="A8944" s="6"/>
      <c r="C8944" s="6"/>
      <c r="L8944" s="7"/>
      <c r="M8944" s="5"/>
      <c r="N8944" s="5"/>
      <c r="O8944" s="5"/>
    </row>
    <row r="8945">
      <c r="A8945" s="6"/>
      <c r="C8945" s="6"/>
      <c r="L8945" s="7"/>
      <c r="M8945" s="5"/>
      <c r="N8945" s="5"/>
      <c r="O8945" s="5"/>
    </row>
    <row r="8946">
      <c r="A8946" s="6"/>
      <c r="C8946" s="6"/>
      <c r="L8946" s="7"/>
      <c r="M8946" s="5"/>
      <c r="N8946" s="5"/>
      <c r="O8946" s="5"/>
    </row>
    <row r="8947">
      <c r="A8947" s="6"/>
      <c r="C8947" s="6"/>
      <c r="L8947" s="7"/>
      <c r="M8947" s="5"/>
      <c r="N8947" s="5"/>
      <c r="O8947" s="5"/>
    </row>
    <row r="8948">
      <c r="A8948" s="6"/>
      <c r="C8948" s="6"/>
      <c r="L8948" s="7"/>
      <c r="M8948" s="5"/>
      <c r="N8948" s="5"/>
      <c r="O8948" s="5"/>
    </row>
    <row r="8949">
      <c r="A8949" s="6"/>
      <c r="C8949" s="6"/>
      <c r="L8949" s="7"/>
      <c r="M8949" s="5"/>
      <c r="N8949" s="5"/>
      <c r="O8949" s="5"/>
    </row>
    <row r="8950">
      <c r="A8950" s="6"/>
      <c r="C8950" s="6"/>
      <c r="L8950" s="7"/>
      <c r="M8950" s="5"/>
      <c r="N8950" s="5"/>
      <c r="O8950" s="5"/>
    </row>
    <row r="8951">
      <c r="A8951" s="6"/>
      <c r="C8951" s="6"/>
      <c r="L8951" s="7"/>
      <c r="M8951" s="5"/>
      <c r="N8951" s="5"/>
      <c r="O8951" s="5"/>
    </row>
    <row r="8952">
      <c r="A8952" s="6"/>
      <c r="C8952" s="6"/>
      <c r="L8952" s="7"/>
      <c r="M8952" s="5"/>
      <c r="N8952" s="5"/>
      <c r="O8952" s="5"/>
    </row>
    <row r="8953">
      <c r="A8953" s="6"/>
      <c r="C8953" s="6"/>
      <c r="L8953" s="7"/>
      <c r="M8953" s="5"/>
      <c r="N8953" s="5"/>
      <c r="O8953" s="5"/>
    </row>
    <row r="8954">
      <c r="A8954" s="6"/>
      <c r="C8954" s="6"/>
      <c r="L8954" s="7"/>
      <c r="M8954" s="5"/>
      <c r="N8954" s="5"/>
      <c r="O8954" s="5"/>
    </row>
    <row r="8955">
      <c r="A8955" s="6"/>
      <c r="C8955" s="6"/>
      <c r="L8955" s="7"/>
      <c r="M8955" s="5"/>
      <c r="N8955" s="5"/>
      <c r="O8955" s="5"/>
    </row>
    <row r="8956">
      <c r="A8956" s="6"/>
      <c r="C8956" s="6"/>
      <c r="L8956" s="7"/>
      <c r="M8956" s="5"/>
      <c r="N8956" s="5"/>
      <c r="O8956" s="5"/>
    </row>
    <row r="8957">
      <c r="A8957" s="6"/>
      <c r="C8957" s="6"/>
      <c r="L8957" s="7"/>
      <c r="M8957" s="5"/>
      <c r="N8957" s="5"/>
      <c r="O8957" s="5"/>
    </row>
    <row r="8958">
      <c r="A8958" s="6"/>
      <c r="C8958" s="6"/>
      <c r="L8958" s="7"/>
      <c r="M8958" s="5"/>
      <c r="N8958" s="5"/>
      <c r="O8958" s="5"/>
    </row>
    <row r="8959">
      <c r="A8959" s="6"/>
      <c r="C8959" s="6"/>
      <c r="L8959" s="7"/>
      <c r="M8959" s="5"/>
      <c r="N8959" s="5"/>
      <c r="O8959" s="5"/>
    </row>
    <row r="8960">
      <c r="A8960" s="6"/>
      <c r="C8960" s="6"/>
      <c r="L8960" s="7"/>
      <c r="M8960" s="5"/>
      <c r="N8960" s="5"/>
      <c r="O8960" s="5"/>
    </row>
    <row r="8961">
      <c r="A8961" s="6"/>
      <c r="C8961" s="6"/>
      <c r="L8961" s="7"/>
      <c r="M8961" s="5"/>
      <c r="N8961" s="5"/>
      <c r="O8961" s="5"/>
    </row>
    <row r="8962">
      <c r="A8962" s="6"/>
      <c r="C8962" s="6"/>
      <c r="L8962" s="7"/>
      <c r="M8962" s="5"/>
      <c r="N8962" s="5"/>
      <c r="O8962" s="5"/>
    </row>
    <row r="8963">
      <c r="A8963" s="6"/>
      <c r="C8963" s="6"/>
      <c r="L8963" s="7"/>
      <c r="M8963" s="5"/>
      <c r="N8963" s="5"/>
      <c r="O8963" s="5"/>
    </row>
    <row r="8964">
      <c r="A8964" s="6"/>
      <c r="C8964" s="6"/>
      <c r="L8964" s="7"/>
      <c r="M8964" s="5"/>
      <c r="N8964" s="5"/>
      <c r="O8964" s="5"/>
    </row>
    <row r="8965">
      <c r="A8965" s="6"/>
      <c r="C8965" s="6"/>
      <c r="L8965" s="7"/>
      <c r="M8965" s="5"/>
      <c r="N8965" s="5"/>
      <c r="O8965" s="5"/>
    </row>
    <row r="8966">
      <c r="A8966" s="6"/>
      <c r="C8966" s="6"/>
      <c r="L8966" s="7"/>
      <c r="M8966" s="5"/>
      <c r="N8966" s="5"/>
      <c r="O8966" s="5"/>
    </row>
    <row r="8967">
      <c r="A8967" s="6"/>
      <c r="C8967" s="6"/>
      <c r="L8967" s="7"/>
      <c r="M8967" s="5"/>
      <c r="N8967" s="5"/>
      <c r="O8967" s="5"/>
    </row>
    <row r="8968">
      <c r="A8968" s="6"/>
      <c r="C8968" s="6"/>
      <c r="L8968" s="7"/>
      <c r="M8968" s="5"/>
      <c r="N8968" s="5"/>
      <c r="O8968" s="5"/>
    </row>
    <row r="8969">
      <c r="A8969" s="6"/>
      <c r="C8969" s="6"/>
      <c r="L8969" s="7"/>
      <c r="M8969" s="5"/>
      <c r="N8969" s="5"/>
      <c r="O8969" s="5"/>
    </row>
    <row r="8970">
      <c r="A8970" s="6"/>
      <c r="C8970" s="6"/>
      <c r="L8970" s="7"/>
      <c r="M8970" s="5"/>
      <c r="N8970" s="5"/>
      <c r="O8970" s="5"/>
    </row>
    <row r="8971">
      <c r="A8971" s="6"/>
      <c r="C8971" s="6"/>
      <c r="L8971" s="7"/>
      <c r="M8971" s="5"/>
      <c r="N8971" s="5"/>
      <c r="O8971" s="5"/>
    </row>
    <row r="8972">
      <c r="A8972" s="6"/>
      <c r="C8972" s="6"/>
      <c r="L8972" s="7"/>
      <c r="M8972" s="5"/>
      <c r="N8972" s="5"/>
      <c r="O8972" s="5"/>
    </row>
    <row r="8973">
      <c r="A8973" s="6"/>
      <c r="C8973" s="6"/>
      <c r="L8973" s="7"/>
      <c r="M8973" s="5"/>
      <c r="N8973" s="5"/>
      <c r="O8973" s="5"/>
    </row>
    <row r="8974">
      <c r="A8974" s="6"/>
      <c r="C8974" s="6"/>
      <c r="L8974" s="7"/>
      <c r="M8974" s="5"/>
      <c r="N8974" s="5"/>
      <c r="O8974" s="5"/>
    </row>
    <row r="8975">
      <c r="A8975" s="6"/>
      <c r="C8975" s="6"/>
      <c r="L8975" s="7"/>
      <c r="M8975" s="5"/>
      <c r="N8975" s="5"/>
      <c r="O8975" s="5"/>
    </row>
    <row r="8976">
      <c r="A8976" s="6"/>
      <c r="C8976" s="6"/>
      <c r="L8976" s="7"/>
      <c r="M8976" s="5"/>
      <c r="N8976" s="5"/>
      <c r="O8976" s="5"/>
    </row>
    <row r="8977">
      <c r="A8977" s="6"/>
      <c r="C8977" s="6"/>
      <c r="L8977" s="7"/>
      <c r="M8977" s="5"/>
      <c r="N8977" s="5"/>
      <c r="O8977" s="5"/>
    </row>
    <row r="8978">
      <c r="A8978" s="6"/>
      <c r="C8978" s="6"/>
      <c r="L8978" s="7"/>
      <c r="M8978" s="5"/>
      <c r="N8978" s="5"/>
      <c r="O8978" s="5"/>
    </row>
    <row r="8979">
      <c r="A8979" s="6"/>
      <c r="C8979" s="6"/>
      <c r="L8979" s="7"/>
      <c r="M8979" s="5"/>
      <c r="N8979" s="5"/>
      <c r="O8979" s="5"/>
    </row>
    <row r="8980">
      <c r="A8980" s="6"/>
      <c r="C8980" s="6"/>
      <c r="L8980" s="7"/>
      <c r="M8980" s="5"/>
      <c r="N8980" s="5"/>
      <c r="O8980" s="5"/>
    </row>
    <row r="8981">
      <c r="A8981" s="6"/>
      <c r="C8981" s="6"/>
      <c r="L8981" s="7"/>
      <c r="M8981" s="5"/>
      <c r="N8981" s="5"/>
      <c r="O8981" s="5"/>
    </row>
    <row r="8982">
      <c r="A8982" s="6"/>
      <c r="C8982" s="6"/>
      <c r="L8982" s="7"/>
      <c r="M8982" s="5"/>
      <c r="N8982" s="5"/>
      <c r="O8982" s="5"/>
    </row>
    <row r="8983">
      <c r="A8983" s="6"/>
      <c r="C8983" s="6"/>
      <c r="L8983" s="7"/>
      <c r="M8983" s="5"/>
      <c r="N8983" s="5"/>
      <c r="O8983" s="5"/>
    </row>
    <row r="8984">
      <c r="A8984" s="6"/>
      <c r="C8984" s="6"/>
      <c r="L8984" s="7"/>
      <c r="M8984" s="5"/>
      <c r="N8984" s="5"/>
      <c r="O8984" s="5"/>
    </row>
    <row r="8985">
      <c r="A8985" s="6"/>
      <c r="C8985" s="6"/>
      <c r="L8985" s="7"/>
      <c r="M8985" s="5"/>
      <c r="N8985" s="5"/>
      <c r="O8985" s="5"/>
    </row>
    <row r="8986">
      <c r="A8986" s="6"/>
      <c r="C8986" s="6"/>
      <c r="L8986" s="7"/>
      <c r="M8986" s="5"/>
      <c r="N8986" s="5"/>
      <c r="O8986" s="5"/>
    </row>
    <row r="8987">
      <c r="A8987" s="6"/>
      <c r="C8987" s="6"/>
      <c r="L8987" s="7"/>
      <c r="M8987" s="5"/>
      <c r="N8987" s="5"/>
      <c r="O8987" s="5"/>
    </row>
    <row r="8988">
      <c r="A8988" s="6"/>
      <c r="C8988" s="6"/>
      <c r="L8988" s="7"/>
      <c r="M8988" s="5"/>
      <c r="N8988" s="5"/>
      <c r="O8988" s="5"/>
    </row>
    <row r="8989">
      <c r="A8989" s="6"/>
      <c r="C8989" s="6"/>
      <c r="L8989" s="7"/>
      <c r="M8989" s="5"/>
      <c r="N8989" s="5"/>
      <c r="O8989" s="5"/>
    </row>
    <row r="8990">
      <c r="A8990" s="6"/>
      <c r="C8990" s="6"/>
      <c r="L8990" s="7"/>
      <c r="M8990" s="5"/>
      <c r="N8990" s="5"/>
      <c r="O8990" s="5"/>
    </row>
    <row r="8991">
      <c r="A8991" s="6"/>
      <c r="C8991" s="6"/>
      <c r="L8991" s="7"/>
      <c r="M8991" s="5"/>
      <c r="N8991" s="5"/>
      <c r="O8991" s="5"/>
    </row>
    <row r="8992">
      <c r="A8992" s="6"/>
      <c r="C8992" s="6"/>
      <c r="L8992" s="7"/>
      <c r="M8992" s="5"/>
      <c r="N8992" s="5"/>
      <c r="O8992" s="5"/>
    </row>
    <row r="8993">
      <c r="A8993" s="6"/>
      <c r="C8993" s="6"/>
      <c r="L8993" s="7"/>
      <c r="M8993" s="5"/>
      <c r="N8993" s="5"/>
      <c r="O8993" s="5"/>
    </row>
    <row r="8994">
      <c r="A8994" s="6"/>
      <c r="C8994" s="6"/>
      <c r="L8994" s="7"/>
      <c r="M8994" s="5"/>
      <c r="N8994" s="5"/>
      <c r="O8994" s="5"/>
    </row>
    <row r="8995">
      <c r="A8995" s="6"/>
      <c r="C8995" s="6"/>
      <c r="L8995" s="7"/>
      <c r="M8995" s="5"/>
      <c r="N8995" s="5"/>
      <c r="O8995" s="5"/>
    </row>
    <row r="8996">
      <c r="A8996" s="6"/>
      <c r="C8996" s="6"/>
      <c r="L8996" s="7"/>
      <c r="M8996" s="5"/>
      <c r="N8996" s="5"/>
      <c r="O8996" s="5"/>
    </row>
    <row r="8997">
      <c r="A8997" s="6"/>
      <c r="C8997" s="6"/>
      <c r="L8997" s="7"/>
      <c r="M8997" s="5"/>
      <c r="N8997" s="5"/>
      <c r="O8997" s="5"/>
    </row>
    <row r="8998">
      <c r="A8998" s="6"/>
      <c r="C8998" s="6"/>
      <c r="L8998" s="7"/>
      <c r="M8998" s="5"/>
      <c r="N8998" s="5"/>
      <c r="O8998" s="5"/>
    </row>
    <row r="8999">
      <c r="A8999" s="6"/>
      <c r="C8999" s="6"/>
      <c r="L8999" s="7"/>
      <c r="M8999" s="5"/>
      <c r="N8999" s="5"/>
      <c r="O8999" s="5"/>
    </row>
    <row r="9000">
      <c r="A9000" s="6"/>
      <c r="C9000" s="6"/>
      <c r="L9000" s="7"/>
      <c r="M9000" s="5"/>
      <c r="N9000" s="5"/>
      <c r="O9000" s="5"/>
    </row>
    <row r="9001">
      <c r="A9001" s="6"/>
      <c r="C9001" s="6"/>
      <c r="L9001" s="7"/>
      <c r="M9001" s="5"/>
      <c r="N9001" s="5"/>
      <c r="O9001" s="5"/>
    </row>
    <row r="9002">
      <c r="A9002" s="6"/>
      <c r="C9002" s="6"/>
      <c r="L9002" s="7"/>
      <c r="M9002" s="5"/>
      <c r="N9002" s="5"/>
      <c r="O9002" s="5"/>
    </row>
    <row r="9003">
      <c r="A9003" s="6"/>
      <c r="C9003" s="6"/>
      <c r="L9003" s="7"/>
      <c r="M9003" s="5"/>
      <c r="N9003" s="5"/>
      <c r="O9003" s="5"/>
    </row>
    <row r="9004">
      <c r="A9004" s="6"/>
      <c r="C9004" s="6"/>
      <c r="L9004" s="7"/>
      <c r="M9004" s="5"/>
      <c r="N9004" s="5"/>
      <c r="O9004" s="5"/>
    </row>
    <row r="9005">
      <c r="A9005" s="6"/>
      <c r="C9005" s="6"/>
      <c r="L9005" s="7"/>
      <c r="M9005" s="5"/>
      <c r="N9005" s="5"/>
      <c r="O9005" s="5"/>
    </row>
    <row r="9006">
      <c r="A9006" s="6"/>
      <c r="C9006" s="6"/>
      <c r="L9006" s="7"/>
      <c r="M9006" s="5"/>
      <c r="N9006" s="5"/>
      <c r="O9006" s="5"/>
    </row>
    <row r="9007">
      <c r="A9007" s="6"/>
      <c r="C9007" s="6"/>
      <c r="L9007" s="7"/>
      <c r="M9007" s="5"/>
      <c r="N9007" s="5"/>
      <c r="O9007" s="5"/>
    </row>
    <row r="9008">
      <c r="A9008" s="6"/>
      <c r="C9008" s="6"/>
      <c r="L9008" s="7"/>
      <c r="M9008" s="5"/>
      <c r="N9008" s="5"/>
      <c r="O9008" s="5"/>
    </row>
    <row r="9009">
      <c r="A9009" s="6"/>
      <c r="C9009" s="6"/>
      <c r="L9009" s="7"/>
      <c r="M9009" s="5"/>
      <c r="N9009" s="5"/>
      <c r="O9009" s="5"/>
    </row>
    <row r="9010">
      <c r="A9010" s="6"/>
      <c r="C9010" s="6"/>
      <c r="L9010" s="7"/>
      <c r="M9010" s="5"/>
      <c r="N9010" s="5"/>
      <c r="O9010" s="5"/>
    </row>
    <row r="9011">
      <c r="A9011" s="6"/>
      <c r="C9011" s="6"/>
      <c r="L9011" s="7"/>
      <c r="M9011" s="5"/>
      <c r="N9011" s="5"/>
      <c r="O9011" s="5"/>
    </row>
    <row r="9012">
      <c r="A9012" s="6"/>
      <c r="C9012" s="6"/>
      <c r="L9012" s="7"/>
      <c r="M9012" s="5"/>
      <c r="N9012" s="5"/>
      <c r="O9012" s="5"/>
    </row>
    <row r="9013">
      <c r="A9013" s="6"/>
      <c r="C9013" s="6"/>
      <c r="L9013" s="7"/>
      <c r="M9013" s="5"/>
      <c r="N9013" s="5"/>
      <c r="O9013" s="5"/>
    </row>
    <row r="9014">
      <c r="A9014" s="6"/>
      <c r="C9014" s="6"/>
      <c r="L9014" s="7"/>
      <c r="M9014" s="5"/>
      <c r="N9014" s="5"/>
      <c r="O9014" s="5"/>
    </row>
    <row r="9015">
      <c r="A9015" s="6"/>
      <c r="C9015" s="6"/>
      <c r="L9015" s="7"/>
      <c r="M9015" s="5"/>
      <c r="N9015" s="5"/>
      <c r="O9015" s="5"/>
    </row>
    <row r="9016">
      <c r="A9016" s="6"/>
      <c r="C9016" s="6"/>
      <c r="L9016" s="7"/>
      <c r="M9016" s="5"/>
      <c r="N9016" s="5"/>
      <c r="O9016" s="5"/>
    </row>
    <row r="9017">
      <c r="A9017" s="6"/>
      <c r="C9017" s="6"/>
      <c r="L9017" s="7"/>
      <c r="M9017" s="5"/>
      <c r="N9017" s="5"/>
      <c r="O9017" s="5"/>
    </row>
    <row r="9018">
      <c r="A9018" s="6"/>
      <c r="C9018" s="6"/>
      <c r="L9018" s="7"/>
      <c r="M9018" s="5"/>
      <c r="N9018" s="5"/>
      <c r="O9018" s="5"/>
    </row>
    <row r="9019">
      <c r="A9019" s="6"/>
      <c r="C9019" s="6"/>
      <c r="L9019" s="7"/>
      <c r="M9019" s="5"/>
      <c r="N9019" s="5"/>
      <c r="O9019" s="5"/>
    </row>
    <row r="9020">
      <c r="A9020" s="6"/>
      <c r="C9020" s="6"/>
      <c r="L9020" s="7"/>
      <c r="M9020" s="5"/>
      <c r="N9020" s="5"/>
      <c r="O9020" s="5"/>
    </row>
    <row r="9021">
      <c r="A9021" s="6"/>
      <c r="C9021" s="6"/>
      <c r="L9021" s="7"/>
      <c r="M9021" s="5"/>
      <c r="N9021" s="5"/>
      <c r="O9021" s="5"/>
    </row>
    <row r="9022">
      <c r="A9022" s="6"/>
      <c r="C9022" s="6"/>
      <c r="L9022" s="7"/>
      <c r="M9022" s="5"/>
      <c r="N9022" s="5"/>
      <c r="O9022" s="5"/>
    </row>
    <row r="9023">
      <c r="A9023" s="6"/>
      <c r="C9023" s="6"/>
      <c r="L9023" s="7"/>
      <c r="M9023" s="5"/>
      <c r="N9023" s="5"/>
      <c r="O9023" s="5"/>
    </row>
    <row r="9024">
      <c r="A9024" s="6"/>
      <c r="C9024" s="6"/>
      <c r="L9024" s="7"/>
      <c r="M9024" s="5"/>
      <c r="N9024" s="5"/>
      <c r="O9024" s="5"/>
    </row>
    <row r="9025">
      <c r="A9025" s="6"/>
      <c r="C9025" s="6"/>
      <c r="L9025" s="7"/>
      <c r="M9025" s="5"/>
      <c r="N9025" s="5"/>
      <c r="O9025" s="5"/>
    </row>
    <row r="9026">
      <c r="A9026" s="6"/>
      <c r="C9026" s="6"/>
      <c r="L9026" s="7"/>
      <c r="M9026" s="5"/>
      <c r="N9026" s="5"/>
      <c r="O9026" s="5"/>
    </row>
    <row r="9027">
      <c r="A9027" s="6"/>
      <c r="C9027" s="6"/>
      <c r="L9027" s="7"/>
      <c r="M9027" s="5"/>
      <c r="N9027" s="5"/>
      <c r="O9027" s="5"/>
    </row>
    <row r="9028">
      <c r="A9028" s="6"/>
      <c r="C9028" s="6"/>
      <c r="L9028" s="7"/>
      <c r="M9028" s="5"/>
      <c r="N9028" s="5"/>
      <c r="O9028" s="5"/>
    </row>
    <row r="9029">
      <c r="A9029" s="6"/>
      <c r="C9029" s="6"/>
      <c r="L9029" s="7"/>
      <c r="M9029" s="5"/>
      <c r="N9029" s="5"/>
      <c r="O9029" s="5"/>
    </row>
    <row r="9030">
      <c r="A9030" s="6"/>
      <c r="C9030" s="6"/>
      <c r="L9030" s="7"/>
      <c r="M9030" s="5"/>
      <c r="N9030" s="5"/>
      <c r="O9030" s="5"/>
    </row>
    <row r="9031">
      <c r="A9031" s="6"/>
      <c r="C9031" s="6"/>
      <c r="L9031" s="7"/>
      <c r="M9031" s="5"/>
      <c r="N9031" s="5"/>
      <c r="O9031" s="5"/>
    </row>
    <row r="9032">
      <c r="A9032" s="6"/>
      <c r="C9032" s="6"/>
      <c r="L9032" s="7"/>
      <c r="M9032" s="5"/>
      <c r="N9032" s="5"/>
      <c r="O9032" s="5"/>
    </row>
    <row r="9033">
      <c r="A9033" s="6"/>
      <c r="C9033" s="6"/>
      <c r="L9033" s="7"/>
      <c r="M9033" s="5"/>
      <c r="N9033" s="5"/>
      <c r="O9033" s="5"/>
    </row>
    <row r="9034">
      <c r="A9034" s="6"/>
      <c r="C9034" s="6"/>
      <c r="L9034" s="7"/>
      <c r="M9034" s="5"/>
      <c r="N9034" s="5"/>
      <c r="O9034" s="5"/>
    </row>
    <row r="9035">
      <c r="A9035" s="6"/>
      <c r="C9035" s="6"/>
      <c r="L9035" s="7"/>
      <c r="M9035" s="5"/>
      <c r="N9035" s="5"/>
      <c r="O9035" s="5"/>
    </row>
    <row r="9036">
      <c r="A9036" s="6"/>
      <c r="C9036" s="6"/>
      <c r="L9036" s="7"/>
      <c r="M9036" s="5"/>
      <c r="N9036" s="5"/>
      <c r="O9036" s="5"/>
    </row>
    <row r="9037">
      <c r="A9037" s="6"/>
      <c r="C9037" s="6"/>
      <c r="L9037" s="7"/>
      <c r="M9037" s="5"/>
      <c r="N9037" s="5"/>
      <c r="O9037" s="5"/>
    </row>
    <row r="9038">
      <c r="A9038" s="6"/>
      <c r="C9038" s="6"/>
      <c r="L9038" s="7"/>
      <c r="M9038" s="5"/>
      <c r="N9038" s="5"/>
      <c r="O9038" s="5"/>
    </row>
    <row r="9039">
      <c r="A9039" s="6"/>
      <c r="C9039" s="6"/>
      <c r="L9039" s="7"/>
      <c r="M9039" s="5"/>
      <c r="N9039" s="5"/>
      <c r="O9039" s="5"/>
    </row>
    <row r="9040">
      <c r="A9040" s="6"/>
      <c r="C9040" s="6"/>
      <c r="L9040" s="7"/>
      <c r="M9040" s="5"/>
      <c r="N9040" s="5"/>
      <c r="O9040" s="5"/>
    </row>
    <row r="9041">
      <c r="A9041" s="6"/>
      <c r="C9041" s="6"/>
      <c r="L9041" s="7"/>
      <c r="M9041" s="5"/>
      <c r="N9041" s="5"/>
      <c r="O9041" s="5"/>
    </row>
    <row r="9042">
      <c r="A9042" s="6"/>
      <c r="C9042" s="6"/>
      <c r="L9042" s="7"/>
      <c r="M9042" s="5"/>
      <c r="N9042" s="5"/>
      <c r="O9042" s="5"/>
    </row>
    <row r="9043">
      <c r="A9043" s="6"/>
      <c r="C9043" s="6"/>
      <c r="L9043" s="7"/>
      <c r="M9043" s="5"/>
      <c r="N9043" s="5"/>
      <c r="O9043" s="5"/>
    </row>
    <row r="9044">
      <c r="A9044" s="6"/>
      <c r="C9044" s="6"/>
      <c r="L9044" s="7"/>
      <c r="M9044" s="5"/>
      <c r="N9044" s="5"/>
      <c r="O9044" s="5"/>
    </row>
    <row r="9045">
      <c r="A9045" s="6"/>
      <c r="C9045" s="6"/>
      <c r="L9045" s="7"/>
      <c r="M9045" s="5"/>
      <c r="N9045" s="5"/>
      <c r="O9045" s="5"/>
    </row>
    <row r="9046">
      <c r="A9046" s="6"/>
      <c r="C9046" s="6"/>
      <c r="L9046" s="7"/>
      <c r="M9046" s="5"/>
      <c r="N9046" s="5"/>
      <c r="O9046" s="5"/>
    </row>
    <row r="9047">
      <c r="A9047" s="6"/>
      <c r="C9047" s="6"/>
      <c r="L9047" s="7"/>
      <c r="M9047" s="5"/>
      <c r="N9047" s="5"/>
      <c r="O9047" s="5"/>
    </row>
    <row r="9048">
      <c r="A9048" s="6"/>
      <c r="C9048" s="6"/>
      <c r="L9048" s="7"/>
      <c r="M9048" s="5"/>
      <c r="N9048" s="5"/>
      <c r="O9048" s="5"/>
    </row>
    <row r="9049">
      <c r="A9049" s="6"/>
      <c r="C9049" s="6"/>
      <c r="L9049" s="7"/>
      <c r="M9049" s="5"/>
      <c r="N9049" s="5"/>
      <c r="O9049" s="5"/>
    </row>
    <row r="9050">
      <c r="A9050" s="6"/>
      <c r="C9050" s="6"/>
      <c r="L9050" s="7"/>
      <c r="M9050" s="5"/>
      <c r="N9050" s="5"/>
      <c r="O9050" s="5"/>
    </row>
    <row r="9051">
      <c r="A9051" s="6"/>
      <c r="C9051" s="6"/>
      <c r="L9051" s="7"/>
      <c r="M9051" s="5"/>
      <c r="N9051" s="5"/>
      <c r="O9051" s="5"/>
    </row>
    <row r="9052">
      <c r="A9052" s="6"/>
      <c r="C9052" s="6"/>
      <c r="L9052" s="7"/>
      <c r="M9052" s="5"/>
      <c r="N9052" s="5"/>
      <c r="O9052" s="5"/>
    </row>
    <row r="9053">
      <c r="A9053" s="6"/>
      <c r="C9053" s="6"/>
      <c r="L9053" s="7"/>
      <c r="M9053" s="5"/>
      <c r="N9053" s="5"/>
      <c r="O9053" s="5"/>
    </row>
    <row r="9054">
      <c r="A9054" s="6"/>
      <c r="C9054" s="6"/>
      <c r="L9054" s="7"/>
      <c r="M9054" s="5"/>
      <c r="N9054" s="5"/>
      <c r="O9054" s="5"/>
    </row>
    <row r="9055">
      <c r="A9055" s="6"/>
      <c r="C9055" s="6"/>
      <c r="L9055" s="7"/>
      <c r="M9055" s="5"/>
      <c r="N9055" s="5"/>
      <c r="O9055" s="5"/>
    </row>
    <row r="9056">
      <c r="A9056" s="6"/>
      <c r="C9056" s="6"/>
      <c r="L9056" s="7"/>
      <c r="M9056" s="5"/>
      <c r="N9056" s="5"/>
      <c r="O9056" s="5"/>
    </row>
    <row r="9057">
      <c r="A9057" s="6"/>
      <c r="C9057" s="6"/>
      <c r="L9057" s="7"/>
      <c r="M9057" s="5"/>
      <c r="N9057" s="5"/>
      <c r="O9057" s="5"/>
    </row>
    <row r="9058">
      <c r="A9058" s="6"/>
      <c r="C9058" s="6"/>
      <c r="L9058" s="7"/>
      <c r="M9058" s="5"/>
      <c r="N9058" s="5"/>
      <c r="O9058" s="5"/>
    </row>
    <row r="9059">
      <c r="A9059" s="6"/>
      <c r="C9059" s="6"/>
      <c r="L9059" s="7"/>
      <c r="M9059" s="5"/>
      <c r="N9059" s="5"/>
      <c r="O9059" s="5"/>
    </row>
    <row r="9060">
      <c r="A9060" s="6"/>
      <c r="C9060" s="6"/>
      <c r="L9060" s="7"/>
      <c r="M9060" s="5"/>
      <c r="N9060" s="5"/>
      <c r="O9060" s="5"/>
    </row>
    <row r="9061">
      <c r="A9061" s="6"/>
      <c r="C9061" s="6"/>
      <c r="L9061" s="7"/>
      <c r="M9061" s="5"/>
      <c r="N9061" s="5"/>
      <c r="O9061" s="5"/>
    </row>
    <row r="9062">
      <c r="A9062" s="6"/>
      <c r="C9062" s="6"/>
      <c r="L9062" s="7"/>
      <c r="M9062" s="5"/>
      <c r="N9062" s="5"/>
      <c r="O9062" s="5"/>
    </row>
    <row r="9063">
      <c r="A9063" s="6"/>
      <c r="C9063" s="6"/>
      <c r="L9063" s="7"/>
      <c r="M9063" s="5"/>
      <c r="N9063" s="5"/>
      <c r="O9063" s="5"/>
    </row>
    <row r="9064">
      <c r="A9064" s="6"/>
      <c r="C9064" s="6"/>
      <c r="L9064" s="7"/>
      <c r="M9064" s="5"/>
      <c r="N9064" s="5"/>
      <c r="O9064" s="5"/>
    </row>
    <row r="9065">
      <c r="A9065" s="6"/>
      <c r="C9065" s="6"/>
      <c r="L9065" s="7"/>
      <c r="M9065" s="5"/>
      <c r="N9065" s="5"/>
      <c r="O9065" s="5"/>
    </row>
    <row r="9066">
      <c r="A9066" s="6"/>
      <c r="C9066" s="6"/>
      <c r="L9066" s="7"/>
      <c r="M9066" s="5"/>
      <c r="N9066" s="5"/>
      <c r="O9066" s="5"/>
    </row>
    <row r="9067">
      <c r="A9067" s="6"/>
      <c r="C9067" s="6"/>
      <c r="L9067" s="7"/>
      <c r="M9067" s="5"/>
      <c r="N9067" s="5"/>
      <c r="O9067" s="5"/>
    </row>
    <row r="9068">
      <c r="A9068" s="6"/>
      <c r="C9068" s="6"/>
      <c r="L9068" s="7"/>
      <c r="M9068" s="5"/>
      <c r="N9068" s="5"/>
      <c r="O9068" s="5"/>
    </row>
    <row r="9069">
      <c r="A9069" s="6"/>
      <c r="C9069" s="6"/>
      <c r="L9069" s="7"/>
      <c r="M9069" s="5"/>
      <c r="N9069" s="5"/>
      <c r="O9069" s="5"/>
    </row>
    <row r="9070">
      <c r="A9070" s="6"/>
      <c r="C9070" s="6"/>
      <c r="L9070" s="7"/>
      <c r="M9070" s="5"/>
      <c r="N9070" s="5"/>
      <c r="O9070" s="5"/>
    </row>
    <row r="9071">
      <c r="A9071" s="6"/>
      <c r="C9071" s="6"/>
      <c r="L9071" s="7"/>
      <c r="M9071" s="5"/>
      <c r="N9071" s="5"/>
      <c r="O9071" s="5"/>
    </row>
    <row r="9072">
      <c r="A9072" s="6"/>
      <c r="C9072" s="6"/>
      <c r="L9072" s="7"/>
      <c r="M9072" s="5"/>
      <c r="N9072" s="5"/>
      <c r="O9072" s="5"/>
    </row>
    <row r="9073">
      <c r="A9073" s="6"/>
      <c r="C9073" s="6"/>
      <c r="L9073" s="7"/>
      <c r="M9073" s="5"/>
      <c r="N9073" s="5"/>
      <c r="O9073" s="5"/>
    </row>
    <row r="9074">
      <c r="A9074" s="6"/>
      <c r="C9074" s="6"/>
      <c r="L9074" s="7"/>
      <c r="M9074" s="5"/>
      <c r="N9074" s="5"/>
      <c r="O9074" s="5"/>
    </row>
    <row r="9075">
      <c r="A9075" s="6"/>
      <c r="C9075" s="6"/>
      <c r="L9075" s="7"/>
      <c r="M9075" s="5"/>
      <c r="N9075" s="5"/>
      <c r="O9075" s="5"/>
    </row>
    <row r="9076">
      <c r="A9076" s="6"/>
      <c r="C9076" s="6"/>
      <c r="L9076" s="7"/>
      <c r="M9076" s="5"/>
      <c r="N9076" s="5"/>
      <c r="O9076" s="5"/>
    </row>
    <row r="9077">
      <c r="A9077" s="6"/>
      <c r="C9077" s="6"/>
      <c r="L9077" s="7"/>
      <c r="M9077" s="5"/>
      <c r="N9077" s="5"/>
      <c r="O9077" s="5"/>
    </row>
    <row r="9078">
      <c r="A9078" s="6"/>
      <c r="C9078" s="6"/>
      <c r="L9078" s="7"/>
      <c r="M9078" s="5"/>
      <c r="N9078" s="5"/>
      <c r="O9078" s="5"/>
    </row>
    <row r="9079">
      <c r="A9079" s="6"/>
      <c r="C9079" s="6"/>
      <c r="L9079" s="7"/>
      <c r="M9079" s="5"/>
      <c r="N9079" s="5"/>
      <c r="O9079" s="5"/>
    </row>
    <row r="9080">
      <c r="A9080" s="6"/>
      <c r="C9080" s="6"/>
      <c r="L9080" s="7"/>
      <c r="M9080" s="5"/>
      <c r="N9080" s="5"/>
      <c r="O9080" s="5"/>
    </row>
    <row r="9081">
      <c r="A9081" s="6"/>
      <c r="C9081" s="6"/>
      <c r="L9081" s="7"/>
      <c r="M9081" s="5"/>
      <c r="N9081" s="5"/>
      <c r="O9081" s="5"/>
    </row>
    <row r="9082">
      <c r="A9082" s="6"/>
      <c r="C9082" s="6"/>
      <c r="L9082" s="7"/>
      <c r="M9082" s="5"/>
      <c r="N9082" s="5"/>
      <c r="O9082" s="5"/>
    </row>
    <row r="9083">
      <c r="A9083" s="6"/>
      <c r="C9083" s="6"/>
      <c r="L9083" s="7"/>
      <c r="M9083" s="5"/>
      <c r="N9083" s="5"/>
      <c r="O9083" s="5"/>
    </row>
    <row r="9084">
      <c r="A9084" s="6"/>
      <c r="C9084" s="6"/>
      <c r="L9084" s="7"/>
      <c r="M9084" s="5"/>
      <c r="N9084" s="5"/>
      <c r="O9084" s="5"/>
    </row>
    <row r="9085">
      <c r="A9085" s="6"/>
      <c r="C9085" s="6"/>
      <c r="L9085" s="7"/>
      <c r="M9085" s="5"/>
      <c r="N9085" s="5"/>
      <c r="O9085" s="5"/>
    </row>
    <row r="9086">
      <c r="A9086" s="6"/>
      <c r="C9086" s="6"/>
      <c r="L9086" s="7"/>
      <c r="M9086" s="5"/>
      <c r="N9086" s="5"/>
      <c r="O9086" s="5"/>
    </row>
    <row r="9087">
      <c r="A9087" s="6"/>
      <c r="C9087" s="6"/>
      <c r="L9087" s="7"/>
      <c r="M9087" s="5"/>
      <c r="N9087" s="5"/>
      <c r="O9087" s="5"/>
    </row>
    <row r="9088">
      <c r="A9088" s="6"/>
      <c r="C9088" s="6"/>
      <c r="L9088" s="7"/>
      <c r="M9088" s="5"/>
      <c r="N9088" s="5"/>
      <c r="O9088" s="5"/>
    </row>
    <row r="9089">
      <c r="A9089" s="6"/>
      <c r="C9089" s="6"/>
      <c r="L9089" s="7"/>
      <c r="M9089" s="5"/>
      <c r="N9089" s="5"/>
      <c r="O9089" s="5"/>
    </row>
    <row r="9090">
      <c r="A9090" s="6"/>
      <c r="C9090" s="6"/>
      <c r="L9090" s="7"/>
      <c r="M9090" s="5"/>
      <c r="N9090" s="5"/>
      <c r="O9090" s="5"/>
    </row>
    <row r="9091">
      <c r="A9091" s="6"/>
      <c r="C9091" s="6"/>
      <c r="L9091" s="7"/>
      <c r="M9091" s="5"/>
      <c r="N9091" s="5"/>
      <c r="O9091" s="5"/>
    </row>
    <row r="9092">
      <c r="A9092" s="6"/>
      <c r="C9092" s="6"/>
      <c r="L9092" s="7"/>
      <c r="M9092" s="5"/>
      <c r="N9092" s="5"/>
      <c r="O9092" s="5"/>
    </row>
    <row r="9093">
      <c r="A9093" s="6"/>
      <c r="C9093" s="6"/>
      <c r="L9093" s="7"/>
      <c r="M9093" s="5"/>
      <c r="N9093" s="5"/>
      <c r="O9093" s="5"/>
    </row>
    <row r="9094">
      <c r="A9094" s="6"/>
      <c r="C9094" s="6"/>
      <c r="L9094" s="7"/>
      <c r="M9094" s="5"/>
      <c r="N9094" s="5"/>
      <c r="O9094" s="5"/>
    </row>
    <row r="9095">
      <c r="A9095" s="6"/>
      <c r="C9095" s="6"/>
      <c r="L9095" s="7"/>
      <c r="M9095" s="5"/>
      <c r="N9095" s="5"/>
      <c r="O9095" s="5"/>
    </row>
    <row r="9096">
      <c r="A9096" s="6"/>
      <c r="C9096" s="6"/>
      <c r="L9096" s="7"/>
      <c r="M9096" s="5"/>
      <c r="N9096" s="5"/>
      <c r="O9096" s="5"/>
    </row>
    <row r="9097">
      <c r="A9097" s="6"/>
      <c r="C9097" s="6"/>
      <c r="L9097" s="7"/>
      <c r="M9097" s="5"/>
      <c r="N9097" s="5"/>
      <c r="O9097" s="5"/>
    </row>
    <row r="9098">
      <c r="A9098" s="6"/>
      <c r="C9098" s="6"/>
      <c r="L9098" s="7"/>
      <c r="M9098" s="5"/>
      <c r="N9098" s="5"/>
      <c r="O9098" s="5"/>
    </row>
    <row r="9099">
      <c r="A9099" s="6"/>
      <c r="C9099" s="6"/>
      <c r="L9099" s="7"/>
      <c r="M9099" s="5"/>
      <c r="N9099" s="5"/>
      <c r="O9099" s="5"/>
    </row>
    <row r="9100">
      <c r="A9100" s="6"/>
      <c r="C9100" s="6"/>
      <c r="L9100" s="7"/>
      <c r="M9100" s="5"/>
      <c r="N9100" s="5"/>
      <c r="O9100" s="5"/>
    </row>
    <row r="9101">
      <c r="A9101" s="6"/>
      <c r="C9101" s="6"/>
      <c r="L9101" s="7"/>
      <c r="M9101" s="5"/>
      <c r="N9101" s="5"/>
      <c r="O9101" s="5"/>
    </row>
    <row r="9102">
      <c r="A9102" s="6"/>
      <c r="C9102" s="6"/>
      <c r="L9102" s="7"/>
      <c r="M9102" s="5"/>
      <c r="N9102" s="5"/>
      <c r="O9102" s="5"/>
    </row>
    <row r="9103">
      <c r="A9103" s="6"/>
      <c r="C9103" s="6"/>
      <c r="L9103" s="7"/>
      <c r="M9103" s="5"/>
      <c r="N9103" s="5"/>
      <c r="O9103" s="5"/>
    </row>
    <row r="9104">
      <c r="A9104" s="6"/>
      <c r="C9104" s="6"/>
      <c r="L9104" s="7"/>
      <c r="M9104" s="5"/>
      <c r="N9104" s="5"/>
      <c r="O9104" s="5"/>
    </row>
    <row r="9105">
      <c r="A9105" s="6"/>
      <c r="C9105" s="6"/>
      <c r="L9105" s="7"/>
      <c r="M9105" s="5"/>
      <c r="N9105" s="5"/>
      <c r="O9105" s="5"/>
    </row>
    <row r="9106">
      <c r="A9106" s="6"/>
      <c r="C9106" s="6"/>
      <c r="L9106" s="7"/>
      <c r="M9106" s="5"/>
      <c r="N9106" s="5"/>
      <c r="O9106" s="5"/>
    </row>
    <row r="9107">
      <c r="A9107" s="6"/>
      <c r="C9107" s="6"/>
      <c r="L9107" s="7"/>
      <c r="M9107" s="5"/>
      <c r="N9107" s="5"/>
      <c r="O9107" s="5"/>
    </row>
    <row r="9108">
      <c r="A9108" s="6"/>
      <c r="C9108" s="6"/>
      <c r="L9108" s="7"/>
      <c r="M9108" s="5"/>
      <c r="N9108" s="5"/>
      <c r="O9108" s="5"/>
    </row>
    <row r="9109">
      <c r="A9109" s="6"/>
      <c r="C9109" s="6"/>
      <c r="L9109" s="7"/>
      <c r="M9109" s="5"/>
      <c r="N9109" s="5"/>
      <c r="O9109" s="5"/>
    </row>
    <row r="9110">
      <c r="A9110" s="6"/>
      <c r="C9110" s="6"/>
      <c r="L9110" s="7"/>
      <c r="M9110" s="5"/>
      <c r="N9110" s="5"/>
      <c r="O9110" s="5"/>
    </row>
    <row r="9111">
      <c r="A9111" s="6"/>
      <c r="C9111" s="6"/>
      <c r="L9111" s="7"/>
      <c r="M9111" s="5"/>
      <c r="N9111" s="5"/>
      <c r="O9111" s="5"/>
    </row>
    <row r="9112">
      <c r="A9112" s="6"/>
      <c r="C9112" s="6"/>
      <c r="L9112" s="7"/>
      <c r="M9112" s="5"/>
      <c r="N9112" s="5"/>
      <c r="O9112" s="5"/>
    </row>
    <row r="9113">
      <c r="A9113" s="6"/>
      <c r="C9113" s="6"/>
      <c r="L9113" s="7"/>
      <c r="M9113" s="5"/>
      <c r="N9113" s="5"/>
      <c r="O9113" s="5"/>
    </row>
    <row r="9114">
      <c r="A9114" s="6"/>
      <c r="C9114" s="6"/>
      <c r="L9114" s="7"/>
      <c r="M9114" s="5"/>
      <c r="N9114" s="5"/>
      <c r="O9114" s="5"/>
    </row>
    <row r="9115">
      <c r="A9115" s="6"/>
      <c r="C9115" s="6"/>
      <c r="L9115" s="7"/>
      <c r="M9115" s="5"/>
      <c r="N9115" s="5"/>
      <c r="O9115" s="5"/>
    </row>
    <row r="9116">
      <c r="A9116" s="6"/>
      <c r="C9116" s="6"/>
      <c r="L9116" s="7"/>
      <c r="M9116" s="5"/>
      <c r="N9116" s="5"/>
      <c r="O9116" s="5"/>
    </row>
    <row r="9117">
      <c r="A9117" s="6"/>
      <c r="C9117" s="6"/>
      <c r="L9117" s="7"/>
      <c r="M9117" s="5"/>
      <c r="N9117" s="5"/>
      <c r="O9117" s="5"/>
    </row>
    <row r="9118">
      <c r="A9118" s="6"/>
      <c r="C9118" s="6"/>
      <c r="L9118" s="7"/>
      <c r="M9118" s="5"/>
      <c r="N9118" s="5"/>
      <c r="O9118" s="5"/>
    </row>
    <row r="9119">
      <c r="A9119" s="6"/>
      <c r="C9119" s="6"/>
      <c r="L9119" s="7"/>
      <c r="M9119" s="5"/>
      <c r="N9119" s="5"/>
      <c r="O9119" s="5"/>
    </row>
    <row r="9120">
      <c r="A9120" s="6"/>
      <c r="C9120" s="6"/>
      <c r="L9120" s="7"/>
      <c r="M9120" s="5"/>
      <c r="N9120" s="5"/>
      <c r="O9120" s="5"/>
    </row>
    <row r="9121">
      <c r="A9121" s="6"/>
      <c r="C9121" s="6"/>
      <c r="L9121" s="7"/>
      <c r="M9121" s="5"/>
      <c r="N9121" s="5"/>
      <c r="O9121" s="5"/>
    </row>
    <row r="9122">
      <c r="A9122" s="6"/>
      <c r="C9122" s="6"/>
      <c r="L9122" s="7"/>
      <c r="M9122" s="5"/>
      <c r="N9122" s="5"/>
      <c r="O9122" s="5"/>
    </row>
    <row r="9123">
      <c r="A9123" s="6"/>
      <c r="C9123" s="6"/>
      <c r="L9123" s="7"/>
      <c r="M9123" s="5"/>
      <c r="N9123" s="5"/>
      <c r="O9123" s="5"/>
    </row>
    <row r="9124">
      <c r="A9124" s="6"/>
      <c r="C9124" s="6"/>
      <c r="L9124" s="7"/>
      <c r="M9124" s="5"/>
      <c r="N9124" s="5"/>
      <c r="O9124" s="5"/>
    </row>
    <row r="9125">
      <c r="A9125" s="6"/>
      <c r="C9125" s="6"/>
      <c r="L9125" s="7"/>
      <c r="M9125" s="5"/>
      <c r="N9125" s="5"/>
      <c r="O9125" s="5"/>
    </row>
    <row r="9126">
      <c r="A9126" s="6"/>
      <c r="C9126" s="6"/>
      <c r="L9126" s="7"/>
      <c r="M9126" s="5"/>
      <c r="N9126" s="5"/>
      <c r="O9126" s="5"/>
    </row>
    <row r="9127">
      <c r="A9127" s="6"/>
      <c r="C9127" s="6"/>
      <c r="L9127" s="7"/>
      <c r="M9127" s="5"/>
      <c r="N9127" s="5"/>
      <c r="O9127" s="5"/>
    </row>
    <row r="9128">
      <c r="A9128" s="6"/>
      <c r="C9128" s="6"/>
      <c r="L9128" s="7"/>
      <c r="M9128" s="5"/>
      <c r="N9128" s="5"/>
      <c r="O9128" s="5"/>
    </row>
    <row r="9129">
      <c r="A9129" s="6"/>
      <c r="C9129" s="6"/>
      <c r="L9129" s="7"/>
      <c r="M9129" s="5"/>
      <c r="N9129" s="5"/>
      <c r="O9129" s="5"/>
    </row>
    <row r="9130">
      <c r="A9130" s="6"/>
      <c r="C9130" s="6"/>
      <c r="L9130" s="7"/>
      <c r="M9130" s="5"/>
      <c r="N9130" s="5"/>
      <c r="O9130" s="5"/>
    </row>
    <row r="9131">
      <c r="A9131" s="6"/>
      <c r="C9131" s="6"/>
      <c r="L9131" s="7"/>
      <c r="M9131" s="5"/>
      <c r="N9131" s="5"/>
      <c r="O9131" s="5"/>
    </row>
    <row r="9132">
      <c r="A9132" s="6"/>
      <c r="C9132" s="6"/>
      <c r="L9132" s="7"/>
      <c r="M9132" s="5"/>
      <c r="N9132" s="5"/>
      <c r="O9132" s="5"/>
    </row>
    <row r="9133">
      <c r="A9133" s="6"/>
      <c r="C9133" s="6"/>
      <c r="L9133" s="7"/>
      <c r="M9133" s="5"/>
      <c r="N9133" s="5"/>
      <c r="O9133" s="5"/>
    </row>
    <row r="9134">
      <c r="A9134" s="6"/>
      <c r="C9134" s="6"/>
      <c r="L9134" s="7"/>
      <c r="M9134" s="5"/>
      <c r="N9134" s="5"/>
      <c r="O9134" s="5"/>
    </row>
    <row r="9135">
      <c r="A9135" s="6"/>
      <c r="C9135" s="6"/>
      <c r="L9135" s="7"/>
      <c r="M9135" s="5"/>
      <c r="N9135" s="5"/>
      <c r="O9135" s="5"/>
    </row>
    <row r="9136">
      <c r="A9136" s="6"/>
      <c r="C9136" s="6"/>
      <c r="L9136" s="7"/>
      <c r="M9136" s="5"/>
      <c r="N9136" s="5"/>
      <c r="O9136" s="5"/>
    </row>
    <row r="9137">
      <c r="A9137" s="6"/>
      <c r="C9137" s="6"/>
      <c r="L9137" s="7"/>
      <c r="M9137" s="5"/>
      <c r="N9137" s="5"/>
      <c r="O9137" s="5"/>
    </row>
    <row r="9138">
      <c r="A9138" s="6"/>
      <c r="C9138" s="6"/>
      <c r="L9138" s="7"/>
      <c r="M9138" s="5"/>
      <c r="N9138" s="5"/>
      <c r="O9138" s="5"/>
    </row>
    <row r="9139">
      <c r="A9139" s="6"/>
      <c r="C9139" s="6"/>
      <c r="L9139" s="7"/>
      <c r="M9139" s="5"/>
      <c r="N9139" s="5"/>
      <c r="O9139" s="5"/>
    </row>
    <row r="9140">
      <c r="A9140" s="6"/>
      <c r="C9140" s="6"/>
      <c r="L9140" s="7"/>
      <c r="M9140" s="5"/>
      <c r="N9140" s="5"/>
      <c r="O9140" s="5"/>
    </row>
    <row r="9141">
      <c r="A9141" s="6"/>
      <c r="C9141" s="6"/>
      <c r="L9141" s="7"/>
      <c r="M9141" s="5"/>
      <c r="N9141" s="5"/>
      <c r="O9141" s="5"/>
    </row>
    <row r="9142">
      <c r="A9142" s="6"/>
      <c r="C9142" s="6"/>
      <c r="L9142" s="7"/>
      <c r="M9142" s="5"/>
      <c r="N9142" s="5"/>
      <c r="O9142" s="5"/>
    </row>
    <row r="9143">
      <c r="A9143" s="6"/>
      <c r="C9143" s="6"/>
      <c r="L9143" s="7"/>
      <c r="M9143" s="5"/>
      <c r="N9143" s="5"/>
      <c r="O9143" s="5"/>
    </row>
    <row r="9144">
      <c r="A9144" s="6"/>
      <c r="C9144" s="6"/>
      <c r="L9144" s="7"/>
      <c r="M9144" s="5"/>
      <c r="N9144" s="5"/>
      <c r="O9144" s="5"/>
    </row>
    <row r="9145">
      <c r="A9145" s="6"/>
      <c r="C9145" s="6"/>
      <c r="L9145" s="7"/>
      <c r="M9145" s="5"/>
      <c r="N9145" s="5"/>
      <c r="O9145" s="5"/>
    </row>
    <row r="9146">
      <c r="A9146" s="6"/>
      <c r="C9146" s="6"/>
      <c r="L9146" s="7"/>
      <c r="M9146" s="5"/>
      <c r="N9146" s="5"/>
      <c r="O9146" s="5"/>
    </row>
    <row r="9147">
      <c r="A9147" s="6"/>
      <c r="C9147" s="6"/>
      <c r="L9147" s="7"/>
      <c r="M9147" s="5"/>
      <c r="N9147" s="5"/>
      <c r="O9147" s="5"/>
    </row>
    <row r="9148">
      <c r="A9148" s="6"/>
      <c r="C9148" s="6"/>
      <c r="L9148" s="7"/>
      <c r="M9148" s="5"/>
      <c r="N9148" s="5"/>
      <c r="O9148" s="5"/>
    </row>
    <row r="9149">
      <c r="A9149" s="6"/>
      <c r="C9149" s="6"/>
      <c r="L9149" s="7"/>
      <c r="M9149" s="5"/>
      <c r="N9149" s="5"/>
      <c r="O9149" s="5"/>
    </row>
    <row r="9150">
      <c r="A9150" s="6"/>
      <c r="C9150" s="6"/>
      <c r="L9150" s="7"/>
      <c r="M9150" s="5"/>
      <c r="N9150" s="5"/>
      <c r="O9150" s="5"/>
    </row>
    <row r="9151">
      <c r="A9151" s="6"/>
      <c r="C9151" s="6"/>
      <c r="L9151" s="7"/>
      <c r="M9151" s="5"/>
      <c r="N9151" s="5"/>
      <c r="O9151" s="5"/>
    </row>
    <row r="9152">
      <c r="A9152" s="6"/>
      <c r="C9152" s="6"/>
      <c r="L9152" s="7"/>
      <c r="M9152" s="5"/>
      <c r="N9152" s="5"/>
      <c r="O9152" s="5"/>
    </row>
    <row r="9153">
      <c r="A9153" s="6"/>
      <c r="C9153" s="6"/>
      <c r="L9153" s="7"/>
      <c r="M9153" s="5"/>
      <c r="N9153" s="5"/>
      <c r="O9153" s="5"/>
    </row>
    <row r="9154">
      <c r="A9154" s="6"/>
      <c r="C9154" s="6"/>
      <c r="L9154" s="7"/>
      <c r="M9154" s="5"/>
      <c r="N9154" s="5"/>
      <c r="O9154" s="5"/>
    </row>
    <row r="9155">
      <c r="A9155" s="6"/>
      <c r="C9155" s="6"/>
      <c r="L9155" s="7"/>
      <c r="M9155" s="5"/>
      <c r="N9155" s="5"/>
      <c r="O9155" s="5"/>
    </row>
    <row r="9156">
      <c r="A9156" s="6"/>
      <c r="C9156" s="6"/>
      <c r="L9156" s="7"/>
      <c r="M9156" s="5"/>
      <c r="N9156" s="5"/>
      <c r="O9156" s="5"/>
    </row>
    <row r="9157">
      <c r="A9157" s="6"/>
      <c r="C9157" s="6"/>
      <c r="L9157" s="7"/>
      <c r="M9157" s="5"/>
      <c r="N9157" s="5"/>
      <c r="O9157" s="5"/>
    </row>
    <row r="9158">
      <c r="A9158" s="6"/>
      <c r="C9158" s="6"/>
      <c r="L9158" s="7"/>
      <c r="M9158" s="5"/>
      <c r="N9158" s="5"/>
      <c r="O9158" s="5"/>
    </row>
    <row r="9159">
      <c r="A9159" s="6"/>
      <c r="C9159" s="6"/>
      <c r="L9159" s="7"/>
      <c r="M9159" s="5"/>
      <c r="N9159" s="5"/>
      <c r="O9159" s="5"/>
    </row>
    <row r="9160">
      <c r="A9160" s="6"/>
      <c r="C9160" s="6"/>
      <c r="L9160" s="7"/>
      <c r="M9160" s="5"/>
      <c r="N9160" s="5"/>
      <c r="O9160" s="5"/>
    </row>
    <row r="9161">
      <c r="A9161" s="6"/>
      <c r="C9161" s="6"/>
      <c r="L9161" s="7"/>
      <c r="M9161" s="5"/>
      <c r="N9161" s="5"/>
      <c r="O9161" s="5"/>
    </row>
    <row r="9162">
      <c r="A9162" s="6"/>
      <c r="C9162" s="6"/>
      <c r="L9162" s="7"/>
      <c r="M9162" s="5"/>
      <c r="N9162" s="5"/>
      <c r="O9162" s="5"/>
    </row>
    <row r="9163">
      <c r="A9163" s="6"/>
      <c r="C9163" s="6"/>
      <c r="L9163" s="7"/>
      <c r="M9163" s="5"/>
      <c r="N9163" s="5"/>
      <c r="O9163" s="5"/>
    </row>
    <row r="9164">
      <c r="A9164" s="6"/>
      <c r="C9164" s="6"/>
      <c r="L9164" s="7"/>
      <c r="M9164" s="5"/>
      <c r="N9164" s="5"/>
      <c r="O9164" s="5"/>
    </row>
    <row r="9165">
      <c r="A9165" s="6"/>
      <c r="C9165" s="6"/>
      <c r="L9165" s="7"/>
      <c r="M9165" s="5"/>
      <c r="N9165" s="5"/>
      <c r="O9165" s="5"/>
    </row>
    <row r="9166">
      <c r="A9166" s="6"/>
      <c r="C9166" s="6"/>
      <c r="L9166" s="7"/>
      <c r="M9166" s="5"/>
      <c r="N9166" s="5"/>
      <c r="O9166" s="5"/>
    </row>
    <row r="9167">
      <c r="A9167" s="6"/>
      <c r="C9167" s="6"/>
      <c r="L9167" s="7"/>
      <c r="M9167" s="5"/>
      <c r="N9167" s="5"/>
      <c r="O9167" s="5"/>
    </row>
    <row r="9168">
      <c r="A9168" s="6"/>
      <c r="C9168" s="6"/>
      <c r="L9168" s="7"/>
      <c r="M9168" s="5"/>
      <c r="N9168" s="5"/>
      <c r="O9168" s="5"/>
    </row>
    <row r="9169">
      <c r="A9169" s="6"/>
      <c r="C9169" s="6"/>
      <c r="L9169" s="7"/>
      <c r="M9169" s="5"/>
      <c r="N9169" s="5"/>
      <c r="O9169" s="5"/>
    </row>
    <row r="9170">
      <c r="A9170" s="6"/>
      <c r="C9170" s="6"/>
      <c r="L9170" s="7"/>
      <c r="M9170" s="5"/>
      <c r="N9170" s="5"/>
      <c r="O9170" s="5"/>
    </row>
    <row r="9171">
      <c r="A9171" s="6"/>
      <c r="C9171" s="6"/>
      <c r="L9171" s="7"/>
      <c r="M9171" s="5"/>
      <c r="N9171" s="5"/>
      <c r="O9171" s="5"/>
    </row>
    <row r="9172">
      <c r="A9172" s="6"/>
      <c r="C9172" s="6"/>
      <c r="L9172" s="7"/>
      <c r="M9172" s="5"/>
      <c r="N9172" s="5"/>
      <c r="O9172" s="5"/>
    </row>
    <row r="9173">
      <c r="A9173" s="6"/>
      <c r="C9173" s="6"/>
      <c r="L9173" s="7"/>
      <c r="M9173" s="5"/>
      <c r="N9173" s="5"/>
      <c r="O9173" s="5"/>
    </row>
    <row r="9174">
      <c r="A9174" s="6"/>
      <c r="C9174" s="6"/>
      <c r="L9174" s="7"/>
      <c r="M9174" s="5"/>
      <c r="N9174" s="5"/>
      <c r="O9174" s="5"/>
    </row>
    <row r="9175">
      <c r="A9175" s="6"/>
      <c r="C9175" s="6"/>
      <c r="L9175" s="7"/>
      <c r="M9175" s="5"/>
      <c r="N9175" s="5"/>
      <c r="O9175" s="5"/>
    </row>
    <row r="9176">
      <c r="A9176" s="6"/>
      <c r="C9176" s="6"/>
      <c r="L9176" s="7"/>
      <c r="M9176" s="5"/>
      <c r="N9176" s="5"/>
      <c r="O9176" s="5"/>
    </row>
    <row r="9177">
      <c r="A9177" s="6"/>
      <c r="C9177" s="6"/>
      <c r="L9177" s="7"/>
      <c r="M9177" s="5"/>
      <c r="N9177" s="5"/>
      <c r="O9177" s="5"/>
    </row>
    <row r="9178">
      <c r="A9178" s="6"/>
      <c r="C9178" s="6"/>
      <c r="L9178" s="7"/>
      <c r="M9178" s="5"/>
      <c r="N9178" s="5"/>
      <c r="O9178" s="5"/>
    </row>
    <row r="9179">
      <c r="A9179" s="6"/>
      <c r="C9179" s="6"/>
      <c r="L9179" s="7"/>
      <c r="M9179" s="5"/>
      <c r="N9179" s="5"/>
      <c r="O9179" s="5"/>
    </row>
    <row r="9180">
      <c r="A9180" s="6"/>
      <c r="C9180" s="6"/>
      <c r="L9180" s="7"/>
      <c r="M9180" s="5"/>
      <c r="N9180" s="5"/>
      <c r="O9180" s="5"/>
    </row>
    <row r="9181">
      <c r="A9181" s="6"/>
      <c r="C9181" s="6"/>
      <c r="L9181" s="7"/>
      <c r="M9181" s="5"/>
      <c r="N9181" s="5"/>
      <c r="O9181" s="5"/>
    </row>
    <row r="9182">
      <c r="A9182" s="6"/>
      <c r="C9182" s="6"/>
      <c r="L9182" s="7"/>
      <c r="M9182" s="5"/>
      <c r="N9182" s="5"/>
      <c r="O9182" s="5"/>
    </row>
    <row r="9183">
      <c r="A9183" s="6"/>
      <c r="C9183" s="6"/>
      <c r="L9183" s="7"/>
      <c r="M9183" s="5"/>
      <c r="N9183" s="5"/>
      <c r="O9183" s="5"/>
    </row>
    <row r="9184">
      <c r="A9184" s="6"/>
      <c r="C9184" s="6"/>
      <c r="L9184" s="7"/>
      <c r="M9184" s="5"/>
      <c r="N9184" s="5"/>
      <c r="O9184" s="5"/>
    </row>
    <row r="9185">
      <c r="A9185" s="6"/>
      <c r="C9185" s="6"/>
      <c r="L9185" s="7"/>
      <c r="M9185" s="5"/>
      <c r="N9185" s="5"/>
      <c r="O9185" s="5"/>
    </row>
    <row r="9186">
      <c r="A9186" s="6"/>
      <c r="C9186" s="6"/>
      <c r="L9186" s="7"/>
      <c r="M9186" s="5"/>
      <c r="N9186" s="5"/>
      <c r="O9186" s="5"/>
    </row>
    <row r="9187">
      <c r="A9187" s="6"/>
      <c r="C9187" s="6"/>
      <c r="L9187" s="7"/>
      <c r="M9187" s="5"/>
      <c r="N9187" s="5"/>
      <c r="O9187" s="5"/>
    </row>
    <row r="9188">
      <c r="A9188" s="6"/>
      <c r="C9188" s="6"/>
      <c r="L9188" s="7"/>
      <c r="M9188" s="5"/>
      <c r="N9188" s="5"/>
      <c r="O9188" s="5"/>
    </row>
    <row r="9189">
      <c r="A9189" s="6"/>
      <c r="C9189" s="6"/>
      <c r="L9189" s="7"/>
      <c r="M9189" s="5"/>
      <c r="N9189" s="5"/>
      <c r="O9189" s="5"/>
    </row>
    <row r="9190">
      <c r="A9190" s="6"/>
      <c r="C9190" s="6"/>
      <c r="L9190" s="7"/>
      <c r="M9190" s="5"/>
      <c r="N9190" s="5"/>
      <c r="O9190" s="5"/>
    </row>
    <row r="9191">
      <c r="A9191" s="6"/>
      <c r="C9191" s="6"/>
      <c r="L9191" s="7"/>
      <c r="M9191" s="5"/>
      <c r="N9191" s="5"/>
      <c r="O9191" s="5"/>
    </row>
    <row r="9192">
      <c r="A9192" s="6"/>
      <c r="C9192" s="6"/>
      <c r="L9192" s="7"/>
      <c r="M9192" s="5"/>
      <c r="N9192" s="5"/>
      <c r="O9192" s="5"/>
    </row>
    <row r="9193">
      <c r="A9193" s="6"/>
      <c r="C9193" s="6"/>
      <c r="L9193" s="7"/>
      <c r="M9193" s="5"/>
      <c r="N9193" s="5"/>
      <c r="O9193" s="5"/>
    </row>
    <row r="9194">
      <c r="A9194" s="6"/>
      <c r="C9194" s="6"/>
      <c r="L9194" s="7"/>
      <c r="M9194" s="5"/>
      <c r="N9194" s="5"/>
      <c r="O9194" s="5"/>
    </row>
    <row r="9195">
      <c r="A9195" s="6"/>
      <c r="C9195" s="6"/>
      <c r="L9195" s="7"/>
      <c r="M9195" s="5"/>
      <c r="N9195" s="5"/>
      <c r="O9195" s="5"/>
    </row>
    <row r="9196">
      <c r="A9196" s="6"/>
      <c r="C9196" s="6"/>
      <c r="L9196" s="7"/>
      <c r="M9196" s="5"/>
      <c r="N9196" s="5"/>
      <c r="O9196" s="5"/>
    </row>
    <row r="9197">
      <c r="A9197" s="6"/>
      <c r="C9197" s="6"/>
      <c r="L9197" s="7"/>
      <c r="M9197" s="5"/>
      <c r="N9197" s="5"/>
      <c r="O9197" s="5"/>
    </row>
    <row r="9198">
      <c r="A9198" s="6"/>
      <c r="C9198" s="6"/>
      <c r="L9198" s="7"/>
      <c r="M9198" s="5"/>
      <c r="N9198" s="5"/>
      <c r="O9198" s="5"/>
    </row>
    <row r="9199">
      <c r="A9199" s="6"/>
      <c r="C9199" s="6"/>
      <c r="L9199" s="7"/>
      <c r="M9199" s="5"/>
      <c r="N9199" s="5"/>
      <c r="O9199" s="5"/>
    </row>
    <row r="9200">
      <c r="A9200" s="6"/>
      <c r="C9200" s="6"/>
      <c r="L9200" s="7"/>
      <c r="M9200" s="5"/>
      <c r="N9200" s="5"/>
      <c r="O9200" s="5"/>
    </row>
    <row r="9201">
      <c r="A9201" s="6"/>
      <c r="C9201" s="6"/>
      <c r="L9201" s="7"/>
      <c r="M9201" s="5"/>
      <c r="N9201" s="5"/>
      <c r="O9201" s="5"/>
    </row>
    <row r="9202">
      <c r="A9202" s="6"/>
      <c r="C9202" s="6"/>
      <c r="L9202" s="7"/>
      <c r="M9202" s="5"/>
      <c r="N9202" s="5"/>
      <c r="O9202" s="5"/>
    </row>
    <row r="9203">
      <c r="A9203" s="6"/>
      <c r="C9203" s="6"/>
      <c r="L9203" s="7"/>
      <c r="M9203" s="5"/>
      <c r="N9203" s="5"/>
      <c r="O9203" s="5"/>
    </row>
    <row r="9204">
      <c r="A9204" s="6"/>
      <c r="C9204" s="6"/>
      <c r="L9204" s="7"/>
      <c r="M9204" s="5"/>
      <c r="N9204" s="5"/>
      <c r="O9204" s="5"/>
    </row>
    <row r="9205">
      <c r="A9205" s="6"/>
      <c r="C9205" s="6"/>
      <c r="L9205" s="7"/>
      <c r="M9205" s="5"/>
      <c r="N9205" s="5"/>
      <c r="O9205" s="5"/>
    </row>
    <row r="9206">
      <c r="A9206" s="6"/>
      <c r="C9206" s="6"/>
      <c r="L9206" s="7"/>
      <c r="M9206" s="5"/>
      <c r="N9206" s="5"/>
      <c r="O9206" s="5"/>
    </row>
    <row r="9207">
      <c r="A9207" s="6"/>
      <c r="C9207" s="6"/>
      <c r="L9207" s="7"/>
      <c r="M9207" s="5"/>
      <c r="N9207" s="5"/>
      <c r="O9207" s="5"/>
    </row>
    <row r="9208">
      <c r="A9208" s="6"/>
      <c r="C9208" s="6"/>
      <c r="L9208" s="7"/>
      <c r="M9208" s="5"/>
      <c r="N9208" s="5"/>
      <c r="O9208" s="5"/>
    </row>
    <row r="9209">
      <c r="A9209" s="6"/>
      <c r="C9209" s="6"/>
      <c r="L9209" s="7"/>
      <c r="M9209" s="5"/>
      <c r="N9209" s="5"/>
      <c r="O9209" s="5"/>
    </row>
    <row r="9210">
      <c r="A9210" s="6"/>
      <c r="C9210" s="6"/>
      <c r="L9210" s="7"/>
      <c r="M9210" s="5"/>
      <c r="N9210" s="5"/>
      <c r="O9210" s="5"/>
    </row>
    <row r="9211">
      <c r="A9211" s="6"/>
      <c r="C9211" s="6"/>
      <c r="L9211" s="7"/>
      <c r="M9211" s="5"/>
      <c r="N9211" s="5"/>
      <c r="O9211" s="5"/>
    </row>
    <row r="9212">
      <c r="A9212" s="6"/>
      <c r="C9212" s="6"/>
      <c r="L9212" s="7"/>
      <c r="M9212" s="5"/>
      <c r="N9212" s="5"/>
      <c r="O9212" s="5"/>
    </row>
    <row r="9213">
      <c r="A9213" s="6"/>
      <c r="C9213" s="6"/>
      <c r="L9213" s="7"/>
      <c r="M9213" s="5"/>
      <c r="N9213" s="5"/>
      <c r="O9213" s="5"/>
    </row>
    <row r="9214">
      <c r="A9214" s="6"/>
      <c r="C9214" s="6"/>
      <c r="L9214" s="7"/>
      <c r="M9214" s="5"/>
      <c r="N9214" s="5"/>
      <c r="O9214" s="5"/>
    </row>
    <row r="9215">
      <c r="A9215" s="6"/>
      <c r="C9215" s="6"/>
      <c r="L9215" s="7"/>
      <c r="M9215" s="5"/>
      <c r="N9215" s="5"/>
      <c r="O9215" s="5"/>
    </row>
    <row r="9216">
      <c r="A9216" s="6"/>
      <c r="C9216" s="6"/>
      <c r="L9216" s="7"/>
      <c r="M9216" s="5"/>
      <c r="N9216" s="5"/>
      <c r="O9216" s="5"/>
    </row>
    <row r="9217">
      <c r="A9217" s="6"/>
      <c r="C9217" s="6"/>
      <c r="L9217" s="7"/>
      <c r="M9217" s="5"/>
      <c r="N9217" s="5"/>
      <c r="O9217" s="5"/>
    </row>
    <row r="9218">
      <c r="A9218" s="6"/>
      <c r="C9218" s="6"/>
      <c r="L9218" s="7"/>
      <c r="M9218" s="5"/>
      <c r="N9218" s="5"/>
      <c r="O9218" s="5"/>
    </row>
    <row r="9219">
      <c r="A9219" s="6"/>
      <c r="C9219" s="6"/>
      <c r="L9219" s="7"/>
      <c r="M9219" s="5"/>
      <c r="N9219" s="5"/>
      <c r="O9219" s="5"/>
    </row>
    <row r="9220">
      <c r="A9220" s="6"/>
      <c r="C9220" s="6"/>
      <c r="L9220" s="7"/>
      <c r="M9220" s="5"/>
      <c r="N9220" s="5"/>
      <c r="O9220" s="5"/>
    </row>
    <row r="9221">
      <c r="A9221" s="6"/>
      <c r="C9221" s="6"/>
      <c r="L9221" s="7"/>
      <c r="M9221" s="5"/>
      <c r="N9221" s="5"/>
      <c r="O9221" s="5"/>
    </row>
    <row r="9222">
      <c r="A9222" s="6"/>
      <c r="C9222" s="6"/>
      <c r="L9222" s="7"/>
      <c r="M9222" s="5"/>
      <c r="N9222" s="5"/>
      <c r="O9222" s="5"/>
    </row>
    <row r="9223">
      <c r="A9223" s="6"/>
      <c r="C9223" s="6"/>
      <c r="L9223" s="7"/>
      <c r="M9223" s="5"/>
      <c r="N9223" s="5"/>
      <c r="O9223" s="5"/>
    </row>
    <row r="9224">
      <c r="A9224" s="6"/>
      <c r="C9224" s="6"/>
      <c r="L9224" s="7"/>
      <c r="M9224" s="5"/>
      <c r="N9224" s="5"/>
      <c r="O9224" s="5"/>
    </row>
    <row r="9225">
      <c r="A9225" s="6"/>
      <c r="C9225" s="6"/>
      <c r="L9225" s="7"/>
      <c r="M9225" s="5"/>
      <c r="N9225" s="5"/>
      <c r="O9225" s="5"/>
    </row>
    <row r="9226">
      <c r="A9226" s="6"/>
      <c r="C9226" s="6"/>
      <c r="L9226" s="7"/>
      <c r="M9226" s="5"/>
      <c r="N9226" s="5"/>
      <c r="O9226" s="5"/>
    </row>
    <row r="9227">
      <c r="A9227" s="6"/>
      <c r="C9227" s="6"/>
      <c r="L9227" s="7"/>
      <c r="M9227" s="5"/>
      <c r="N9227" s="5"/>
      <c r="O9227" s="5"/>
    </row>
    <row r="9228">
      <c r="A9228" s="6"/>
      <c r="C9228" s="6"/>
      <c r="L9228" s="7"/>
      <c r="M9228" s="5"/>
      <c r="N9228" s="5"/>
      <c r="O9228" s="5"/>
    </row>
    <row r="9229">
      <c r="A9229" s="6"/>
      <c r="C9229" s="6"/>
      <c r="L9229" s="7"/>
      <c r="M9229" s="5"/>
      <c r="N9229" s="5"/>
      <c r="O9229" s="5"/>
    </row>
    <row r="9230">
      <c r="A9230" s="6"/>
      <c r="C9230" s="6"/>
      <c r="L9230" s="7"/>
      <c r="M9230" s="5"/>
      <c r="N9230" s="5"/>
      <c r="O9230" s="5"/>
    </row>
    <row r="9231">
      <c r="A9231" s="6"/>
      <c r="C9231" s="6"/>
      <c r="L9231" s="7"/>
      <c r="M9231" s="5"/>
      <c r="N9231" s="5"/>
      <c r="O9231" s="5"/>
    </row>
    <row r="9232">
      <c r="A9232" s="6"/>
      <c r="C9232" s="6"/>
      <c r="L9232" s="7"/>
      <c r="M9232" s="5"/>
      <c r="N9232" s="5"/>
      <c r="O9232" s="5"/>
    </row>
    <row r="9233">
      <c r="A9233" s="6"/>
      <c r="C9233" s="6"/>
      <c r="L9233" s="7"/>
      <c r="M9233" s="5"/>
      <c r="N9233" s="5"/>
      <c r="O9233" s="5"/>
    </row>
    <row r="9234">
      <c r="A9234" s="6"/>
      <c r="C9234" s="6"/>
      <c r="L9234" s="7"/>
      <c r="M9234" s="5"/>
      <c r="N9234" s="5"/>
      <c r="O9234" s="5"/>
    </row>
    <row r="9235">
      <c r="A9235" s="6"/>
      <c r="C9235" s="6"/>
      <c r="L9235" s="7"/>
      <c r="M9235" s="5"/>
      <c r="N9235" s="5"/>
      <c r="O9235" s="5"/>
    </row>
    <row r="9236">
      <c r="A9236" s="6"/>
      <c r="C9236" s="6"/>
      <c r="L9236" s="7"/>
      <c r="M9236" s="5"/>
      <c r="N9236" s="5"/>
      <c r="O9236" s="5"/>
    </row>
    <row r="9237">
      <c r="A9237" s="6"/>
      <c r="C9237" s="6"/>
      <c r="L9237" s="7"/>
      <c r="M9237" s="5"/>
      <c r="N9237" s="5"/>
      <c r="O9237" s="5"/>
    </row>
    <row r="9238">
      <c r="A9238" s="6"/>
      <c r="C9238" s="6"/>
      <c r="L9238" s="7"/>
      <c r="M9238" s="5"/>
      <c r="N9238" s="5"/>
      <c r="O9238" s="5"/>
    </row>
    <row r="9239">
      <c r="A9239" s="6"/>
      <c r="C9239" s="6"/>
      <c r="L9239" s="7"/>
      <c r="M9239" s="5"/>
      <c r="N9239" s="5"/>
      <c r="O9239" s="5"/>
    </row>
    <row r="9240">
      <c r="A9240" s="6"/>
      <c r="C9240" s="6"/>
      <c r="L9240" s="7"/>
      <c r="M9240" s="5"/>
      <c r="N9240" s="5"/>
      <c r="O9240" s="5"/>
    </row>
    <row r="9241">
      <c r="A9241" s="6"/>
      <c r="C9241" s="6"/>
      <c r="L9241" s="7"/>
      <c r="M9241" s="5"/>
      <c r="N9241" s="5"/>
      <c r="O9241" s="5"/>
    </row>
    <row r="9242">
      <c r="A9242" s="6"/>
      <c r="C9242" s="6"/>
      <c r="L9242" s="7"/>
      <c r="M9242" s="5"/>
      <c r="N9242" s="5"/>
      <c r="O9242" s="5"/>
    </row>
    <row r="9243">
      <c r="A9243" s="6"/>
      <c r="C9243" s="6"/>
      <c r="L9243" s="7"/>
      <c r="M9243" s="5"/>
      <c r="N9243" s="5"/>
      <c r="O9243" s="5"/>
    </row>
    <row r="9244">
      <c r="A9244" s="6"/>
      <c r="C9244" s="6"/>
      <c r="L9244" s="7"/>
      <c r="M9244" s="5"/>
      <c r="N9244" s="5"/>
      <c r="O9244" s="5"/>
    </row>
    <row r="9245">
      <c r="A9245" s="6"/>
      <c r="C9245" s="6"/>
      <c r="L9245" s="7"/>
      <c r="M9245" s="5"/>
      <c r="N9245" s="5"/>
      <c r="O9245" s="5"/>
    </row>
    <row r="9246">
      <c r="A9246" s="6"/>
      <c r="C9246" s="6"/>
      <c r="L9246" s="7"/>
      <c r="M9246" s="5"/>
      <c r="N9246" s="5"/>
      <c r="O9246" s="5"/>
    </row>
    <row r="9247">
      <c r="A9247" s="6"/>
      <c r="C9247" s="6"/>
      <c r="L9247" s="7"/>
      <c r="M9247" s="5"/>
      <c r="N9247" s="5"/>
      <c r="O9247" s="5"/>
    </row>
    <row r="9248">
      <c r="A9248" s="6"/>
      <c r="C9248" s="6"/>
      <c r="L9248" s="7"/>
      <c r="M9248" s="5"/>
      <c r="N9248" s="5"/>
      <c r="O9248" s="5"/>
    </row>
    <row r="9249">
      <c r="A9249" s="6"/>
      <c r="C9249" s="6"/>
      <c r="L9249" s="7"/>
      <c r="M9249" s="5"/>
      <c r="N9249" s="5"/>
      <c r="O9249" s="5"/>
    </row>
    <row r="9250">
      <c r="A9250" s="6"/>
      <c r="C9250" s="6"/>
      <c r="L9250" s="7"/>
      <c r="M9250" s="5"/>
      <c r="N9250" s="5"/>
      <c r="O9250" s="5"/>
    </row>
    <row r="9251">
      <c r="A9251" s="6"/>
      <c r="C9251" s="6"/>
      <c r="L9251" s="7"/>
      <c r="M9251" s="5"/>
      <c r="N9251" s="5"/>
      <c r="O9251" s="5"/>
    </row>
    <row r="9252">
      <c r="A9252" s="6"/>
      <c r="C9252" s="6"/>
      <c r="L9252" s="7"/>
      <c r="M9252" s="5"/>
      <c r="N9252" s="5"/>
      <c r="O9252" s="5"/>
    </row>
    <row r="9253">
      <c r="A9253" s="6"/>
      <c r="C9253" s="6"/>
      <c r="L9253" s="7"/>
      <c r="M9253" s="5"/>
      <c r="N9253" s="5"/>
      <c r="O9253" s="5"/>
    </row>
    <row r="9254">
      <c r="A9254" s="6"/>
      <c r="C9254" s="6"/>
      <c r="L9254" s="7"/>
      <c r="M9254" s="5"/>
      <c r="N9254" s="5"/>
      <c r="O9254" s="5"/>
    </row>
    <row r="9255">
      <c r="A9255" s="6"/>
      <c r="C9255" s="6"/>
      <c r="L9255" s="7"/>
      <c r="M9255" s="5"/>
      <c r="N9255" s="5"/>
      <c r="O9255" s="5"/>
    </row>
    <row r="9256">
      <c r="A9256" s="6"/>
      <c r="C9256" s="6"/>
      <c r="L9256" s="7"/>
      <c r="M9256" s="5"/>
      <c r="N9256" s="5"/>
      <c r="O9256" s="5"/>
    </row>
    <row r="9257">
      <c r="A9257" s="6"/>
      <c r="C9257" s="6"/>
      <c r="L9257" s="7"/>
      <c r="M9257" s="5"/>
      <c r="N9257" s="5"/>
      <c r="O9257" s="5"/>
    </row>
    <row r="9258">
      <c r="A9258" s="6"/>
      <c r="C9258" s="6"/>
      <c r="L9258" s="7"/>
      <c r="M9258" s="5"/>
      <c r="N9258" s="5"/>
      <c r="O9258" s="5"/>
    </row>
    <row r="9259">
      <c r="A9259" s="6"/>
      <c r="C9259" s="6"/>
      <c r="L9259" s="7"/>
      <c r="M9259" s="5"/>
      <c r="N9259" s="5"/>
      <c r="O9259" s="5"/>
    </row>
    <row r="9260">
      <c r="A9260" s="6"/>
      <c r="C9260" s="6"/>
      <c r="L9260" s="7"/>
      <c r="M9260" s="5"/>
      <c r="N9260" s="5"/>
      <c r="O9260" s="5"/>
    </row>
    <row r="9261">
      <c r="A9261" s="6"/>
      <c r="C9261" s="6"/>
      <c r="L9261" s="7"/>
      <c r="M9261" s="5"/>
      <c r="N9261" s="5"/>
      <c r="O9261" s="5"/>
    </row>
    <row r="9262">
      <c r="A9262" s="6"/>
      <c r="C9262" s="6"/>
      <c r="L9262" s="7"/>
      <c r="M9262" s="5"/>
      <c r="N9262" s="5"/>
      <c r="O9262" s="5"/>
    </row>
    <row r="9263">
      <c r="A9263" s="6"/>
      <c r="C9263" s="6"/>
      <c r="L9263" s="7"/>
      <c r="M9263" s="5"/>
      <c r="N9263" s="5"/>
      <c r="O9263" s="5"/>
    </row>
    <row r="9264">
      <c r="A9264" s="6"/>
      <c r="C9264" s="6"/>
      <c r="L9264" s="7"/>
      <c r="M9264" s="5"/>
      <c r="N9264" s="5"/>
      <c r="O9264" s="5"/>
    </row>
    <row r="9265">
      <c r="A9265" s="6"/>
      <c r="C9265" s="6"/>
      <c r="L9265" s="7"/>
      <c r="M9265" s="5"/>
      <c r="N9265" s="5"/>
      <c r="O9265" s="5"/>
    </row>
    <row r="9266">
      <c r="A9266" s="6"/>
      <c r="C9266" s="6"/>
      <c r="L9266" s="7"/>
      <c r="M9266" s="5"/>
      <c r="N9266" s="5"/>
      <c r="O9266" s="5"/>
    </row>
    <row r="9267">
      <c r="A9267" s="6"/>
      <c r="C9267" s="6"/>
      <c r="L9267" s="7"/>
      <c r="M9267" s="5"/>
      <c r="N9267" s="5"/>
      <c r="O9267" s="5"/>
    </row>
    <row r="9268">
      <c r="A9268" s="6"/>
      <c r="C9268" s="6"/>
      <c r="L9268" s="7"/>
      <c r="M9268" s="5"/>
      <c r="N9268" s="5"/>
      <c r="O9268" s="5"/>
    </row>
    <row r="9269">
      <c r="A9269" s="6"/>
      <c r="C9269" s="6"/>
      <c r="L9269" s="7"/>
      <c r="M9269" s="5"/>
      <c r="N9269" s="5"/>
      <c r="O9269" s="5"/>
    </row>
    <row r="9270">
      <c r="A9270" s="6"/>
      <c r="C9270" s="6"/>
      <c r="L9270" s="7"/>
      <c r="M9270" s="5"/>
      <c r="N9270" s="5"/>
      <c r="O9270" s="5"/>
    </row>
    <row r="9271">
      <c r="A9271" s="6"/>
      <c r="C9271" s="6"/>
      <c r="L9271" s="7"/>
      <c r="M9271" s="5"/>
      <c r="N9271" s="5"/>
      <c r="O9271" s="5"/>
    </row>
    <row r="9272">
      <c r="A9272" s="6"/>
      <c r="C9272" s="6"/>
      <c r="L9272" s="7"/>
      <c r="M9272" s="5"/>
      <c r="N9272" s="5"/>
      <c r="O9272" s="5"/>
    </row>
    <row r="9273">
      <c r="A9273" s="6"/>
      <c r="C9273" s="6"/>
      <c r="L9273" s="7"/>
      <c r="M9273" s="5"/>
      <c r="N9273" s="5"/>
      <c r="O9273" s="5"/>
    </row>
    <row r="9274">
      <c r="A9274" s="6"/>
      <c r="C9274" s="6"/>
      <c r="L9274" s="7"/>
      <c r="M9274" s="5"/>
      <c r="N9274" s="5"/>
      <c r="O9274" s="5"/>
    </row>
    <row r="9275">
      <c r="A9275" s="6"/>
      <c r="C9275" s="6"/>
      <c r="L9275" s="7"/>
      <c r="M9275" s="5"/>
      <c r="N9275" s="5"/>
      <c r="O9275" s="5"/>
    </row>
    <row r="9276">
      <c r="A9276" s="6"/>
      <c r="C9276" s="6"/>
      <c r="L9276" s="7"/>
      <c r="M9276" s="5"/>
      <c r="N9276" s="5"/>
      <c r="O9276" s="5"/>
    </row>
    <row r="9277">
      <c r="A9277" s="6"/>
      <c r="C9277" s="6"/>
      <c r="L9277" s="7"/>
      <c r="M9277" s="5"/>
      <c r="N9277" s="5"/>
      <c r="O9277" s="5"/>
    </row>
    <row r="9278">
      <c r="A9278" s="6"/>
      <c r="C9278" s="6"/>
      <c r="L9278" s="7"/>
      <c r="M9278" s="5"/>
      <c r="N9278" s="5"/>
      <c r="O9278" s="5"/>
    </row>
    <row r="9279">
      <c r="A9279" s="6"/>
      <c r="C9279" s="6"/>
      <c r="L9279" s="7"/>
      <c r="M9279" s="5"/>
      <c r="N9279" s="5"/>
      <c r="O9279" s="5"/>
    </row>
    <row r="9280">
      <c r="A9280" s="6"/>
      <c r="C9280" s="6"/>
      <c r="L9280" s="7"/>
      <c r="M9280" s="5"/>
      <c r="N9280" s="5"/>
      <c r="O9280" s="5"/>
    </row>
    <row r="9281">
      <c r="A9281" s="6"/>
      <c r="C9281" s="6"/>
      <c r="L9281" s="7"/>
      <c r="M9281" s="5"/>
      <c r="N9281" s="5"/>
      <c r="O9281" s="5"/>
    </row>
    <row r="9282">
      <c r="A9282" s="6"/>
      <c r="C9282" s="6"/>
      <c r="L9282" s="7"/>
      <c r="M9282" s="5"/>
      <c r="N9282" s="5"/>
      <c r="O9282" s="5"/>
    </row>
    <row r="9283">
      <c r="A9283" s="6"/>
      <c r="C9283" s="6"/>
      <c r="L9283" s="7"/>
      <c r="M9283" s="5"/>
      <c r="N9283" s="5"/>
      <c r="O9283" s="5"/>
    </row>
    <row r="9284">
      <c r="A9284" s="6"/>
      <c r="C9284" s="6"/>
      <c r="L9284" s="7"/>
      <c r="M9284" s="5"/>
      <c r="N9284" s="5"/>
      <c r="O9284" s="5"/>
    </row>
    <row r="9285">
      <c r="A9285" s="6"/>
      <c r="C9285" s="6"/>
      <c r="L9285" s="7"/>
      <c r="M9285" s="5"/>
      <c r="N9285" s="5"/>
      <c r="O9285" s="5"/>
    </row>
    <row r="9286">
      <c r="A9286" s="6"/>
      <c r="C9286" s="6"/>
      <c r="L9286" s="7"/>
      <c r="M9286" s="5"/>
      <c r="N9286" s="5"/>
      <c r="O9286" s="5"/>
    </row>
    <row r="9287">
      <c r="A9287" s="6"/>
      <c r="C9287" s="6"/>
      <c r="L9287" s="7"/>
      <c r="M9287" s="5"/>
      <c r="N9287" s="5"/>
      <c r="O9287" s="5"/>
    </row>
    <row r="9288">
      <c r="A9288" s="6"/>
      <c r="C9288" s="6"/>
      <c r="L9288" s="7"/>
      <c r="M9288" s="5"/>
      <c r="N9288" s="5"/>
      <c r="O9288" s="5"/>
    </row>
    <row r="9289">
      <c r="A9289" s="6"/>
      <c r="C9289" s="6"/>
      <c r="L9289" s="7"/>
      <c r="M9289" s="5"/>
      <c r="N9289" s="5"/>
      <c r="O9289" s="5"/>
    </row>
    <row r="9290">
      <c r="A9290" s="6"/>
      <c r="C9290" s="6"/>
      <c r="L9290" s="7"/>
      <c r="M9290" s="5"/>
      <c r="N9290" s="5"/>
      <c r="O9290" s="5"/>
    </row>
    <row r="9291">
      <c r="A9291" s="6"/>
      <c r="C9291" s="6"/>
      <c r="L9291" s="7"/>
      <c r="M9291" s="5"/>
      <c r="N9291" s="5"/>
      <c r="O9291" s="5"/>
    </row>
    <row r="9292">
      <c r="A9292" s="6"/>
      <c r="C9292" s="6"/>
      <c r="L9292" s="7"/>
      <c r="M9292" s="5"/>
      <c r="N9292" s="5"/>
      <c r="O9292" s="5"/>
    </row>
    <row r="9293">
      <c r="A9293" s="6"/>
      <c r="C9293" s="6"/>
      <c r="L9293" s="7"/>
      <c r="M9293" s="5"/>
      <c r="N9293" s="5"/>
      <c r="O9293" s="5"/>
    </row>
    <row r="9294">
      <c r="A9294" s="6"/>
      <c r="C9294" s="6"/>
      <c r="L9294" s="7"/>
      <c r="M9294" s="5"/>
      <c r="N9294" s="5"/>
      <c r="O9294" s="5"/>
    </row>
    <row r="9295">
      <c r="A9295" s="6"/>
      <c r="C9295" s="6"/>
      <c r="L9295" s="7"/>
      <c r="M9295" s="5"/>
      <c r="N9295" s="5"/>
      <c r="O9295" s="5"/>
    </row>
    <row r="9296">
      <c r="A9296" s="6"/>
      <c r="C9296" s="6"/>
      <c r="L9296" s="7"/>
      <c r="M9296" s="5"/>
      <c r="N9296" s="5"/>
      <c r="O9296" s="5"/>
    </row>
    <row r="9297">
      <c r="A9297" s="6"/>
      <c r="C9297" s="6"/>
      <c r="L9297" s="7"/>
      <c r="M9297" s="5"/>
      <c r="N9297" s="5"/>
      <c r="O9297" s="5"/>
    </row>
    <row r="9298">
      <c r="A9298" s="6"/>
      <c r="C9298" s="6"/>
      <c r="L9298" s="7"/>
      <c r="M9298" s="5"/>
      <c r="N9298" s="5"/>
      <c r="O9298" s="5"/>
    </row>
    <row r="9299">
      <c r="A9299" s="6"/>
      <c r="C9299" s="6"/>
      <c r="L9299" s="7"/>
      <c r="M9299" s="5"/>
      <c r="N9299" s="5"/>
      <c r="O9299" s="5"/>
    </row>
    <row r="9300">
      <c r="A9300" s="6"/>
      <c r="C9300" s="6"/>
      <c r="L9300" s="7"/>
      <c r="M9300" s="5"/>
      <c r="N9300" s="5"/>
      <c r="O9300" s="5"/>
    </row>
    <row r="9301">
      <c r="A9301" s="6"/>
      <c r="C9301" s="6"/>
      <c r="L9301" s="7"/>
      <c r="M9301" s="5"/>
      <c r="N9301" s="5"/>
      <c r="O9301" s="5"/>
    </row>
    <row r="9302">
      <c r="A9302" s="6"/>
      <c r="C9302" s="6"/>
      <c r="L9302" s="7"/>
      <c r="M9302" s="5"/>
      <c r="N9302" s="5"/>
      <c r="O9302" s="5"/>
    </row>
    <row r="9303">
      <c r="A9303" s="6"/>
      <c r="C9303" s="6"/>
      <c r="L9303" s="7"/>
      <c r="M9303" s="5"/>
      <c r="N9303" s="5"/>
      <c r="O9303" s="5"/>
    </row>
    <row r="9304">
      <c r="A9304" s="6"/>
      <c r="C9304" s="6"/>
      <c r="L9304" s="7"/>
      <c r="M9304" s="5"/>
      <c r="N9304" s="5"/>
      <c r="O9304" s="5"/>
    </row>
    <row r="9305">
      <c r="A9305" s="6"/>
      <c r="C9305" s="6"/>
      <c r="L9305" s="7"/>
      <c r="M9305" s="5"/>
      <c r="N9305" s="5"/>
      <c r="O9305" s="5"/>
    </row>
    <row r="9306">
      <c r="A9306" s="6"/>
      <c r="C9306" s="6"/>
      <c r="L9306" s="7"/>
      <c r="M9306" s="5"/>
      <c r="N9306" s="5"/>
      <c r="O9306" s="5"/>
    </row>
    <row r="9307">
      <c r="A9307" s="6"/>
      <c r="C9307" s="6"/>
      <c r="L9307" s="7"/>
      <c r="M9307" s="5"/>
      <c r="N9307" s="5"/>
      <c r="O9307" s="5"/>
    </row>
    <row r="9308">
      <c r="A9308" s="6"/>
      <c r="C9308" s="6"/>
      <c r="L9308" s="7"/>
      <c r="M9308" s="5"/>
      <c r="N9308" s="5"/>
      <c r="O9308" s="5"/>
    </row>
    <row r="9309">
      <c r="A9309" s="6"/>
      <c r="C9309" s="6"/>
      <c r="L9309" s="7"/>
      <c r="M9309" s="5"/>
      <c r="N9309" s="5"/>
      <c r="O9309" s="5"/>
    </row>
    <row r="9310">
      <c r="A9310" s="6"/>
      <c r="C9310" s="6"/>
      <c r="L9310" s="7"/>
      <c r="M9310" s="5"/>
      <c r="N9310" s="5"/>
      <c r="O9310" s="5"/>
    </row>
    <row r="9311">
      <c r="A9311" s="6"/>
      <c r="C9311" s="6"/>
      <c r="L9311" s="7"/>
      <c r="M9311" s="5"/>
      <c r="N9311" s="5"/>
      <c r="O9311" s="5"/>
    </row>
    <row r="9312">
      <c r="A9312" s="6"/>
      <c r="C9312" s="6"/>
      <c r="L9312" s="7"/>
      <c r="M9312" s="5"/>
      <c r="N9312" s="5"/>
      <c r="O9312" s="5"/>
    </row>
    <row r="9313">
      <c r="A9313" s="6"/>
      <c r="C9313" s="6"/>
      <c r="L9313" s="7"/>
      <c r="M9313" s="5"/>
      <c r="N9313" s="5"/>
      <c r="O9313" s="5"/>
    </row>
    <row r="9314">
      <c r="A9314" s="6"/>
      <c r="C9314" s="6"/>
      <c r="L9314" s="7"/>
      <c r="M9314" s="5"/>
      <c r="N9314" s="5"/>
      <c r="O9314" s="5"/>
    </row>
    <row r="9315">
      <c r="A9315" s="6"/>
      <c r="C9315" s="6"/>
      <c r="L9315" s="7"/>
      <c r="M9315" s="5"/>
      <c r="N9315" s="5"/>
      <c r="O9315" s="5"/>
    </row>
    <row r="9316">
      <c r="A9316" s="6"/>
      <c r="C9316" s="6"/>
      <c r="L9316" s="7"/>
      <c r="M9316" s="5"/>
      <c r="N9316" s="5"/>
      <c r="O9316" s="5"/>
    </row>
    <row r="9317">
      <c r="A9317" s="6"/>
      <c r="C9317" s="6"/>
      <c r="L9317" s="7"/>
      <c r="M9317" s="5"/>
      <c r="N9317" s="5"/>
      <c r="O9317" s="5"/>
    </row>
    <row r="9318">
      <c r="A9318" s="6"/>
      <c r="C9318" s="6"/>
      <c r="L9318" s="7"/>
      <c r="M9318" s="5"/>
      <c r="N9318" s="5"/>
      <c r="O9318" s="5"/>
    </row>
    <row r="9319">
      <c r="A9319" s="6"/>
      <c r="C9319" s="6"/>
      <c r="L9319" s="7"/>
      <c r="M9319" s="5"/>
      <c r="N9319" s="5"/>
      <c r="O9319" s="5"/>
    </row>
    <row r="9320">
      <c r="A9320" s="6"/>
      <c r="C9320" s="6"/>
      <c r="L9320" s="7"/>
      <c r="M9320" s="5"/>
      <c r="N9320" s="5"/>
      <c r="O9320" s="5"/>
    </row>
    <row r="9321">
      <c r="A9321" s="6"/>
      <c r="C9321" s="6"/>
      <c r="L9321" s="7"/>
      <c r="M9321" s="5"/>
      <c r="N9321" s="5"/>
      <c r="O9321" s="5"/>
    </row>
    <row r="9322">
      <c r="A9322" s="6"/>
      <c r="C9322" s="6"/>
      <c r="L9322" s="7"/>
      <c r="M9322" s="5"/>
      <c r="N9322" s="5"/>
      <c r="O9322" s="5"/>
    </row>
    <row r="9323">
      <c r="A9323" s="6"/>
      <c r="C9323" s="6"/>
      <c r="L9323" s="7"/>
      <c r="M9323" s="5"/>
      <c r="N9323" s="5"/>
      <c r="O9323" s="5"/>
    </row>
    <row r="9324">
      <c r="A9324" s="6"/>
      <c r="C9324" s="6"/>
      <c r="L9324" s="7"/>
      <c r="M9324" s="5"/>
      <c r="N9324" s="5"/>
      <c r="O9324" s="5"/>
    </row>
    <row r="9325">
      <c r="A9325" s="6"/>
      <c r="C9325" s="6"/>
      <c r="L9325" s="7"/>
      <c r="M9325" s="5"/>
      <c r="N9325" s="5"/>
      <c r="O9325" s="5"/>
    </row>
    <row r="9326">
      <c r="A9326" s="6"/>
      <c r="C9326" s="6"/>
      <c r="L9326" s="7"/>
      <c r="M9326" s="5"/>
      <c r="N9326" s="5"/>
      <c r="O9326" s="5"/>
    </row>
    <row r="9327">
      <c r="A9327" s="6"/>
      <c r="C9327" s="6"/>
      <c r="L9327" s="7"/>
      <c r="M9327" s="5"/>
      <c r="N9327" s="5"/>
      <c r="O9327" s="5"/>
    </row>
    <row r="9328">
      <c r="A9328" s="6"/>
      <c r="C9328" s="6"/>
      <c r="L9328" s="7"/>
      <c r="M9328" s="5"/>
      <c r="N9328" s="5"/>
      <c r="O9328" s="5"/>
    </row>
    <row r="9329">
      <c r="A9329" s="6"/>
      <c r="C9329" s="6"/>
      <c r="L9329" s="7"/>
      <c r="M9329" s="5"/>
      <c r="N9329" s="5"/>
      <c r="O9329" s="5"/>
    </row>
    <row r="9330">
      <c r="A9330" s="6"/>
      <c r="C9330" s="6"/>
      <c r="L9330" s="7"/>
      <c r="M9330" s="5"/>
      <c r="N9330" s="5"/>
      <c r="O9330" s="5"/>
    </row>
    <row r="9331">
      <c r="A9331" s="6"/>
      <c r="C9331" s="6"/>
      <c r="L9331" s="7"/>
      <c r="M9331" s="5"/>
      <c r="N9331" s="5"/>
      <c r="O9331" s="5"/>
    </row>
    <row r="9332">
      <c r="A9332" s="6"/>
      <c r="C9332" s="6"/>
      <c r="L9332" s="7"/>
      <c r="M9332" s="5"/>
      <c r="N9332" s="5"/>
      <c r="O9332" s="5"/>
    </row>
    <row r="9333">
      <c r="A9333" s="6"/>
      <c r="C9333" s="6"/>
      <c r="L9333" s="7"/>
      <c r="M9333" s="5"/>
      <c r="N9333" s="5"/>
      <c r="O9333" s="5"/>
    </row>
    <row r="9334">
      <c r="A9334" s="6"/>
      <c r="C9334" s="6"/>
      <c r="L9334" s="7"/>
      <c r="M9334" s="5"/>
      <c r="N9334" s="5"/>
      <c r="O9334" s="5"/>
    </row>
    <row r="9335">
      <c r="A9335" s="6"/>
      <c r="C9335" s="6"/>
      <c r="L9335" s="7"/>
      <c r="M9335" s="5"/>
      <c r="N9335" s="5"/>
      <c r="O9335" s="5"/>
    </row>
    <row r="9336">
      <c r="A9336" s="6"/>
      <c r="C9336" s="6"/>
      <c r="L9336" s="7"/>
      <c r="M9336" s="5"/>
      <c r="N9336" s="5"/>
      <c r="O9336" s="5"/>
    </row>
    <row r="9337">
      <c r="A9337" s="6"/>
      <c r="C9337" s="6"/>
      <c r="L9337" s="7"/>
      <c r="M9337" s="5"/>
      <c r="N9337" s="5"/>
      <c r="O9337" s="5"/>
    </row>
    <row r="9338">
      <c r="A9338" s="6"/>
      <c r="C9338" s="6"/>
      <c r="L9338" s="7"/>
      <c r="M9338" s="5"/>
      <c r="N9338" s="5"/>
      <c r="O9338" s="5"/>
    </row>
    <row r="9339">
      <c r="A9339" s="6"/>
      <c r="C9339" s="6"/>
      <c r="L9339" s="7"/>
      <c r="M9339" s="5"/>
      <c r="N9339" s="5"/>
      <c r="O9339" s="5"/>
    </row>
    <row r="9340">
      <c r="A9340" s="6"/>
      <c r="C9340" s="6"/>
      <c r="L9340" s="7"/>
      <c r="M9340" s="5"/>
      <c r="N9340" s="5"/>
      <c r="O9340" s="5"/>
    </row>
    <row r="9341">
      <c r="A9341" s="6"/>
      <c r="C9341" s="6"/>
      <c r="L9341" s="7"/>
      <c r="M9341" s="5"/>
      <c r="N9341" s="5"/>
      <c r="O9341" s="5"/>
    </row>
    <row r="9342">
      <c r="A9342" s="6"/>
      <c r="C9342" s="6"/>
      <c r="L9342" s="7"/>
      <c r="M9342" s="5"/>
      <c r="N9342" s="5"/>
      <c r="O9342" s="5"/>
    </row>
    <row r="9343">
      <c r="A9343" s="6"/>
      <c r="C9343" s="6"/>
      <c r="L9343" s="7"/>
      <c r="M9343" s="5"/>
      <c r="N9343" s="5"/>
      <c r="O9343" s="5"/>
    </row>
    <row r="9344">
      <c r="A9344" s="6"/>
      <c r="C9344" s="6"/>
      <c r="L9344" s="7"/>
      <c r="M9344" s="5"/>
      <c r="N9344" s="5"/>
      <c r="O9344" s="5"/>
    </row>
    <row r="9345">
      <c r="A9345" s="6"/>
      <c r="C9345" s="6"/>
      <c r="L9345" s="7"/>
      <c r="M9345" s="5"/>
      <c r="N9345" s="5"/>
      <c r="O9345" s="5"/>
    </row>
    <row r="9346">
      <c r="A9346" s="6"/>
      <c r="C9346" s="6"/>
      <c r="L9346" s="7"/>
      <c r="M9346" s="5"/>
      <c r="N9346" s="5"/>
      <c r="O9346" s="5"/>
    </row>
    <row r="9347">
      <c r="A9347" s="6"/>
      <c r="C9347" s="6"/>
      <c r="L9347" s="7"/>
      <c r="M9347" s="5"/>
      <c r="N9347" s="5"/>
      <c r="O9347" s="5"/>
    </row>
    <row r="9348">
      <c r="A9348" s="6"/>
      <c r="C9348" s="6"/>
      <c r="L9348" s="7"/>
      <c r="M9348" s="5"/>
      <c r="N9348" s="5"/>
      <c r="O9348" s="5"/>
    </row>
    <row r="9349">
      <c r="A9349" s="6"/>
      <c r="C9349" s="6"/>
      <c r="L9349" s="7"/>
      <c r="M9349" s="5"/>
      <c r="N9349" s="5"/>
      <c r="O9349" s="5"/>
    </row>
    <row r="9350">
      <c r="A9350" s="6"/>
      <c r="C9350" s="6"/>
      <c r="L9350" s="7"/>
      <c r="M9350" s="5"/>
      <c r="N9350" s="5"/>
      <c r="O9350" s="5"/>
    </row>
    <row r="9351">
      <c r="A9351" s="6"/>
      <c r="C9351" s="6"/>
      <c r="L9351" s="7"/>
      <c r="M9351" s="5"/>
      <c r="N9351" s="5"/>
      <c r="O9351" s="5"/>
    </row>
    <row r="9352">
      <c r="A9352" s="6"/>
      <c r="C9352" s="6"/>
      <c r="L9352" s="7"/>
      <c r="M9352" s="5"/>
      <c r="N9352" s="5"/>
      <c r="O9352" s="5"/>
    </row>
    <row r="9353">
      <c r="A9353" s="6"/>
      <c r="C9353" s="6"/>
      <c r="L9353" s="7"/>
      <c r="M9353" s="5"/>
      <c r="N9353" s="5"/>
      <c r="O9353" s="5"/>
    </row>
    <row r="9354">
      <c r="A9354" s="6"/>
      <c r="C9354" s="6"/>
      <c r="L9354" s="7"/>
      <c r="M9354" s="5"/>
      <c r="N9354" s="5"/>
      <c r="O9354" s="5"/>
    </row>
    <row r="9355">
      <c r="A9355" s="6"/>
      <c r="C9355" s="6"/>
      <c r="L9355" s="7"/>
      <c r="M9355" s="5"/>
      <c r="N9355" s="5"/>
      <c r="O9355" s="5"/>
    </row>
    <row r="9356">
      <c r="A9356" s="6"/>
      <c r="C9356" s="6"/>
      <c r="L9356" s="7"/>
      <c r="M9356" s="5"/>
      <c r="N9356" s="5"/>
      <c r="O9356" s="5"/>
    </row>
    <row r="9357">
      <c r="A9357" s="6"/>
      <c r="C9357" s="6"/>
      <c r="L9357" s="7"/>
      <c r="M9357" s="5"/>
      <c r="N9357" s="5"/>
      <c r="O9357" s="5"/>
    </row>
    <row r="9358">
      <c r="A9358" s="6"/>
      <c r="C9358" s="6"/>
      <c r="L9358" s="7"/>
      <c r="M9358" s="5"/>
      <c r="N9358" s="5"/>
      <c r="O9358" s="5"/>
    </row>
    <row r="9359">
      <c r="A9359" s="6"/>
      <c r="C9359" s="6"/>
      <c r="L9359" s="7"/>
      <c r="M9359" s="5"/>
      <c r="N9359" s="5"/>
      <c r="O9359" s="5"/>
    </row>
    <row r="9360">
      <c r="A9360" s="6"/>
      <c r="C9360" s="6"/>
      <c r="L9360" s="7"/>
      <c r="M9360" s="5"/>
      <c r="N9360" s="5"/>
      <c r="O9360" s="5"/>
    </row>
    <row r="9361">
      <c r="A9361" s="6"/>
      <c r="C9361" s="6"/>
      <c r="L9361" s="7"/>
      <c r="M9361" s="5"/>
      <c r="N9361" s="5"/>
      <c r="O9361" s="5"/>
    </row>
    <row r="9362">
      <c r="A9362" s="6"/>
      <c r="C9362" s="6"/>
      <c r="L9362" s="7"/>
      <c r="M9362" s="5"/>
      <c r="N9362" s="5"/>
      <c r="O9362" s="5"/>
    </row>
    <row r="9363">
      <c r="A9363" s="6"/>
      <c r="C9363" s="6"/>
      <c r="L9363" s="7"/>
      <c r="M9363" s="5"/>
      <c r="N9363" s="5"/>
      <c r="O9363" s="5"/>
    </row>
    <row r="9364">
      <c r="A9364" s="6"/>
      <c r="C9364" s="6"/>
      <c r="L9364" s="7"/>
      <c r="M9364" s="5"/>
      <c r="N9364" s="5"/>
      <c r="O9364" s="5"/>
    </row>
    <row r="9365">
      <c r="A9365" s="6"/>
      <c r="C9365" s="6"/>
      <c r="L9365" s="7"/>
      <c r="M9365" s="5"/>
      <c r="N9365" s="5"/>
      <c r="O9365" s="5"/>
    </row>
    <row r="9366">
      <c r="A9366" s="6"/>
      <c r="C9366" s="6"/>
      <c r="L9366" s="7"/>
      <c r="M9366" s="5"/>
      <c r="N9366" s="5"/>
      <c r="O9366" s="5"/>
    </row>
    <row r="9367">
      <c r="A9367" s="6"/>
      <c r="C9367" s="6"/>
      <c r="L9367" s="7"/>
      <c r="M9367" s="5"/>
      <c r="N9367" s="5"/>
      <c r="O9367" s="5"/>
    </row>
    <row r="9368">
      <c r="A9368" s="6"/>
      <c r="C9368" s="6"/>
      <c r="L9368" s="7"/>
      <c r="M9368" s="5"/>
      <c r="N9368" s="5"/>
      <c r="O9368" s="5"/>
    </row>
    <row r="9369">
      <c r="A9369" s="6"/>
      <c r="C9369" s="6"/>
      <c r="L9369" s="7"/>
      <c r="M9369" s="5"/>
      <c r="N9369" s="5"/>
      <c r="O9369" s="5"/>
    </row>
    <row r="9370">
      <c r="A9370" s="6"/>
      <c r="C9370" s="6"/>
      <c r="L9370" s="7"/>
      <c r="M9370" s="5"/>
      <c r="N9370" s="5"/>
      <c r="O9370" s="5"/>
    </row>
    <row r="9371">
      <c r="A9371" s="6"/>
      <c r="C9371" s="6"/>
      <c r="L9371" s="7"/>
      <c r="M9371" s="5"/>
      <c r="N9371" s="5"/>
      <c r="O9371" s="5"/>
    </row>
    <row r="9372">
      <c r="A9372" s="6"/>
      <c r="C9372" s="6"/>
      <c r="L9372" s="7"/>
      <c r="M9372" s="5"/>
      <c r="N9372" s="5"/>
      <c r="O9372" s="5"/>
    </row>
    <row r="9373">
      <c r="A9373" s="6"/>
      <c r="C9373" s="6"/>
      <c r="L9373" s="7"/>
      <c r="M9373" s="5"/>
      <c r="N9373" s="5"/>
      <c r="O9373" s="5"/>
    </row>
    <row r="9374">
      <c r="A9374" s="6"/>
      <c r="C9374" s="6"/>
      <c r="L9374" s="7"/>
      <c r="M9374" s="5"/>
      <c r="N9374" s="5"/>
      <c r="O9374" s="5"/>
    </row>
    <row r="9375">
      <c r="A9375" s="6"/>
      <c r="C9375" s="6"/>
      <c r="L9375" s="7"/>
      <c r="M9375" s="5"/>
      <c r="N9375" s="5"/>
      <c r="O9375" s="5"/>
    </row>
    <row r="9376">
      <c r="A9376" s="6"/>
      <c r="C9376" s="6"/>
      <c r="L9376" s="7"/>
      <c r="M9376" s="5"/>
      <c r="N9376" s="5"/>
      <c r="O9376" s="5"/>
    </row>
    <row r="9377">
      <c r="A9377" s="6"/>
      <c r="C9377" s="6"/>
      <c r="L9377" s="7"/>
      <c r="M9377" s="5"/>
      <c r="N9377" s="5"/>
      <c r="O9377" s="5"/>
    </row>
    <row r="9378">
      <c r="A9378" s="6"/>
      <c r="C9378" s="6"/>
      <c r="L9378" s="7"/>
      <c r="M9378" s="5"/>
      <c r="N9378" s="5"/>
      <c r="O9378" s="5"/>
    </row>
    <row r="9379">
      <c r="A9379" s="6"/>
      <c r="C9379" s="6"/>
      <c r="L9379" s="7"/>
      <c r="M9379" s="5"/>
      <c r="N9379" s="5"/>
      <c r="O9379" s="5"/>
    </row>
    <row r="9380">
      <c r="A9380" s="6"/>
      <c r="C9380" s="6"/>
      <c r="L9380" s="7"/>
      <c r="M9380" s="5"/>
      <c r="N9380" s="5"/>
      <c r="O9380" s="5"/>
    </row>
    <row r="9381">
      <c r="A9381" s="6"/>
      <c r="C9381" s="6"/>
      <c r="L9381" s="7"/>
      <c r="M9381" s="5"/>
      <c r="N9381" s="5"/>
      <c r="O9381" s="5"/>
    </row>
    <row r="9382">
      <c r="A9382" s="6"/>
      <c r="C9382" s="6"/>
      <c r="L9382" s="7"/>
      <c r="M9382" s="5"/>
      <c r="N9382" s="5"/>
      <c r="O9382" s="5"/>
    </row>
    <row r="9383">
      <c r="A9383" s="6"/>
      <c r="C9383" s="6"/>
      <c r="L9383" s="7"/>
      <c r="M9383" s="5"/>
      <c r="N9383" s="5"/>
      <c r="O9383" s="5"/>
    </row>
    <row r="9384">
      <c r="A9384" s="6"/>
      <c r="C9384" s="6"/>
      <c r="L9384" s="7"/>
      <c r="M9384" s="5"/>
      <c r="N9384" s="5"/>
      <c r="O9384" s="5"/>
    </row>
    <row r="9385">
      <c r="A9385" s="6"/>
      <c r="C9385" s="6"/>
      <c r="L9385" s="7"/>
      <c r="M9385" s="5"/>
      <c r="N9385" s="5"/>
      <c r="O9385" s="5"/>
    </row>
    <row r="9386">
      <c r="A9386" s="6"/>
      <c r="C9386" s="6"/>
      <c r="L9386" s="7"/>
      <c r="M9386" s="5"/>
      <c r="N9386" s="5"/>
      <c r="O9386" s="5"/>
    </row>
    <row r="9387">
      <c r="A9387" s="6"/>
      <c r="C9387" s="6"/>
      <c r="L9387" s="7"/>
      <c r="M9387" s="5"/>
      <c r="N9387" s="5"/>
      <c r="O9387" s="5"/>
    </row>
    <row r="9388">
      <c r="A9388" s="6"/>
      <c r="C9388" s="6"/>
      <c r="L9388" s="7"/>
      <c r="M9388" s="5"/>
      <c r="N9388" s="5"/>
      <c r="O9388" s="5"/>
    </row>
    <row r="9389">
      <c r="A9389" s="6"/>
      <c r="C9389" s="6"/>
      <c r="L9389" s="7"/>
      <c r="M9389" s="5"/>
      <c r="N9389" s="5"/>
      <c r="O9389" s="5"/>
    </row>
    <row r="9390">
      <c r="A9390" s="6"/>
      <c r="C9390" s="6"/>
      <c r="L9390" s="7"/>
      <c r="M9390" s="5"/>
      <c r="N9390" s="5"/>
      <c r="O9390" s="5"/>
    </row>
    <row r="9391">
      <c r="A9391" s="6"/>
      <c r="C9391" s="6"/>
      <c r="L9391" s="7"/>
      <c r="M9391" s="5"/>
      <c r="N9391" s="5"/>
      <c r="O9391" s="5"/>
    </row>
    <row r="9392">
      <c r="A9392" s="6"/>
      <c r="C9392" s="6"/>
      <c r="L9392" s="7"/>
      <c r="M9392" s="5"/>
      <c r="N9392" s="5"/>
      <c r="O9392" s="5"/>
    </row>
    <row r="9393">
      <c r="A9393" s="6"/>
      <c r="C9393" s="6"/>
      <c r="L9393" s="7"/>
      <c r="M9393" s="5"/>
      <c r="N9393" s="5"/>
      <c r="O9393" s="5"/>
    </row>
    <row r="9394">
      <c r="A9394" s="6"/>
      <c r="C9394" s="6"/>
      <c r="L9394" s="7"/>
      <c r="M9394" s="5"/>
      <c r="N9394" s="5"/>
      <c r="O9394" s="5"/>
    </row>
    <row r="9395">
      <c r="A9395" s="6"/>
      <c r="C9395" s="6"/>
      <c r="L9395" s="7"/>
      <c r="M9395" s="5"/>
      <c r="N9395" s="5"/>
      <c r="O9395" s="5"/>
    </row>
    <row r="9396">
      <c r="A9396" s="6"/>
      <c r="C9396" s="6"/>
      <c r="L9396" s="7"/>
      <c r="M9396" s="5"/>
      <c r="N9396" s="5"/>
      <c r="O9396" s="5"/>
    </row>
    <row r="9397">
      <c r="A9397" s="6"/>
      <c r="C9397" s="6"/>
      <c r="L9397" s="7"/>
      <c r="M9397" s="5"/>
      <c r="N9397" s="5"/>
      <c r="O9397" s="5"/>
    </row>
    <row r="9398">
      <c r="A9398" s="6"/>
      <c r="C9398" s="6"/>
      <c r="L9398" s="7"/>
      <c r="M9398" s="5"/>
      <c r="N9398" s="5"/>
      <c r="O9398" s="5"/>
    </row>
    <row r="9399">
      <c r="A9399" s="6"/>
      <c r="C9399" s="6"/>
      <c r="L9399" s="7"/>
      <c r="M9399" s="5"/>
      <c r="N9399" s="5"/>
      <c r="O9399" s="5"/>
    </row>
    <row r="9400">
      <c r="A9400" s="6"/>
      <c r="C9400" s="6"/>
      <c r="L9400" s="7"/>
      <c r="M9400" s="5"/>
      <c r="N9400" s="5"/>
      <c r="O9400" s="5"/>
    </row>
    <row r="9401">
      <c r="A9401" s="6"/>
      <c r="C9401" s="6"/>
      <c r="L9401" s="7"/>
      <c r="M9401" s="5"/>
      <c r="N9401" s="5"/>
      <c r="O9401" s="5"/>
    </row>
    <row r="9402">
      <c r="A9402" s="6"/>
      <c r="C9402" s="6"/>
      <c r="L9402" s="7"/>
      <c r="M9402" s="5"/>
      <c r="N9402" s="5"/>
      <c r="O9402" s="5"/>
    </row>
    <row r="9403">
      <c r="A9403" s="6"/>
      <c r="C9403" s="6"/>
      <c r="L9403" s="7"/>
      <c r="M9403" s="5"/>
      <c r="N9403" s="5"/>
      <c r="O9403" s="5"/>
    </row>
    <row r="9404">
      <c r="A9404" s="6"/>
      <c r="C9404" s="6"/>
      <c r="L9404" s="7"/>
      <c r="M9404" s="5"/>
      <c r="N9404" s="5"/>
      <c r="O9404" s="5"/>
    </row>
    <row r="9405">
      <c r="A9405" s="6"/>
      <c r="C9405" s="6"/>
      <c r="L9405" s="7"/>
      <c r="M9405" s="5"/>
      <c r="N9405" s="5"/>
      <c r="O9405" s="5"/>
    </row>
    <row r="9406">
      <c r="A9406" s="6"/>
      <c r="C9406" s="6"/>
      <c r="L9406" s="7"/>
      <c r="M9406" s="5"/>
      <c r="N9406" s="5"/>
      <c r="O9406" s="5"/>
    </row>
    <row r="9407">
      <c r="A9407" s="6"/>
      <c r="C9407" s="6"/>
      <c r="L9407" s="7"/>
      <c r="M9407" s="5"/>
      <c r="N9407" s="5"/>
      <c r="O9407" s="5"/>
    </row>
    <row r="9408">
      <c r="A9408" s="6"/>
      <c r="C9408" s="6"/>
      <c r="L9408" s="7"/>
      <c r="M9408" s="5"/>
      <c r="N9408" s="5"/>
      <c r="O9408" s="5"/>
    </row>
    <row r="9409">
      <c r="A9409" s="6"/>
      <c r="C9409" s="6"/>
      <c r="L9409" s="7"/>
      <c r="M9409" s="5"/>
      <c r="N9409" s="5"/>
      <c r="O9409" s="5"/>
    </row>
    <row r="9410">
      <c r="A9410" s="6"/>
      <c r="C9410" s="6"/>
      <c r="L9410" s="7"/>
      <c r="M9410" s="5"/>
      <c r="N9410" s="5"/>
      <c r="O9410" s="5"/>
    </row>
    <row r="9411">
      <c r="A9411" s="6"/>
      <c r="C9411" s="6"/>
      <c r="L9411" s="7"/>
      <c r="M9411" s="5"/>
      <c r="N9411" s="5"/>
      <c r="O9411" s="5"/>
    </row>
    <row r="9412">
      <c r="A9412" s="6"/>
      <c r="C9412" s="6"/>
      <c r="L9412" s="7"/>
      <c r="M9412" s="5"/>
      <c r="N9412" s="5"/>
      <c r="O9412" s="5"/>
    </row>
    <row r="9413">
      <c r="A9413" s="6"/>
      <c r="C9413" s="6"/>
      <c r="L9413" s="7"/>
      <c r="M9413" s="5"/>
      <c r="N9413" s="5"/>
      <c r="O9413" s="5"/>
    </row>
    <row r="9414">
      <c r="A9414" s="6"/>
      <c r="C9414" s="6"/>
      <c r="L9414" s="7"/>
      <c r="M9414" s="5"/>
      <c r="N9414" s="5"/>
      <c r="O9414" s="5"/>
    </row>
    <row r="9415">
      <c r="A9415" s="6"/>
      <c r="C9415" s="6"/>
      <c r="L9415" s="7"/>
      <c r="M9415" s="5"/>
      <c r="N9415" s="5"/>
      <c r="O9415" s="5"/>
    </row>
    <row r="9416">
      <c r="A9416" s="6"/>
      <c r="C9416" s="6"/>
      <c r="L9416" s="7"/>
      <c r="M9416" s="5"/>
      <c r="N9416" s="5"/>
      <c r="O9416" s="5"/>
    </row>
    <row r="9417">
      <c r="A9417" s="6"/>
      <c r="C9417" s="6"/>
      <c r="L9417" s="7"/>
      <c r="M9417" s="5"/>
      <c r="N9417" s="5"/>
      <c r="O9417" s="5"/>
    </row>
    <row r="9418">
      <c r="A9418" s="6"/>
      <c r="C9418" s="6"/>
      <c r="L9418" s="7"/>
      <c r="M9418" s="5"/>
      <c r="N9418" s="5"/>
      <c r="O9418" s="5"/>
    </row>
    <row r="9419">
      <c r="A9419" s="6"/>
      <c r="C9419" s="6"/>
      <c r="L9419" s="7"/>
      <c r="M9419" s="5"/>
      <c r="N9419" s="5"/>
      <c r="O9419" s="5"/>
    </row>
    <row r="9420">
      <c r="A9420" s="6"/>
      <c r="C9420" s="6"/>
      <c r="L9420" s="7"/>
      <c r="M9420" s="5"/>
      <c r="N9420" s="5"/>
      <c r="O9420" s="5"/>
    </row>
    <row r="9421">
      <c r="A9421" s="6"/>
      <c r="C9421" s="6"/>
      <c r="L9421" s="7"/>
      <c r="M9421" s="5"/>
      <c r="N9421" s="5"/>
      <c r="O9421" s="5"/>
    </row>
    <row r="9422">
      <c r="A9422" s="6"/>
      <c r="C9422" s="6"/>
      <c r="L9422" s="7"/>
      <c r="M9422" s="5"/>
      <c r="N9422" s="5"/>
      <c r="O9422" s="5"/>
    </row>
    <row r="9423">
      <c r="A9423" s="6"/>
      <c r="C9423" s="6"/>
      <c r="L9423" s="7"/>
      <c r="M9423" s="5"/>
      <c r="N9423" s="5"/>
      <c r="O9423" s="5"/>
    </row>
    <row r="9424">
      <c r="A9424" s="6"/>
      <c r="C9424" s="6"/>
      <c r="L9424" s="7"/>
      <c r="M9424" s="5"/>
      <c r="N9424" s="5"/>
      <c r="O9424" s="5"/>
    </row>
    <row r="9425">
      <c r="A9425" s="6"/>
      <c r="C9425" s="6"/>
      <c r="L9425" s="7"/>
      <c r="M9425" s="5"/>
      <c r="N9425" s="5"/>
      <c r="O9425" s="5"/>
    </row>
    <row r="9426">
      <c r="A9426" s="6"/>
      <c r="C9426" s="6"/>
      <c r="L9426" s="7"/>
      <c r="M9426" s="5"/>
      <c r="N9426" s="5"/>
      <c r="O9426" s="5"/>
    </row>
    <row r="9427">
      <c r="A9427" s="6"/>
      <c r="C9427" s="6"/>
      <c r="L9427" s="7"/>
      <c r="M9427" s="5"/>
      <c r="N9427" s="5"/>
      <c r="O9427" s="5"/>
    </row>
    <row r="9428">
      <c r="A9428" s="6"/>
      <c r="C9428" s="6"/>
      <c r="L9428" s="7"/>
      <c r="M9428" s="5"/>
      <c r="N9428" s="5"/>
      <c r="O9428" s="5"/>
    </row>
    <row r="9429">
      <c r="A9429" s="6"/>
      <c r="C9429" s="6"/>
      <c r="L9429" s="7"/>
      <c r="M9429" s="5"/>
      <c r="N9429" s="5"/>
      <c r="O9429" s="5"/>
    </row>
    <row r="9430">
      <c r="A9430" s="6"/>
      <c r="C9430" s="6"/>
      <c r="L9430" s="7"/>
      <c r="M9430" s="5"/>
      <c r="N9430" s="5"/>
      <c r="O9430" s="5"/>
    </row>
    <row r="9431">
      <c r="A9431" s="6"/>
      <c r="C9431" s="6"/>
      <c r="L9431" s="7"/>
      <c r="M9431" s="5"/>
      <c r="N9431" s="5"/>
      <c r="O9431" s="5"/>
    </row>
    <row r="9432">
      <c r="A9432" s="6"/>
      <c r="C9432" s="6"/>
      <c r="L9432" s="7"/>
      <c r="M9432" s="5"/>
      <c r="N9432" s="5"/>
      <c r="O9432" s="5"/>
    </row>
    <row r="9433">
      <c r="A9433" s="6"/>
      <c r="C9433" s="6"/>
      <c r="L9433" s="7"/>
      <c r="M9433" s="5"/>
      <c r="N9433" s="5"/>
      <c r="O9433" s="5"/>
    </row>
    <row r="9434">
      <c r="A9434" s="6"/>
      <c r="C9434" s="6"/>
      <c r="L9434" s="7"/>
      <c r="M9434" s="5"/>
      <c r="N9434" s="5"/>
      <c r="O9434" s="5"/>
    </row>
    <row r="9435">
      <c r="A9435" s="6"/>
      <c r="C9435" s="6"/>
      <c r="L9435" s="7"/>
      <c r="M9435" s="5"/>
      <c r="N9435" s="5"/>
      <c r="O9435" s="5"/>
    </row>
    <row r="9436">
      <c r="A9436" s="6"/>
      <c r="C9436" s="6"/>
      <c r="L9436" s="7"/>
      <c r="M9436" s="5"/>
      <c r="N9436" s="5"/>
      <c r="O9436" s="5"/>
    </row>
    <row r="9437">
      <c r="A9437" s="6"/>
      <c r="C9437" s="6"/>
      <c r="L9437" s="7"/>
      <c r="M9437" s="5"/>
      <c r="N9437" s="5"/>
      <c r="O9437" s="5"/>
    </row>
    <row r="9438">
      <c r="A9438" s="6"/>
      <c r="C9438" s="6"/>
      <c r="L9438" s="7"/>
      <c r="M9438" s="5"/>
      <c r="N9438" s="5"/>
      <c r="O9438" s="5"/>
    </row>
    <row r="9439">
      <c r="A9439" s="6"/>
      <c r="C9439" s="6"/>
      <c r="L9439" s="7"/>
      <c r="M9439" s="5"/>
      <c r="N9439" s="5"/>
      <c r="O9439" s="5"/>
    </row>
    <row r="9440">
      <c r="A9440" s="6"/>
      <c r="C9440" s="6"/>
      <c r="L9440" s="7"/>
      <c r="M9440" s="5"/>
      <c r="N9440" s="5"/>
      <c r="O9440" s="5"/>
    </row>
    <row r="9441">
      <c r="A9441" s="6"/>
      <c r="C9441" s="6"/>
      <c r="L9441" s="7"/>
      <c r="M9441" s="5"/>
      <c r="N9441" s="5"/>
      <c r="O9441" s="5"/>
    </row>
    <row r="9442">
      <c r="A9442" s="6"/>
      <c r="C9442" s="6"/>
      <c r="L9442" s="7"/>
      <c r="M9442" s="5"/>
      <c r="N9442" s="5"/>
      <c r="O9442" s="5"/>
    </row>
    <row r="9443">
      <c r="A9443" s="6"/>
      <c r="C9443" s="6"/>
      <c r="L9443" s="7"/>
      <c r="M9443" s="5"/>
      <c r="N9443" s="5"/>
      <c r="O9443" s="5"/>
    </row>
    <row r="9444">
      <c r="A9444" s="6"/>
      <c r="C9444" s="6"/>
      <c r="L9444" s="7"/>
      <c r="M9444" s="5"/>
      <c r="N9444" s="5"/>
      <c r="O9444" s="5"/>
    </row>
    <row r="9445">
      <c r="A9445" s="6"/>
      <c r="C9445" s="6"/>
      <c r="L9445" s="7"/>
      <c r="M9445" s="5"/>
      <c r="N9445" s="5"/>
      <c r="O9445" s="5"/>
    </row>
    <row r="9446">
      <c r="A9446" s="6"/>
      <c r="C9446" s="6"/>
      <c r="L9446" s="7"/>
      <c r="M9446" s="5"/>
      <c r="N9446" s="5"/>
      <c r="O9446" s="5"/>
    </row>
    <row r="9447">
      <c r="A9447" s="6"/>
      <c r="C9447" s="6"/>
      <c r="L9447" s="7"/>
      <c r="M9447" s="5"/>
      <c r="N9447" s="5"/>
      <c r="O9447" s="5"/>
    </row>
    <row r="9448">
      <c r="A9448" s="6"/>
      <c r="C9448" s="6"/>
      <c r="L9448" s="7"/>
      <c r="M9448" s="5"/>
      <c r="N9448" s="5"/>
      <c r="O9448" s="5"/>
    </row>
    <row r="9449">
      <c r="A9449" s="6"/>
      <c r="C9449" s="6"/>
      <c r="L9449" s="7"/>
      <c r="M9449" s="5"/>
      <c r="N9449" s="5"/>
      <c r="O9449" s="5"/>
    </row>
    <row r="9450">
      <c r="A9450" s="6"/>
      <c r="C9450" s="6"/>
      <c r="L9450" s="7"/>
      <c r="M9450" s="5"/>
      <c r="N9450" s="5"/>
      <c r="O9450" s="5"/>
    </row>
    <row r="9451">
      <c r="A9451" s="6"/>
      <c r="C9451" s="6"/>
      <c r="L9451" s="7"/>
      <c r="M9451" s="5"/>
      <c r="N9451" s="5"/>
      <c r="O9451" s="5"/>
    </row>
    <row r="9452">
      <c r="A9452" s="6"/>
      <c r="C9452" s="6"/>
      <c r="L9452" s="7"/>
      <c r="M9452" s="5"/>
      <c r="N9452" s="5"/>
      <c r="O9452" s="5"/>
    </row>
    <row r="9453">
      <c r="A9453" s="6"/>
      <c r="C9453" s="6"/>
      <c r="L9453" s="7"/>
      <c r="M9453" s="5"/>
      <c r="N9453" s="5"/>
      <c r="O9453" s="5"/>
    </row>
    <row r="9454">
      <c r="A9454" s="6"/>
      <c r="C9454" s="6"/>
      <c r="L9454" s="7"/>
      <c r="M9454" s="5"/>
      <c r="N9454" s="5"/>
      <c r="O9454" s="5"/>
    </row>
    <row r="9455">
      <c r="A9455" s="6"/>
      <c r="C9455" s="6"/>
      <c r="L9455" s="7"/>
      <c r="M9455" s="5"/>
      <c r="N9455" s="5"/>
      <c r="O9455" s="5"/>
    </row>
    <row r="9456">
      <c r="A9456" s="6"/>
      <c r="C9456" s="6"/>
      <c r="L9456" s="7"/>
      <c r="M9456" s="5"/>
      <c r="N9456" s="5"/>
      <c r="O9456" s="5"/>
    </row>
    <row r="9457">
      <c r="A9457" s="6"/>
      <c r="C9457" s="6"/>
      <c r="L9457" s="7"/>
      <c r="M9457" s="5"/>
      <c r="N9457" s="5"/>
      <c r="O9457" s="5"/>
    </row>
    <row r="9458">
      <c r="A9458" s="6"/>
      <c r="C9458" s="6"/>
      <c r="L9458" s="7"/>
      <c r="M9458" s="5"/>
      <c r="N9458" s="5"/>
      <c r="O9458" s="5"/>
    </row>
    <row r="9459">
      <c r="A9459" s="6"/>
      <c r="C9459" s="6"/>
      <c r="L9459" s="7"/>
      <c r="M9459" s="5"/>
      <c r="N9459" s="5"/>
      <c r="O9459" s="5"/>
    </row>
    <row r="9460">
      <c r="A9460" s="6"/>
      <c r="C9460" s="6"/>
      <c r="L9460" s="7"/>
      <c r="M9460" s="5"/>
      <c r="N9460" s="5"/>
      <c r="O9460" s="5"/>
    </row>
    <row r="9461">
      <c r="A9461" s="6"/>
      <c r="C9461" s="6"/>
      <c r="L9461" s="7"/>
      <c r="M9461" s="5"/>
      <c r="N9461" s="5"/>
      <c r="O9461" s="5"/>
    </row>
    <row r="9462">
      <c r="A9462" s="6"/>
      <c r="C9462" s="6"/>
      <c r="L9462" s="7"/>
      <c r="M9462" s="5"/>
      <c r="N9462" s="5"/>
      <c r="O9462" s="5"/>
    </row>
    <row r="9463">
      <c r="A9463" s="6"/>
      <c r="C9463" s="6"/>
      <c r="L9463" s="7"/>
      <c r="M9463" s="5"/>
      <c r="N9463" s="5"/>
      <c r="O9463" s="5"/>
    </row>
    <row r="9464">
      <c r="A9464" s="6"/>
      <c r="C9464" s="6"/>
      <c r="L9464" s="7"/>
      <c r="M9464" s="5"/>
      <c r="N9464" s="5"/>
      <c r="O9464" s="5"/>
    </row>
    <row r="9465">
      <c r="A9465" s="6"/>
      <c r="C9465" s="6"/>
      <c r="L9465" s="7"/>
      <c r="M9465" s="5"/>
      <c r="N9465" s="5"/>
      <c r="O9465" s="5"/>
    </row>
    <row r="9466">
      <c r="A9466" s="6"/>
      <c r="C9466" s="6"/>
      <c r="L9466" s="7"/>
      <c r="M9466" s="5"/>
      <c r="N9466" s="5"/>
      <c r="O9466" s="5"/>
    </row>
    <row r="9467">
      <c r="A9467" s="6"/>
      <c r="C9467" s="6"/>
      <c r="L9467" s="7"/>
      <c r="M9467" s="5"/>
      <c r="N9467" s="5"/>
      <c r="O9467" s="5"/>
    </row>
    <row r="9468">
      <c r="A9468" s="6"/>
      <c r="C9468" s="6"/>
      <c r="L9468" s="7"/>
      <c r="M9468" s="5"/>
      <c r="N9468" s="5"/>
      <c r="O9468" s="5"/>
    </row>
    <row r="9469">
      <c r="A9469" s="6"/>
      <c r="C9469" s="6"/>
      <c r="L9469" s="7"/>
      <c r="M9469" s="5"/>
      <c r="N9469" s="5"/>
      <c r="O9469" s="5"/>
    </row>
    <row r="9470">
      <c r="A9470" s="6"/>
      <c r="C9470" s="6"/>
      <c r="L9470" s="7"/>
      <c r="M9470" s="5"/>
      <c r="N9470" s="5"/>
      <c r="O9470" s="5"/>
    </row>
    <row r="9471">
      <c r="A9471" s="6"/>
      <c r="C9471" s="6"/>
      <c r="L9471" s="7"/>
      <c r="M9471" s="5"/>
      <c r="N9471" s="5"/>
      <c r="O9471" s="5"/>
    </row>
    <row r="9472">
      <c r="A9472" s="6"/>
      <c r="C9472" s="6"/>
      <c r="L9472" s="7"/>
      <c r="M9472" s="5"/>
      <c r="N9472" s="5"/>
      <c r="O9472" s="5"/>
    </row>
    <row r="9473">
      <c r="A9473" s="6"/>
      <c r="C9473" s="6"/>
      <c r="L9473" s="7"/>
      <c r="M9473" s="5"/>
      <c r="N9473" s="5"/>
      <c r="O9473" s="5"/>
    </row>
    <row r="9474">
      <c r="A9474" s="6"/>
      <c r="C9474" s="6"/>
      <c r="L9474" s="7"/>
      <c r="M9474" s="5"/>
      <c r="N9474" s="5"/>
      <c r="O9474" s="5"/>
    </row>
    <row r="9475">
      <c r="A9475" s="6"/>
      <c r="C9475" s="6"/>
      <c r="L9475" s="7"/>
      <c r="M9475" s="5"/>
      <c r="N9475" s="5"/>
      <c r="O9475" s="5"/>
    </row>
    <row r="9476">
      <c r="A9476" s="6"/>
      <c r="C9476" s="6"/>
      <c r="L9476" s="7"/>
      <c r="M9476" s="5"/>
      <c r="N9476" s="5"/>
      <c r="O9476" s="5"/>
    </row>
    <row r="9477">
      <c r="A9477" s="6"/>
      <c r="C9477" s="6"/>
      <c r="L9477" s="7"/>
      <c r="M9477" s="5"/>
      <c r="N9477" s="5"/>
      <c r="O9477" s="5"/>
    </row>
    <row r="9478">
      <c r="A9478" s="6"/>
      <c r="C9478" s="6"/>
      <c r="L9478" s="7"/>
      <c r="M9478" s="5"/>
      <c r="N9478" s="5"/>
      <c r="O9478" s="5"/>
    </row>
    <row r="9479">
      <c r="A9479" s="6"/>
      <c r="C9479" s="6"/>
      <c r="L9479" s="7"/>
      <c r="M9479" s="5"/>
      <c r="N9479" s="5"/>
      <c r="O9479" s="5"/>
    </row>
    <row r="9480">
      <c r="A9480" s="6"/>
      <c r="C9480" s="6"/>
      <c r="L9480" s="7"/>
      <c r="M9480" s="5"/>
      <c r="N9480" s="5"/>
      <c r="O9480" s="5"/>
    </row>
    <row r="9481">
      <c r="A9481" s="6"/>
      <c r="C9481" s="6"/>
      <c r="L9481" s="7"/>
      <c r="M9481" s="5"/>
      <c r="N9481" s="5"/>
      <c r="O9481" s="5"/>
    </row>
    <row r="9482">
      <c r="A9482" s="6"/>
      <c r="C9482" s="6"/>
      <c r="L9482" s="7"/>
      <c r="M9482" s="5"/>
      <c r="N9482" s="5"/>
      <c r="O9482" s="5"/>
    </row>
    <row r="9483">
      <c r="A9483" s="6"/>
      <c r="C9483" s="6"/>
      <c r="L9483" s="7"/>
      <c r="M9483" s="5"/>
      <c r="N9483" s="5"/>
      <c r="O9483" s="5"/>
    </row>
    <row r="9484">
      <c r="A9484" s="6"/>
      <c r="C9484" s="6"/>
      <c r="L9484" s="7"/>
      <c r="M9484" s="5"/>
      <c r="N9484" s="5"/>
      <c r="O9484" s="5"/>
    </row>
    <row r="9485">
      <c r="A9485" s="6"/>
      <c r="C9485" s="6"/>
      <c r="L9485" s="7"/>
      <c r="M9485" s="5"/>
      <c r="N9485" s="5"/>
      <c r="O9485" s="5"/>
    </row>
    <row r="9486">
      <c r="A9486" s="6"/>
      <c r="C9486" s="6"/>
      <c r="L9486" s="7"/>
      <c r="M9486" s="5"/>
      <c r="N9486" s="5"/>
      <c r="O9486" s="5"/>
    </row>
    <row r="9487">
      <c r="A9487" s="6"/>
      <c r="C9487" s="6"/>
      <c r="L9487" s="7"/>
      <c r="M9487" s="5"/>
      <c r="N9487" s="5"/>
      <c r="O9487" s="5"/>
    </row>
    <row r="9488">
      <c r="A9488" s="6"/>
      <c r="C9488" s="6"/>
      <c r="L9488" s="7"/>
      <c r="M9488" s="5"/>
      <c r="N9488" s="5"/>
      <c r="O9488" s="5"/>
    </row>
    <row r="9489">
      <c r="A9489" s="6"/>
      <c r="C9489" s="6"/>
      <c r="L9489" s="7"/>
      <c r="M9489" s="5"/>
      <c r="N9489" s="5"/>
      <c r="O9489" s="5"/>
    </row>
    <row r="9490">
      <c r="A9490" s="6"/>
      <c r="C9490" s="6"/>
      <c r="L9490" s="7"/>
      <c r="M9490" s="5"/>
      <c r="N9490" s="5"/>
      <c r="O9490" s="5"/>
    </row>
    <row r="9491">
      <c r="A9491" s="6"/>
      <c r="C9491" s="6"/>
      <c r="L9491" s="7"/>
      <c r="M9491" s="5"/>
      <c r="N9491" s="5"/>
      <c r="O9491" s="5"/>
    </row>
    <row r="9492">
      <c r="A9492" s="6"/>
      <c r="C9492" s="6"/>
      <c r="L9492" s="7"/>
      <c r="M9492" s="5"/>
      <c r="N9492" s="5"/>
      <c r="O9492" s="5"/>
    </row>
    <row r="9493">
      <c r="A9493" s="6"/>
      <c r="C9493" s="6"/>
      <c r="L9493" s="7"/>
      <c r="M9493" s="5"/>
      <c r="N9493" s="5"/>
      <c r="O9493" s="5"/>
    </row>
    <row r="9494">
      <c r="A9494" s="6"/>
      <c r="C9494" s="6"/>
      <c r="L9494" s="7"/>
      <c r="M9494" s="5"/>
      <c r="N9494" s="5"/>
      <c r="O9494" s="5"/>
    </row>
    <row r="9495">
      <c r="A9495" s="6"/>
      <c r="C9495" s="6"/>
      <c r="L9495" s="7"/>
      <c r="M9495" s="5"/>
      <c r="N9495" s="5"/>
      <c r="O9495" s="5"/>
    </row>
    <row r="9496">
      <c r="A9496" s="6"/>
      <c r="C9496" s="6"/>
      <c r="L9496" s="7"/>
      <c r="M9496" s="5"/>
      <c r="N9496" s="5"/>
      <c r="O9496" s="5"/>
    </row>
    <row r="9497">
      <c r="A9497" s="6"/>
      <c r="C9497" s="6"/>
      <c r="L9497" s="7"/>
      <c r="M9497" s="5"/>
      <c r="N9497" s="5"/>
      <c r="O9497" s="5"/>
    </row>
    <row r="9498">
      <c r="A9498" s="6"/>
      <c r="C9498" s="6"/>
      <c r="L9498" s="7"/>
      <c r="M9498" s="5"/>
      <c r="N9498" s="5"/>
      <c r="O9498" s="5"/>
    </row>
    <row r="9499">
      <c r="A9499" s="6"/>
      <c r="C9499" s="6"/>
      <c r="L9499" s="7"/>
      <c r="M9499" s="5"/>
      <c r="N9499" s="5"/>
      <c r="O9499" s="5"/>
    </row>
    <row r="9500">
      <c r="A9500" s="6"/>
      <c r="C9500" s="6"/>
      <c r="L9500" s="7"/>
      <c r="M9500" s="5"/>
      <c r="N9500" s="5"/>
      <c r="O9500" s="5"/>
    </row>
    <row r="9501">
      <c r="A9501" s="6"/>
      <c r="C9501" s="6"/>
      <c r="L9501" s="7"/>
      <c r="M9501" s="5"/>
      <c r="N9501" s="5"/>
      <c r="O9501" s="5"/>
    </row>
    <row r="9502">
      <c r="A9502" s="6"/>
      <c r="C9502" s="6"/>
      <c r="L9502" s="7"/>
      <c r="M9502" s="5"/>
      <c r="N9502" s="5"/>
      <c r="O9502" s="5"/>
    </row>
    <row r="9503">
      <c r="A9503" s="6"/>
      <c r="C9503" s="6"/>
      <c r="L9503" s="7"/>
      <c r="M9503" s="5"/>
      <c r="N9503" s="5"/>
      <c r="O9503" s="5"/>
    </row>
    <row r="9504">
      <c r="A9504" s="6"/>
      <c r="C9504" s="6"/>
      <c r="L9504" s="7"/>
      <c r="M9504" s="5"/>
      <c r="N9504" s="5"/>
      <c r="O9504" s="5"/>
    </row>
    <row r="9505">
      <c r="A9505" s="6"/>
      <c r="C9505" s="6"/>
      <c r="L9505" s="7"/>
      <c r="M9505" s="5"/>
      <c r="N9505" s="5"/>
      <c r="O9505" s="5"/>
    </row>
    <row r="9506">
      <c r="A9506" s="6"/>
      <c r="C9506" s="6"/>
      <c r="L9506" s="7"/>
      <c r="M9506" s="5"/>
      <c r="N9506" s="5"/>
      <c r="O9506" s="5"/>
    </row>
    <row r="9507">
      <c r="A9507" s="6"/>
      <c r="C9507" s="6"/>
      <c r="L9507" s="7"/>
      <c r="M9507" s="5"/>
      <c r="N9507" s="5"/>
      <c r="O9507" s="5"/>
    </row>
    <row r="9508">
      <c r="A9508" s="6"/>
      <c r="C9508" s="6"/>
      <c r="L9508" s="7"/>
      <c r="M9508" s="5"/>
      <c r="N9508" s="5"/>
      <c r="O9508" s="5"/>
    </row>
    <row r="9509">
      <c r="A9509" s="6"/>
      <c r="C9509" s="6"/>
      <c r="L9509" s="7"/>
      <c r="M9509" s="5"/>
      <c r="N9509" s="5"/>
      <c r="O9509" s="5"/>
    </row>
    <row r="9510">
      <c r="A9510" s="6"/>
      <c r="C9510" s="6"/>
      <c r="L9510" s="7"/>
      <c r="M9510" s="5"/>
      <c r="N9510" s="5"/>
      <c r="O9510" s="5"/>
    </row>
    <row r="9511">
      <c r="A9511" s="6"/>
      <c r="C9511" s="6"/>
      <c r="L9511" s="7"/>
      <c r="M9511" s="5"/>
      <c r="N9511" s="5"/>
      <c r="O9511" s="5"/>
    </row>
    <row r="9512">
      <c r="A9512" s="6"/>
      <c r="C9512" s="6"/>
      <c r="L9512" s="7"/>
      <c r="M9512" s="5"/>
      <c r="N9512" s="5"/>
      <c r="O9512" s="5"/>
    </row>
    <row r="9513">
      <c r="A9513" s="6"/>
      <c r="C9513" s="6"/>
      <c r="L9513" s="7"/>
      <c r="M9513" s="5"/>
      <c r="N9513" s="5"/>
      <c r="O9513" s="5"/>
    </row>
    <row r="9514">
      <c r="A9514" s="6"/>
      <c r="C9514" s="6"/>
      <c r="L9514" s="7"/>
      <c r="M9514" s="5"/>
      <c r="N9514" s="5"/>
      <c r="O9514" s="5"/>
    </row>
    <row r="9515">
      <c r="A9515" s="6"/>
      <c r="C9515" s="6"/>
      <c r="L9515" s="7"/>
      <c r="M9515" s="5"/>
      <c r="N9515" s="5"/>
      <c r="O9515" s="5"/>
    </row>
    <row r="9516">
      <c r="A9516" s="6"/>
      <c r="C9516" s="6"/>
      <c r="L9516" s="7"/>
      <c r="M9516" s="5"/>
      <c r="N9516" s="5"/>
      <c r="O9516" s="5"/>
    </row>
    <row r="9517">
      <c r="A9517" s="6"/>
      <c r="C9517" s="6"/>
      <c r="L9517" s="7"/>
      <c r="M9517" s="5"/>
      <c r="N9517" s="5"/>
      <c r="O9517" s="5"/>
    </row>
    <row r="9518">
      <c r="A9518" s="6"/>
      <c r="C9518" s="6"/>
      <c r="L9518" s="7"/>
      <c r="M9518" s="5"/>
      <c r="N9518" s="5"/>
      <c r="O9518" s="5"/>
    </row>
    <row r="9519">
      <c r="A9519" s="6"/>
      <c r="C9519" s="6"/>
      <c r="L9519" s="7"/>
      <c r="M9519" s="5"/>
      <c r="N9519" s="5"/>
      <c r="O9519" s="5"/>
    </row>
    <row r="9520">
      <c r="A9520" s="6"/>
      <c r="C9520" s="6"/>
      <c r="L9520" s="7"/>
      <c r="M9520" s="5"/>
      <c r="N9520" s="5"/>
      <c r="O9520" s="5"/>
    </row>
    <row r="9521">
      <c r="A9521" s="6"/>
      <c r="C9521" s="6"/>
      <c r="L9521" s="7"/>
      <c r="M9521" s="5"/>
      <c r="N9521" s="5"/>
      <c r="O9521" s="5"/>
    </row>
    <row r="9522">
      <c r="A9522" s="6"/>
      <c r="C9522" s="6"/>
      <c r="L9522" s="7"/>
      <c r="M9522" s="5"/>
      <c r="N9522" s="5"/>
      <c r="O9522" s="5"/>
    </row>
    <row r="9523">
      <c r="A9523" s="6"/>
      <c r="C9523" s="6"/>
      <c r="L9523" s="7"/>
      <c r="M9523" s="5"/>
      <c r="N9523" s="5"/>
      <c r="O9523" s="5"/>
    </row>
    <row r="9524">
      <c r="A9524" s="6"/>
      <c r="C9524" s="6"/>
      <c r="L9524" s="7"/>
      <c r="M9524" s="5"/>
      <c r="N9524" s="5"/>
      <c r="O9524" s="5"/>
    </row>
    <row r="9525">
      <c r="A9525" s="6"/>
      <c r="C9525" s="6"/>
      <c r="L9525" s="7"/>
      <c r="M9525" s="5"/>
      <c r="N9525" s="5"/>
      <c r="O9525" s="5"/>
    </row>
    <row r="9526">
      <c r="A9526" s="6"/>
      <c r="C9526" s="6"/>
      <c r="L9526" s="7"/>
      <c r="M9526" s="5"/>
      <c r="N9526" s="5"/>
      <c r="O9526" s="5"/>
    </row>
    <row r="9527">
      <c r="A9527" s="6"/>
      <c r="C9527" s="6"/>
      <c r="L9527" s="7"/>
      <c r="M9527" s="5"/>
      <c r="N9527" s="5"/>
      <c r="O9527" s="5"/>
    </row>
    <row r="9528">
      <c r="A9528" s="6"/>
      <c r="C9528" s="6"/>
      <c r="L9528" s="7"/>
      <c r="M9528" s="5"/>
      <c r="N9528" s="5"/>
      <c r="O9528" s="5"/>
    </row>
    <row r="9529">
      <c r="A9529" s="6"/>
      <c r="C9529" s="6"/>
      <c r="L9529" s="7"/>
      <c r="M9529" s="5"/>
      <c r="N9529" s="5"/>
      <c r="O9529" s="5"/>
    </row>
    <row r="9530">
      <c r="A9530" s="6"/>
      <c r="C9530" s="6"/>
      <c r="L9530" s="7"/>
      <c r="M9530" s="5"/>
      <c r="N9530" s="5"/>
      <c r="O9530" s="5"/>
    </row>
    <row r="9531">
      <c r="A9531" s="6"/>
      <c r="C9531" s="6"/>
      <c r="L9531" s="7"/>
      <c r="M9531" s="5"/>
      <c r="N9531" s="5"/>
      <c r="O9531" s="5"/>
    </row>
    <row r="9532">
      <c r="A9532" s="6"/>
      <c r="C9532" s="6"/>
      <c r="L9532" s="7"/>
      <c r="M9532" s="5"/>
      <c r="N9532" s="5"/>
      <c r="O9532" s="5"/>
    </row>
    <row r="9533">
      <c r="A9533" s="6"/>
      <c r="C9533" s="6"/>
      <c r="L9533" s="7"/>
      <c r="M9533" s="5"/>
      <c r="N9533" s="5"/>
      <c r="O9533" s="5"/>
    </row>
    <row r="9534">
      <c r="A9534" s="6"/>
      <c r="C9534" s="6"/>
      <c r="L9534" s="7"/>
      <c r="M9534" s="5"/>
      <c r="N9534" s="5"/>
      <c r="O9534" s="5"/>
    </row>
    <row r="9535">
      <c r="A9535" s="6"/>
      <c r="C9535" s="6"/>
      <c r="L9535" s="7"/>
      <c r="M9535" s="5"/>
      <c r="N9535" s="5"/>
      <c r="O9535" s="5"/>
    </row>
    <row r="9536">
      <c r="A9536" s="6"/>
      <c r="C9536" s="6"/>
      <c r="L9536" s="7"/>
      <c r="M9536" s="5"/>
      <c r="N9536" s="5"/>
      <c r="O9536" s="5"/>
    </row>
    <row r="9537">
      <c r="A9537" s="6"/>
      <c r="C9537" s="6"/>
      <c r="L9537" s="7"/>
      <c r="M9537" s="5"/>
      <c r="N9537" s="5"/>
      <c r="O9537" s="5"/>
    </row>
    <row r="9538">
      <c r="A9538" s="6"/>
      <c r="C9538" s="6"/>
      <c r="L9538" s="7"/>
      <c r="M9538" s="5"/>
      <c r="N9538" s="5"/>
      <c r="O9538" s="5"/>
    </row>
    <row r="9539">
      <c r="A9539" s="6"/>
      <c r="C9539" s="6"/>
      <c r="L9539" s="7"/>
      <c r="M9539" s="5"/>
      <c r="N9539" s="5"/>
      <c r="O9539" s="5"/>
    </row>
    <row r="9540">
      <c r="A9540" s="6"/>
      <c r="C9540" s="6"/>
      <c r="L9540" s="7"/>
      <c r="M9540" s="5"/>
      <c r="N9540" s="5"/>
      <c r="O9540" s="5"/>
    </row>
    <row r="9541">
      <c r="A9541" s="6"/>
      <c r="C9541" s="6"/>
      <c r="L9541" s="7"/>
      <c r="M9541" s="5"/>
      <c r="N9541" s="5"/>
      <c r="O9541" s="5"/>
    </row>
    <row r="9542">
      <c r="A9542" s="6"/>
      <c r="C9542" s="6"/>
      <c r="L9542" s="7"/>
      <c r="M9542" s="5"/>
      <c r="N9542" s="5"/>
      <c r="O9542" s="5"/>
    </row>
    <row r="9543">
      <c r="A9543" s="6"/>
      <c r="C9543" s="6"/>
      <c r="L9543" s="7"/>
      <c r="M9543" s="5"/>
      <c r="N9543" s="5"/>
      <c r="O9543" s="5"/>
    </row>
    <row r="9544">
      <c r="A9544" s="6"/>
      <c r="C9544" s="6"/>
      <c r="L9544" s="7"/>
      <c r="M9544" s="5"/>
      <c r="N9544" s="5"/>
      <c r="O9544" s="5"/>
    </row>
    <row r="9545">
      <c r="A9545" s="6"/>
      <c r="C9545" s="6"/>
      <c r="L9545" s="7"/>
      <c r="M9545" s="5"/>
      <c r="N9545" s="5"/>
      <c r="O9545" s="5"/>
    </row>
    <row r="9546">
      <c r="A9546" s="6"/>
      <c r="C9546" s="6"/>
      <c r="L9546" s="7"/>
      <c r="M9546" s="5"/>
      <c r="N9546" s="5"/>
      <c r="O9546" s="5"/>
    </row>
    <row r="9547">
      <c r="A9547" s="6"/>
      <c r="C9547" s="6"/>
      <c r="L9547" s="7"/>
      <c r="M9547" s="5"/>
      <c r="N9547" s="5"/>
      <c r="O9547" s="5"/>
    </row>
    <row r="9548">
      <c r="A9548" s="6"/>
      <c r="C9548" s="6"/>
      <c r="L9548" s="7"/>
      <c r="M9548" s="5"/>
      <c r="N9548" s="5"/>
      <c r="O9548" s="5"/>
    </row>
    <row r="9549">
      <c r="A9549" s="6"/>
      <c r="C9549" s="6"/>
      <c r="L9549" s="7"/>
      <c r="M9549" s="5"/>
      <c r="N9549" s="5"/>
      <c r="O9549" s="5"/>
    </row>
    <row r="9550">
      <c r="A9550" s="6"/>
      <c r="C9550" s="6"/>
      <c r="L9550" s="7"/>
      <c r="M9550" s="5"/>
      <c r="N9550" s="5"/>
      <c r="O9550" s="5"/>
    </row>
    <row r="9551">
      <c r="A9551" s="6"/>
      <c r="C9551" s="6"/>
      <c r="L9551" s="7"/>
      <c r="M9551" s="5"/>
      <c r="N9551" s="5"/>
      <c r="O9551" s="5"/>
    </row>
    <row r="9552">
      <c r="A9552" s="6"/>
      <c r="C9552" s="6"/>
      <c r="L9552" s="7"/>
      <c r="M9552" s="5"/>
      <c r="N9552" s="5"/>
      <c r="O9552" s="5"/>
    </row>
    <row r="9553">
      <c r="A9553" s="6"/>
      <c r="C9553" s="6"/>
      <c r="L9553" s="7"/>
      <c r="M9553" s="5"/>
      <c r="N9553" s="5"/>
      <c r="O9553" s="5"/>
    </row>
    <row r="9554">
      <c r="A9554" s="6"/>
      <c r="C9554" s="6"/>
      <c r="L9554" s="7"/>
      <c r="M9554" s="5"/>
      <c r="N9554" s="5"/>
      <c r="O9554" s="5"/>
    </row>
    <row r="9555">
      <c r="A9555" s="6"/>
      <c r="C9555" s="6"/>
      <c r="L9555" s="7"/>
      <c r="M9555" s="5"/>
      <c r="N9555" s="5"/>
      <c r="O9555" s="5"/>
    </row>
    <row r="9556">
      <c r="A9556" s="6"/>
      <c r="C9556" s="6"/>
      <c r="L9556" s="7"/>
      <c r="M9556" s="5"/>
      <c r="N9556" s="5"/>
      <c r="O9556" s="5"/>
    </row>
    <row r="9557">
      <c r="A9557" s="6"/>
      <c r="C9557" s="6"/>
      <c r="L9557" s="7"/>
      <c r="M9557" s="5"/>
      <c r="N9557" s="5"/>
      <c r="O9557" s="5"/>
    </row>
    <row r="9558">
      <c r="A9558" s="6"/>
      <c r="C9558" s="6"/>
      <c r="L9558" s="7"/>
      <c r="M9558" s="5"/>
      <c r="N9558" s="5"/>
      <c r="O9558" s="5"/>
    </row>
    <row r="9559">
      <c r="A9559" s="6"/>
      <c r="C9559" s="6"/>
      <c r="L9559" s="7"/>
      <c r="M9559" s="5"/>
      <c r="N9559" s="5"/>
      <c r="O9559" s="5"/>
    </row>
    <row r="9560">
      <c r="A9560" s="6"/>
      <c r="C9560" s="6"/>
      <c r="L9560" s="7"/>
      <c r="M9560" s="5"/>
      <c r="N9560" s="5"/>
      <c r="O9560" s="5"/>
    </row>
    <row r="9561">
      <c r="A9561" s="6"/>
      <c r="C9561" s="6"/>
      <c r="L9561" s="7"/>
      <c r="M9561" s="5"/>
      <c r="N9561" s="5"/>
      <c r="O9561" s="5"/>
    </row>
    <row r="9562">
      <c r="A9562" s="6"/>
      <c r="C9562" s="6"/>
      <c r="L9562" s="7"/>
      <c r="M9562" s="5"/>
      <c r="N9562" s="5"/>
      <c r="O9562" s="5"/>
    </row>
    <row r="9563">
      <c r="A9563" s="6"/>
      <c r="C9563" s="6"/>
      <c r="L9563" s="7"/>
      <c r="M9563" s="5"/>
      <c r="N9563" s="5"/>
      <c r="O9563" s="5"/>
    </row>
    <row r="9564">
      <c r="A9564" s="6"/>
      <c r="C9564" s="6"/>
      <c r="L9564" s="7"/>
      <c r="M9564" s="5"/>
      <c r="N9564" s="5"/>
      <c r="O9564" s="5"/>
    </row>
    <row r="9565">
      <c r="A9565" s="6"/>
      <c r="C9565" s="6"/>
      <c r="L9565" s="7"/>
      <c r="M9565" s="5"/>
      <c r="N9565" s="5"/>
      <c r="O9565" s="5"/>
    </row>
    <row r="9566">
      <c r="A9566" s="6"/>
      <c r="C9566" s="6"/>
      <c r="L9566" s="7"/>
      <c r="M9566" s="5"/>
      <c r="N9566" s="5"/>
      <c r="O9566" s="5"/>
    </row>
    <row r="9567">
      <c r="A9567" s="6"/>
      <c r="C9567" s="6"/>
      <c r="L9567" s="7"/>
      <c r="M9567" s="5"/>
      <c r="N9567" s="5"/>
      <c r="O9567" s="5"/>
    </row>
    <row r="9568">
      <c r="A9568" s="6"/>
      <c r="C9568" s="6"/>
      <c r="L9568" s="7"/>
      <c r="M9568" s="5"/>
      <c r="N9568" s="5"/>
      <c r="O9568" s="5"/>
    </row>
    <row r="9569">
      <c r="A9569" s="6"/>
      <c r="C9569" s="6"/>
      <c r="L9569" s="7"/>
      <c r="M9569" s="5"/>
      <c r="N9569" s="5"/>
      <c r="O9569" s="5"/>
    </row>
    <row r="9570">
      <c r="A9570" s="6"/>
      <c r="C9570" s="6"/>
      <c r="L9570" s="7"/>
      <c r="M9570" s="5"/>
      <c r="N9570" s="5"/>
      <c r="O9570" s="5"/>
    </row>
    <row r="9571">
      <c r="A9571" s="6"/>
      <c r="C9571" s="6"/>
      <c r="L9571" s="7"/>
      <c r="M9571" s="5"/>
      <c r="N9571" s="5"/>
      <c r="O9571" s="5"/>
    </row>
    <row r="9572">
      <c r="A9572" s="6"/>
      <c r="C9572" s="6"/>
      <c r="L9572" s="7"/>
      <c r="M9572" s="5"/>
      <c r="N9572" s="5"/>
      <c r="O9572" s="5"/>
    </row>
    <row r="9573">
      <c r="A9573" s="6"/>
      <c r="C9573" s="6"/>
      <c r="L9573" s="7"/>
      <c r="M9573" s="5"/>
      <c r="N9573" s="5"/>
      <c r="O9573" s="5"/>
    </row>
    <row r="9574">
      <c r="A9574" s="6"/>
      <c r="C9574" s="6"/>
      <c r="L9574" s="7"/>
      <c r="M9574" s="5"/>
      <c r="N9574" s="5"/>
      <c r="O9574" s="5"/>
    </row>
    <row r="9575">
      <c r="A9575" s="6"/>
      <c r="C9575" s="6"/>
      <c r="L9575" s="7"/>
      <c r="M9575" s="5"/>
      <c r="N9575" s="5"/>
      <c r="O9575" s="5"/>
    </row>
    <row r="9576">
      <c r="A9576" s="6"/>
      <c r="C9576" s="6"/>
      <c r="L9576" s="7"/>
      <c r="M9576" s="5"/>
      <c r="N9576" s="5"/>
      <c r="O9576" s="5"/>
    </row>
    <row r="9577">
      <c r="A9577" s="6"/>
      <c r="C9577" s="6"/>
      <c r="L9577" s="7"/>
      <c r="M9577" s="5"/>
      <c r="N9577" s="5"/>
      <c r="O9577" s="5"/>
    </row>
    <row r="9578">
      <c r="A9578" s="6"/>
      <c r="C9578" s="6"/>
      <c r="L9578" s="7"/>
      <c r="M9578" s="5"/>
      <c r="N9578" s="5"/>
      <c r="O9578" s="5"/>
    </row>
    <row r="9579">
      <c r="A9579" s="6"/>
      <c r="C9579" s="6"/>
      <c r="L9579" s="7"/>
      <c r="M9579" s="5"/>
      <c r="N9579" s="5"/>
      <c r="O9579" s="5"/>
    </row>
    <row r="9580">
      <c r="A9580" s="6"/>
      <c r="C9580" s="6"/>
      <c r="L9580" s="7"/>
      <c r="M9580" s="5"/>
      <c r="N9580" s="5"/>
      <c r="O9580" s="5"/>
    </row>
    <row r="9581">
      <c r="A9581" s="6"/>
      <c r="C9581" s="6"/>
      <c r="L9581" s="7"/>
      <c r="M9581" s="5"/>
      <c r="N9581" s="5"/>
      <c r="O9581" s="5"/>
    </row>
    <row r="9582">
      <c r="A9582" s="6"/>
      <c r="C9582" s="6"/>
      <c r="L9582" s="7"/>
      <c r="M9582" s="5"/>
      <c r="N9582" s="5"/>
      <c r="O9582" s="5"/>
    </row>
    <row r="9583">
      <c r="A9583" s="6"/>
      <c r="C9583" s="6"/>
      <c r="L9583" s="7"/>
      <c r="M9583" s="5"/>
      <c r="N9583" s="5"/>
      <c r="O9583" s="5"/>
    </row>
    <row r="9584">
      <c r="A9584" s="6"/>
      <c r="C9584" s="6"/>
      <c r="L9584" s="7"/>
      <c r="M9584" s="5"/>
      <c r="N9584" s="5"/>
      <c r="O9584" s="5"/>
    </row>
    <row r="9585">
      <c r="A9585" s="6"/>
      <c r="C9585" s="6"/>
      <c r="L9585" s="7"/>
      <c r="M9585" s="5"/>
      <c r="N9585" s="5"/>
      <c r="O9585" s="5"/>
    </row>
    <row r="9586">
      <c r="A9586" s="6"/>
      <c r="C9586" s="6"/>
      <c r="L9586" s="7"/>
      <c r="M9586" s="5"/>
      <c r="N9586" s="5"/>
      <c r="O9586" s="5"/>
    </row>
    <row r="9587">
      <c r="A9587" s="6"/>
      <c r="C9587" s="6"/>
      <c r="L9587" s="7"/>
      <c r="M9587" s="5"/>
      <c r="N9587" s="5"/>
      <c r="O9587" s="5"/>
    </row>
    <row r="9588">
      <c r="A9588" s="6"/>
      <c r="C9588" s="6"/>
      <c r="L9588" s="7"/>
      <c r="M9588" s="5"/>
      <c r="N9588" s="5"/>
      <c r="O9588" s="5"/>
    </row>
    <row r="9589">
      <c r="A9589" s="6"/>
      <c r="C9589" s="6"/>
      <c r="L9589" s="7"/>
      <c r="M9589" s="5"/>
      <c r="N9589" s="5"/>
      <c r="O9589" s="5"/>
    </row>
    <row r="9590">
      <c r="A9590" s="6"/>
      <c r="C9590" s="6"/>
      <c r="L9590" s="7"/>
      <c r="M9590" s="5"/>
      <c r="N9590" s="5"/>
      <c r="O9590" s="5"/>
    </row>
    <row r="9591">
      <c r="A9591" s="6"/>
      <c r="C9591" s="6"/>
      <c r="L9591" s="7"/>
      <c r="M9591" s="5"/>
      <c r="N9591" s="5"/>
      <c r="O9591" s="5"/>
    </row>
    <row r="9592">
      <c r="A9592" s="6"/>
      <c r="C9592" s="6"/>
      <c r="L9592" s="7"/>
      <c r="M9592" s="5"/>
      <c r="N9592" s="5"/>
      <c r="O9592" s="5"/>
    </row>
    <row r="9593">
      <c r="A9593" s="6"/>
      <c r="C9593" s="6"/>
      <c r="L9593" s="7"/>
      <c r="M9593" s="5"/>
      <c r="N9593" s="5"/>
      <c r="O9593" s="5"/>
    </row>
    <row r="9594">
      <c r="A9594" s="6"/>
      <c r="C9594" s="6"/>
      <c r="L9594" s="7"/>
      <c r="M9594" s="5"/>
      <c r="N9594" s="5"/>
      <c r="O9594" s="5"/>
    </row>
    <row r="9595">
      <c r="A9595" s="6"/>
      <c r="C9595" s="6"/>
      <c r="L9595" s="7"/>
      <c r="M9595" s="5"/>
      <c r="N9595" s="5"/>
      <c r="O9595" s="5"/>
    </row>
    <row r="9596">
      <c r="A9596" s="6"/>
      <c r="C9596" s="6"/>
      <c r="L9596" s="7"/>
      <c r="M9596" s="5"/>
      <c r="N9596" s="5"/>
      <c r="O9596" s="5"/>
    </row>
    <row r="9597">
      <c r="A9597" s="6"/>
      <c r="C9597" s="6"/>
      <c r="L9597" s="7"/>
      <c r="M9597" s="5"/>
      <c r="N9597" s="5"/>
      <c r="O9597" s="5"/>
    </row>
    <row r="9598">
      <c r="A9598" s="6"/>
      <c r="C9598" s="6"/>
      <c r="L9598" s="7"/>
      <c r="M9598" s="5"/>
      <c r="N9598" s="5"/>
      <c r="O9598" s="5"/>
    </row>
    <row r="9599">
      <c r="A9599" s="6"/>
      <c r="C9599" s="6"/>
      <c r="L9599" s="7"/>
      <c r="M9599" s="5"/>
      <c r="N9599" s="5"/>
      <c r="O9599" s="5"/>
    </row>
    <row r="9600">
      <c r="A9600" s="6"/>
      <c r="C9600" s="6"/>
      <c r="L9600" s="7"/>
      <c r="M9600" s="5"/>
      <c r="N9600" s="5"/>
      <c r="O9600" s="5"/>
    </row>
    <row r="9601">
      <c r="A9601" s="6"/>
      <c r="C9601" s="6"/>
      <c r="L9601" s="7"/>
      <c r="M9601" s="5"/>
      <c r="N9601" s="5"/>
      <c r="O9601" s="5"/>
    </row>
    <row r="9602">
      <c r="A9602" s="6"/>
      <c r="C9602" s="6"/>
      <c r="L9602" s="7"/>
      <c r="M9602" s="5"/>
      <c r="N9602" s="5"/>
      <c r="O9602" s="5"/>
    </row>
    <row r="9603">
      <c r="A9603" s="6"/>
      <c r="C9603" s="6"/>
      <c r="L9603" s="7"/>
      <c r="M9603" s="5"/>
      <c r="N9603" s="5"/>
      <c r="O9603" s="5"/>
    </row>
    <row r="9604">
      <c r="A9604" s="6"/>
      <c r="C9604" s="6"/>
      <c r="L9604" s="7"/>
      <c r="M9604" s="5"/>
      <c r="N9604" s="5"/>
      <c r="O9604" s="5"/>
    </row>
    <row r="9605">
      <c r="A9605" s="6"/>
      <c r="C9605" s="6"/>
      <c r="L9605" s="7"/>
      <c r="M9605" s="5"/>
      <c r="N9605" s="5"/>
      <c r="O9605" s="5"/>
    </row>
    <row r="9606">
      <c r="A9606" s="6"/>
      <c r="C9606" s="6"/>
      <c r="L9606" s="7"/>
      <c r="M9606" s="5"/>
      <c r="N9606" s="5"/>
      <c r="O9606" s="5"/>
    </row>
    <row r="9607">
      <c r="A9607" s="6"/>
      <c r="C9607" s="6"/>
      <c r="L9607" s="7"/>
      <c r="M9607" s="5"/>
      <c r="N9607" s="5"/>
      <c r="O9607" s="5"/>
    </row>
    <row r="9608">
      <c r="A9608" s="6"/>
      <c r="C9608" s="6"/>
      <c r="L9608" s="7"/>
      <c r="M9608" s="5"/>
      <c r="N9608" s="5"/>
      <c r="O9608" s="5"/>
    </row>
    <row r="9609">
      <c r="A9609" s="6"/>
      <c r="C9609" s="6"/>
      <c r="L9609" s="7"/>
      <c r="M9609" s="5"/>
      <c r="N9609" s="5"/>
      <c r="O9609" s="5"/>
    </row>
    <row r="9610">
      <c r="A9610" s="6"/>
      <c r="C9610" s="6"/>
      <c r="L9610" s="7"/>
      <c r="M9610" s="5"/>
      <c r="N9610" s="5"/>
      <c r="O9610" s="5"/>
    </row>
    <row r="9611">
      <c r="A9611" s="6"/>
      <c r="C9611" s="6"/>
      <c r="L9611" s="7"/>
      <c r="M9611" s="5"/>
      <c r="N9611" s="5"/>
      <c r="O9611" s="5"/>
    </row>
    <row r="9612">
      <c r="A9612" s="6"/>
      <c r="C9612" s="6"/>
      <c r="L9612" s="7"/>
      <c r="M9612" s="5"/>
      <c r="N9612" s="5"/>
      <c r="O9612" s="5"/>
    </row>
    <row r="9613">
      <c r="A9613" s="6"/>
      <c r="C9613" s="6"/>
      <c r="L9613" s="7"/>
      <c r="M9613" s="5"/>
      <c r="N9613" s="5"/>
      <c r="O9613" s="5"/>
    </row>
    <row r="9614">
      <c r="A9614" s="6"/>
      <c r="C9614" s="6"/>
      <c r="L9614" s="7"/>
      <c r="M9614" s="5"/>
      <c r="N9614" s="5"/>
      <c r="O9614" s="5"/>
    </row>
    <row r="9615">
      <c r="A9615" s="6"/>
      <c r="C9615" s="6"/>
      <c r="L9615" s="7"/>
      <c r="M9615" s="5"/>
      <c r="N9615" s="5"/>
      <c r="O9615" s="5"/>
    </row>
    <row r="9616">
      <c r="A9616" s="6"/>
      <c r="C9616" s="6"/>
      <c r="L9616" s="7"/>
      <c r="M9616" s="5"/>
      <c r="N9616" s="5"/>
      <c r="O9616" s="5"/>
    </row>
    <row r="9617">
      <c r="A9617" s="6"/>
      <c r="C9617" s="6"/>
      <c r="L9617" s="7"/>
      <c r="M9617" s="5"/>
      <c r="N9617" s="5"/>
      <c r="O9617" s="5"/>
    </row>
    <row r="9618">
      <c r="A9618" s="6"/>
      <c r="C9618" s="6"/>
      <c r="L9618" s="7"/>
      <c r="M9618" s="5"/>
      <c r="N9618" s="5"/>
      <c r="O9618" s="5"/>
    </row>
    <row r="9619">
      <c r="A9619" s="6"/>
      <c r="C9619" s="6"/>
      <c r="L9619" s="7"/>
      <c r="M9619" s="5"/>
      <c r="N9619" s="5"/>
      <c r="O9619" s="5"/>
    </row>
    <row r="9620">
      <c r="A9620" s="6"/>
      <c r="C9620" s="6"/>
      <c r="L9620" s="7"/>
      <c r="M9620" s="5"/>
      <c r="N9620" s="5"/>
      <c r="O9620" s="5"/>
    </row>
    <row r="9621">
      <c r="A9621" s="6"/>
      <c r="C9621" s="6"/>
      <c r="L9621" s="7"/>
      <c r="M9621" s="5"/>
      <c r="N9621" s="5"/>
      <c r="O9621" s="5"/>
    </row>
    <row r="9622">
      <c r="A9622" s="6"/>
      <c r="C9622" s="6"/>
      <c r="L9622" s="7"/>
      <c r="M9622" s="5"/>
      <c r="N9622" s="5"/>
      <c r="O9622" s="5"/>
    </row>
    <row r="9623">
      <c r="A9623" s="6"/>
      <c r="C9623" s="6"/>
      <c r="L9623" s="7"/>
      <c r="M9623" s="5"/>
      <c r="N9623" s="5"/>
      <c r="O9623" s="5"/>
    </row>
    <row r="9624">
      <c r="A9624" s="6"/>
      <c r="C9624" s="6"/>
      <c r="L9624" s="7"/>
      <c r="M9624" s="5"/>
      <c r="N9624" s="5"/>
      <c r="O9624" s="5"/>
    </row>
    <row r="9625">
      <c r="A9625" s="6"/>
      <c r="C9625" s="6"/>
      <c r="L9625" s="7"/>
      <c r="M9625" s="5"/>
      <c r="N9625" s="5"/>
      <c r="O9625" s="5"/>
    </row>
    <row r="9626">
      <c r="A9626" s="6"/>
      <c r="C9626" s="6"/>
      <c r="L9626" s="7"/>
      <c r="M9626" s="5"/>
      <c r="N9626" s="5"/>
      <c r="O9626" s="5"/>
    </row>
    <row r="9627">
      <c r="A9627" s="6"/>
      <c r="C9627" s="6"/>
      <c r="L9627" s="7"/>
      <c r="M9627" s="5"/>
      <c r="N9627" s="5"/>
      <c r="O9627" s="5"/>
    </row>
    <row r="9628">
      <c r="A9628" s="6"/>
      <c r="C9628" s="6"/>
      <c r="L9628" s="7"/>
      <c r="M9628" s="5"/>
      <c r="N9628" s="5"/>
      <c r="O9628" s="5"/>
    </row>
    <row r="9629">
      <c r="A9629" s="6"/>
      <c r="C9629" s="6"/>
      <c r="L9629" s="7"/>
      <c r="M9629" s="5"/>
      <c r="N9629" s="5"/>
      <c r="O9629" s="5"/>
    </row>
    <row r="9630">
      <c r="A9630" s="6"/>
      <c r="C9630" s="6"/>
      <c r="L9630" s="7"/>
      <c r="M9630" s="5"/>
      <c r="N9630" s="5"/>
      <c r="O9630" s="5"/>
    </row>
    <row r="9631">
      <c r="A9631" s="6"/>
      <c r="C9631" s="6"/>
      <c r="L9631" s="7"/>
      <c r="M9631" s="5"/>
      <c r="N9631" s="5"/>
      <c r="O9631" s="5"/>
    </row>
    <row r="9632">
      <c r="A9632" s="6"/>
      <c r="C9632" s="6"/>
      <c r="L9632" s="7"/>
      <c r="M9632" s="5"/>
      <c r="N9632" s="5"/>
      <c r="O9632" s="5"/>
    </row>
    <row r="9633">
      <c r="A9633" s="6"/>
      <c r="C9633" s="6"/>
      <c r="L9633" s="7"/>
      <c r="M9633" s="5"/>
      <c r="N9633" s="5"/>
      <c r="O9633" s="5"/>
    </row>
    <row r="9634">
      <c r="A9634" s="6"/>
      <c r="C9634" s="6"/>
      <c r="L9634" s="7"/>
      <c r="M9634" s="5"/>
      <c r="N9634" s="5"/>
      <c r="O9634" s="5"/>
    </row>
    <row r="9635">
      <c r="A9635" s="6"/>
      <c r="C9635" s="6"/>
      <c r="L9635" s="7"/>
      <c r="M9635" s="5"/>
      <c r="N9635" s="5"/>
      <c r="O9635" s="5"/>
    </row>
    <row r="9636">
      <c r="A9636" s="6"/>
      <c r="C9636" s="6"/>
      <c r="L9636" s="7"/>
      <c r="M9636" s="5"/>
      <c r="N9636" s="5"/>
      <c r="O9636" s="5"/>
    </row>
    <row r="9637">
      <c r="A9637" s="6"/>
      <c r="C9637" s="6"/>
      <c r="L9637" s="7"/>
      <c r="M9637" s="5"/>
      <c r="N9637" s="5"/>
      <c r="O9637" s="5"/>
    </row>
    <row r="9638">
      <c r="A9638" s="6"/>
      <c r="C9638" s="6"/>
      <c r="L9638" s="7"/>
      <c r="M9638" s="5"/>
      <c r="N9638" s="5"/>
      <c r="O9638" s="5"/>
    </row>
    <row r="9639">
      <c r="A9639" s="6"/>
      <c r="C9639" s="6"/>
      <c r="L9639" s="7"/>
      <c r="M9639" s="5"/>
      <c r="N9639" s="5"/>
      <c r="O9639" s="5"/>
    </row>
    <row r="9640">
      <c r="A9640" s="6"/>
      <c r="C9640" s="6"/>
      <c r="L9640" s="7"/>
      <c r="M9640" s="5"/>
      <c r="N9640" s="5"/>
      <c r="O9640" s="5"/>
    </row>
    <row r="9641">
      <c r="A9641" s="6"/>
      <c r="C9641" s="6"/>
      <c r="L9641" s="7"/>
      <c r="M9641" s="5"/>
      <c r="N9641" s="5"/>
      <c r="O9641" s="5"/>
    </row>
    <row r="9642">
      <c r="A9642" s="6"/>
      <c r="C9642" s="6"/>
      <c r="L9642" s="7"/>
      <c r="M9642" s="5"/>
      <c r="N9642" s="5"/>
      <c r="O9642" s="5"/>
    </row>
    <row r="9643">
      <c r="A9643" s="6"/>
      <c r="C9643" s="6"/>
      <c r="L9643" s="7"/>
      <c r="M9643" s="5"/>
      <c r="N9643" s="5"/>
      <c r="O9643" s="5"/>
    </row>
    <row r="9644">
      <c r="A9644" s="6"/>
      <c r="C9644" s="6"/>
      <c r="L9644" s="7"/>
      <c r="M9644" s="5"/>
      <c r="N9644" s="5"/>
      <c r="O9644" s="5"/>
    </row>
    <row r="9645">
      <c r="A9645" s="6"/>
      <c r="C9645" s="6"/>
      <c r="L9645" s="7"/>
      <c r="M9645" s="5"/>
      <c r="N9645" s="5"/>
      <c r="O9645" s="5"/>
    </row>
    <row r="9646">
      <c r="A9646" s="6"/>
      <c r="C9646" s="6"/>
      <c r="L9646" s="7"/>
      <c r="M9646" s="5"/>
      <c r="N9646" s="5"/>
      <c r="O9646" s="5"/>
    </row>
    <row r="9647">
      <c r="A9647" s="6"/>
      <c r="C9647" s="6"/>
      <c r="L9647" s="7"/>
      <c r="M9647" s="5"/>
      <c r="N9647" s="5"/>
      <c r="O9647" s="5"/>
    </row>
    <row r="9648">
      <c r="A9648" s="6"/>
      <c r="C9648" s="6"/>
      <c r="L9648" s="7"/>
      <c r="M9648" s="5"/>
      <c r="N9648" s="5"/>
      <c r="O9648" s="5"/>
    </row>
    <row r="9649">
      <c r="A9649" s="6"/>
      <c r="C9649" s="6"/>
      <c r="L9649" s="7"/>
      <c r="M9649" s="5"/>
      <c r="N9649" s="5"/>
      <c r="O9649" s="5"/>
    </row>
    <row r="9650">
      <c r="A9650" s="6"/>
      <c r="C9650" s="6"/>
      <c r="L9650" s="7"/>
      <c r="M9650" s="5"/>
      <c r="N9650" s="5"/>
      <c r="O9650" s="5"/>
    </row>
    <row r="9651">
      <c r="A9651" s="6"/>
      <c r="C9651" s="6"/>
      <c r="L9651" s="7"/>
      <c r="M9651" s="5"/>
      <c r="N9651" s="5"/>
      <c r="O9651" s="5"/>
    </row>
    <row r="9652">
      <c r="A9652" s="6"/>
      <c r="C9652" s="6"/>
      <c r="L9652" s="7"/>
      <c r="M9652" s="5"/>
      <c r="N9652" s="5"/>
      <c r="O9652" s="5"/>
    </row>
    <row r="9653">
      <c r="A9653" s="6"/>
      <c r="C9653" s="6"/>
      <c r="L9653" s="7"/>
      <c r="M9653" s="5"/>
      <c r="N9653" s="5"/>
      <c r="O9653" s="5"/>
    </row>
    <row r="9654">
      <c r="A9654" s="6"/>
      <c r="C9654" s="6"/>
      <c r="L9654" s="7"/>
      <c r="M9654" s="5"/>
      <c r="N9654" s="5"/>
      <c r="O9654" s="5"/>
    </row>
    <row r="9655">
      <c r="A9655" s="6"/>
      <c r="C9655" s="6"/>
      <c r="L9655" s="7"/>
      <c r="M9655" s="5"/>
      <c r="N9655" s="5"/>
      <c r="O9655" s="5"/>
    </row>
    <row r="9656">
      <c r="A9656" s="6"/>
      <c r="C9656" s="6"/>
      <c r="L9656" s="7"/>
      <c r="M9656" s="5"/>
      <c r="N9656" s="5"/>
      <c r="O9656" s="5"/>
    </row>
    <row r="9657">
      <c r="A9657" s="6"/>
      <c r="C9657" s="6"/>
      <c r="L9657" s="7"/>
      <c r="M9657" s="5"/>
      <c r="N9657" s="5"/>
      <c r="O9657" s="5"/>
    </row>
    <row r="9658">
      <c r="A9658" s="6"/>
      <c r="C9658" s="6"/>
      <c r="L9658" s="7"/>
      <c r="M9658" s="5"/>
      <c r="N9658" s="5"/>
      <c r="O9658" s="5"/>
    </row>
    <row r="9659">
      <c r="A9659" s="6"/>
      <c r="C9659" s="6"/>
      <c r="L9659" s="7"/>
      <c r="M9659" s="5"/>
      <c r="N9659" s="5"/>
      <c r="O9659" s="5"/>
    </row>
    <row r="9660">
      <c r="A9660" s="6"/>
      <c r="C9660" s="6"/>
      <c r="L9660" s="7"/>
      <c r="M9660" s="5"/>
      <c r="N9660" s="5"/>
      <c r="O9660" s="5"/>
    </row>
    <row r="9661">
      <c r="A9661" s="6"/>
      <c r="C9661" s="6"/>
      <c r="L9661" s="7"/>
      <c r="M9661" s="5"/>
      <c r="N9661" s="5"/>
      <c r="O9661" s="5"/>
    </row>
    <row r="9662">
      <c r="A9662" s="6"/>
      <c r="C9662" s="6"/>
      <c r="L9662" s="7"/>
      <c r="M9662" s="5"/>
      <c r="N9662" s="5"/>
      <c r="O9662" s="5"/>
    </row>
    <row r="9663">
      <c r="A9663" s="6"/>
      <c r="C9663" s="6"/>
      <c r="L9663" s="7"/>
      <c r="M9663" s="5"/>
      <c r="N9663" s="5"/>
      <c r="O9663" s="5"/>
    </row>
    <row r="9664">
      <c r="A9664" s="6"/>
      <c r="C9664" s="6"/>
      <c r="L9664" s="7"/>
      <c r="M9664" s="5"/>
      <c r="N9664" s="5"/>
      <c r="O9664" s="5"/>
    </row>
    <row r="9665">
      <c r="A9665" s="6"/>
      <c r="C9665" s="6"/>
      <c r="L9665" s="7"/>
      <c r="M9665" s="5"/>
      <c r="N9665" s="5"/>
      <c r="O9665" s="5"/>
    </row>
    <row r="9666">
      <c r="A9666" s="6"/>
      <c r="C9666" s="6"/>
      <c r="L9666" s="7"/>
      <c r="M9666" s="5"/>
      <c r="N9666" s="5"/>
      <c r="O9666" s="5"/>
    </row>
    <row r="9667">
      <c r="A9667" s="6"/>
      <c r="C9667" s="6"/>
      <c r="L9667" s="7"/>
      <c r="M9667" s="5"/>
      <c r="N9667" s="5"/>
      <c r="O9667" s="5"/>
    </row>
    <row r="9668">
      <c r="A9668" s="6"/>
      <c r="C9668" s="6"/>
      <c r="L9668" s="7"/>
      <c r="M9668" s="5"/>
      <c r="N9668" s="5"/>
      <c r="O9668" s="5"/>
    </row>
    <row r="9669">
      <c r="A9669" s="6"/>
      <c r="C9669" s="6"/>
      <c r="L9669" s="7"/>
      <c r="M9669" s="5"/>
      <c r="N9669" s="5"/>
      <c r="O9669" s="5"/>
    </row>
    <row r="9670">
      <c r="A9670" s="6"/>
      <c r="C9670" s="6"/>
      <c r="L9670" s="7"/>
      <c r="M9670" s="5"/>
      <c r="N9670" s="5"/>
      <c r="O9670" s="5"/>
    </row>
    <row r="9671">
      <c r="A9671" s="6"/>
      <c r="C9671" s="6"/>
      <c r="L9671" s="7"/>
      <c r="M9671" s="5"/>
      <c r="N9671" s="5"/>
      <c r="O9671" s="5"/>
    </row>
    <row r="9672">
      <c r="A9672" s="6"/>
      <c r="C9672" s="6"/>
      <c r="L9672" s="7"/>
      <c r="M9672" s="5"/>
      <c r="N9672" s="5"/>
      <c r="O9672" s="5"/>
    </row>
    <row r="9673">
      <c r="A9673" s="6"/>
      <c r="C9673" s="6"/>
      <c r="L9673" s="7"/>
      <c r="M9673" s="5"/>
      <c r="N9673" s="5"/>
      <c r="O9673" s="5"/>
    </row>
    <row r="9674">
      <c r="A9674" s="6"/>
      <c r="C9674" s="6"/>
      <c r="L9674" s="7"/>
      <c r="M9674" s="5"/>
      <c r="N9674" s="5"/>
      <c r="O9674" s="5"/>
    </row>
    <row r="9675">
      <c r="A9675" s="6"/>
      <c r="C9675" s="6"/>
      <c r="L9675" s="7"/>
      <c r="M9675" s="5"/>
      <c r="N9675" s="5"/>
      <c r="O9675" s="5"/>
    </row>
    <row r="9676">
      <c r="A9676" s="6"/>
      <c r="C9676" s="6"/>
      <c r="L9676" s="7"/>
      <c r="M9676" s="5"/>
      <c r="N9676" s="5"/>
      <c r="O9676" s="5"/>
    </row>
    <row r="9677">
      <c r="A9677" s="6"/>
      <c r="C9677" s="6"/>
      <c r="L9677" s="7"/>
      <c r="M9677" s="5"/>
      <c r="N9677" s="5"/>
      <c r="O9677" s="5"/>
    </row>
    <row r="9678">
      <c r="A9678" s="6"/>
      <c r="C9678" s="6"/>
      <c r="L9678" s="7"/>
      <c r="M9678" s="5"/>
      <c r="N9678" s="5"/>
      <c r="O9678" s="5"/>
    </row>
    <row r="9679">
      <c r="A9679" s="6"/>
      <c r="C9679" s="6"/>
      <c r="L9679" s="7"/>
      <c r="M9679" s="5"/>
      <c r="N9679" s="5"/>
      <c r="O9679" s="5"/>
    </row>
    <row r="9680">
      <c r="A9680" s="6"/>
      <c r="C9680" s="6"/>
      <c r="L9680" s="7"/>
      <c r="M9680" s="5"/>
      <c r="N9680" s="5"/>
      <c r="O9680" s="5"/>
    </row>
    <row r="9681">
      <c r="A9681" s="6"/>
      <c r="C9681" s="6"/>
      <c r="L9681" s="7"/>
      <c r="M9681" s="5"/>
      <c r="N9681" s="5"/>
      <c r="O9681" s="5"/>
    </row>
    <row r="9682">
      <c r="A9682" s="6"/>
      <c r="C9682" s="6"/>
      <c r="L9682" s="7"/>
      <c r="M9682" s="5"/>
      <c r="N9682" s="5"/>
      <c r="O9682" s="5"/>
    </row>
    <row r="9683">
      <c r="A9683" s="6"/>
      <c r="C9683" s="6"/>
      <c r="L9683" s="7"/>
      <c r="M9683" s="5"/>
      <c r="N9683" s="5"/>
      <c r="O9683" s="5"/>
    </row>
    <row r="9684">
      <c r="A9684" s="6"/>
      <c r="C9684" s="6"/>
      <c r="L9684" s="7"/>
      <c r="M9684" s="5"/>
      <c r="N9684" s="5"/>
      <c r="O9684" s="5"/>
    </row>
    <row r="9685">
      <c r="A9685" s="6"/>
      <c r="C9685" s="6"/>
      <c r="L9685" s="7"/>
      <c r="M9685" s="5"/>
      <c r="N9685" s="5"/>
      <c r="O9685" s="5"/>
    </row>
    <row r="9686">
      <c r="A9686" s="6"/>
      <c r="C9686" s="6"/>
      <c r="L9686" s="7"/>
      <c r="M9686" s="5"/>
      <c r="N9686" s="5"/>
      <c r="O9686" s="5"/>
    </row>
    <row r="9687">
      <c r="A9687" s="6"/>
      <c r="C9687" s="6"/>
      <c r="L9687" s="7"/>
      <c r="M9687" s="5"/>
      <c r="N9687" s="5"/>
      <c r="O9687" s="5"/>
    </row>
    <row r="9688">
      <c r="A9688" s="6"/>
      <c r="C9688" s="6"/>
      <c r="L9688" s="7"/>
      <c r="M9688" s="5"/>
      <c r="N9688" s="5"/>
      <c r="O9688" s="5"/>
    </row>
    <row r="9689">
      <c r="A9689" s="6"/>
      <c r="C9689" s="6"/>
      <c r="L9689" s="7"/>
      <c r="M9689" s="5"/>
      <c r="N9689" s="5"/>
      <c r="O9689" s="5"/>
    </row>
    <row r="9690">
      <c r="A9690" s="6"/>
      <c r="C9690" s="6"/>
      <c r="L9690" s="7"/>
      <c r="M9690" s="5"/>
      <c r="N9690" s="5"/>
      <c r="O9690" s="5"/>
    </row>
    <row r="9691">
      <c r="A9691" s="6"/>
      <c r="C9691" s="6"/>
      <c r="L9691" s="7"/>
      <c r="M9691" s="5"/>
      <c r="N9691" s="5"/>
      <c r="O9691" s="5"/>
    </row>
    <row r="9692">
      <c r="A9692" s="6"/>
      <c r="C9692" s="6"/>
      <c r="L9692" s="7"/>
      <c r="M9692" s="5"/>
      <c r="N9692" s="5"/>
      <c r="O9692" s="5"/>
    </row>
    <row r="9693">
      <c r="A9693" s="6"/>
      <c r="C9693" s="6"/>
      <c r="L9693" s="7"/>
      <c r="M9693" s="5"/>
      <c r="N9693" s="5"/>
      <c r="O9693" s="5"/>
    </row>
    <row r="9694">
      <c r="A9694" s="6"/>
      <c r="C9694" s="6"/>
      <c r="L9694" s="7"/>
      <c r="M9694" s="5"/>
      <c r="N9694" s="5"/>
      <c r="O9694" s="5"/>
    </row>
    <row r="9695">
      <c r="A9695" s="6"/>
      <c r="C9695" s="6"/>
      <c r="L9695" s="7"/>
      <c r="M9695" s="5"/>
      <c r="N9695" s="5"/>
      <c r="O9695" s="5"/>
    </row>
    <row r="9696">
      <c r="A9696" s="6"/>
      <c r="C9696" s="6"/>
      <c r="L9696" s="7"/>
      <c r="M9696" s="5"/>
      <c r="N9696" s="5"/>
      <c r="O9696" s="5"/>
    </row>
    <row r="9697">
      <c r="A9697" s="6"/>
      <c r="C9697" s="6"/>
      <c r="L9697" s="7"/>
      <c r="M9697" s="5"/>
      <c r="N9697" s="5"/>
      <c r="O9697" s="5"/>
    </row>
    <row r="9698">
      <c r="A9698" s="6"/>
      <c r="C9698" s="6"/>
      <c r="L9698" s="7"/>
      <c r="M9698" s="5"/>
      <c r="N9698" s="5"/>
      <c r="O9698" s="5"/>
    </row>
    <row r="9699">
      <c r="A9699" s="6"/>
      <c r="C9699" s="6"/>
      <c r="L9699" s="7"/>
      <c r="M9699" s="5"/>
      <c r="N9699" s="5"/>
      <c r="O9699" s="5"/>
    </row>
    <row r="9700">
      <c r="A9700" s="6"/>
      <c r="C9700" s="6"/>
      <c r="L9700" s="7"/>
      <c r="M9700" s="5"/>
      <c r="N9700" s="5"/>
      <c r="O9700" s="5"/>
    </row>
    <row r="9701">
      <c r="A9701" s="6"/>
      <c r="C9701" s="6"/>
      <c r="L9701" s="7"/>
      <c r="M9701" s="5"/>
      <c r="N9701" s="5"/>
      <c r="O9701" s="5"/>
    </row>
    <row r="9702">
      <c r="A9702" s="6"/>
      <c r="C9702" s="6"/>
      <c r="L9702" s="7"/>
      <c r="M9702" s="5"/>
      <c r="N9702" s="5"/>
      <c r="O9702" s="5"/>
    </row>
    <row r="9703">
      <c r="A9703" s="6"/>
      <c r="C9703" s="6"/>
      <c r="L9703" s="7"/>
      <c r="M9703" s="5"/>
      <c r="N9703" s="5"/>
      <c r="O9703" s="5"/>
    </row>
    <row r="9704">
      <c r="A9704" s="6"/>
      <c r="C9704" s="6"/>
      <c r="L9704" s="7"/>
      <c r="M9704" s="5"/>
      <c r="N9704" s="5"/>
      <c r="O9704" s="5"/>
    </row>
    <row r="9705">
      <c r="A9705" s="6"/>
      <c r="C9705" s="6"/>
      <c r="L9705" s="7"/>
      <c r="M9705" s="5"/>
      <c r="N9705" s="5"/>
      <c r="O9705" s="5"/>
    </row>
    <row r="9706">
      <c r="A9706" s="6"/>
      <c r="C9706" s="6"/>
      <c r="L9706" s="7"/>
      <c r="M9706" s="5"/>
      <c r="N9706" s="5"/>
      <c r="O9706" s="5"/>
    </row>
    <row r="9707">
      <c r="A9707" s="6"/>
      <c r="C9707" s="6"/>
      <c r="L9707" s="7"/>
      <c r="M9707" s="5"/>
      <c r="N9707" s="5"/>
      <c r="O9707" s="5"/>
    </row>
    <row r="9708">
      <c r="A9708" s="6"/>
      <c r="C9708" s="6"/>
      <c r="L9708" s="7"/>
      <c r="M9708" s="5"/>
      <c r="N9708" s="5"/>
      <c r="O9708" s="5"/>
    </row>
    <row r="9709">
      <c r="A9709" s="6"/>
      <c r="C9709" s="6"/>
      <c r="L9709" s="7"/>
      <c r="M9709" s="5"/>
      <c r="N9709" s="5"/>
      <c r="O9709" s="5"/>
    </row>
    <row r="9710">
      <c r="A9710" s="6"/>
      <c r="C9710" s="6"/>
      <c r="L9710" s="7"/>
      <c r="M9710" s="5"/>
      <c r="N9710" s="5"/>
      <c r="O9710" s="5"/>
    </row>
    <row r="9711">
      <c r="A9711" s="6"/>
      <c r="C9711" s="6"/>
      <c r="L9711" s="7"/>
      <c r="M9711" s="5"/>
      <c r="N9711" s="5"/>
      <c r="O9711" s="5"/>
    </row>
    <row r="9712">
      <c r="A9712" s="6"/>
      <c r="C9712" s="6"/>
      <c r="L9712" s="7"/>
      <c r="M9712" s="5"/>
      <c r="N9712" s="5"/>
      <c r="O9712" s="5"/>
    </row>
    <row r="9713">
      <c r="A9713" s="6"/>
      <c r="C9713" s="6"/>
      <c r="L9713" s="7"/>
      <c r="M9713" s="5"/>
      <c r="N9713" s="5"/>
      <c r="O9713" s="5"/>
    </row>
    <row r="9714">
      <c r="A9714" s="6"/>
      <c r="C9714" s="6"/>
      <c r="L9714" s="7"/>
      <c r="M9714" s="5"/>
      <c r="N9714" s="5"/>
      <c r="O9714" s="5"/>
    </row>
    <row r="9715">
      <c r="A9715" s="6"/>
      <c r="C9715" s="6"/>
      <c r="L9715" s="7"/>
      <c r="M9715" s="5"/>
      <c r="N9715" s="5"/>
      <c r="O9715" s="5"/>
    </row>
    <row r="9716">
      <c r="A9716" s="6"/>
      <c r="C9716" s="6"/>
      <c r="L9716" s="7"/>
      <c r="M9716" s="5"/>
      <c r="N9716" s="5"/>
      <c r="O9716" s="5"/>
    </row>
    <row r="9717">
      <c r="A9717" s="6"/>
      <c r="C9717" s="6"/>
      <c r="L9717" s="7"/>
      <c r="M9717" s="5"/>
      <c r="N9717" s="5"/>
      <c r="O9717" s="5"/>
    </row>
    <row r="9718">
      <c r="A9718" s="6"/>
      <c r="C9718" s="6"/>
      <c r="L9718" s="7"/>
      <c r="M9718" s="5"/>
      <c r="N9718" s="5"/>
      <c r="O9718" s="5"/>
    </row>
    <row r="9719">
      <c r="A9719" s="6"/>
      <c r="C9719" s="6"/>
      <c r="L9719" s="7"/>
      <c r="M9719" s="5"/>
      <c r="N9719" s="5"/>
      <c r="O9719" s="5"/>
    </row>
    <row r="9720">
      <c r="A9720" s="6"/>
      <c r="C9720" s="6"/>
      <c r="L9720" s="7"/>
      <c r="M9720" s="5"/>
      <c r="N9720" s="5"/>
      <c r="O9720" s="5"/>
    </row>
    <row r="9721">
      <c r="A9721" s="6"/>
      <c r="C9721" s="6"/>
      <c r="L9721" s="7"/>
      <c r="M9721" s="5"/>
      <c r="N9721" s="5"/>
      <c r="O9721" s="5"/>
    </row>
    <row r="9722">
      <c r="A9722" s="6"/>
      <c r="C9722" s="6"/>
      <c r="L9722" s="7"/>
      <c r="M9722" s="5"/>
      <c r="N9722" s="5"/>
      <c r="O9722" s="5"/>
    </row>
    <row r="9723">
      <c r="A9723" s="6"/>
      <c r="C9723" s="6"/>
      <c r="L9723" s="7"/>
      <c r="M9723" s="5"/>
      <c r="N9723" s="5"/>
      <c r="O9723" s="5"/>
    </row>
    <row r="9724">
      <c r="A9724" s="6"/>
      <c r="C9724" s="6"/>
      <c r="L9724" s="7"/>
      <c r="M9724" s="5"/>
      <c r="N9724" s="5"/>
      <c r="O9724" s="5"/>
    </row>
    <row r="9725">
      <c r="A9725" s="6"/>
      <c r="C9725" s="6"/>
      <c r="L9725" s="7"/>
      <c r="M9725" s="5"/>
      <c r="N9725" s="5"/>
      <c r="O9725" s="5"/>
    </row>
    <row r="9726">
      <c r="A9726" s="6"/>
      <c r="C9726" s="6"/>
      <c r="L9726" s="7"/>
      <c r="M9726" s="5"/>
      <c r="N9726" s="5"/>
      <c r="O9726" s="5"/>
    </row>
    <row r="9727">
      <c r="A9727" s="6"/>
      <c r="C9727" s="6"/>
      <c r="L9727" s="7"/>
      <c r="M9727" s="5"/>
      <c r="N9727" s="5"/>
      <c r="O9727" s="5"/>
    </row>
    <row r="9728">
      <c r="A9728" s="6"/>
      <c r="C9728" s="6"/>
      <c r="L9728" s="7"/>
      <c r="M9728" s="5"/>
      <c r="N9728" s="5"/>
      <c r="O9728" s="5"/>
    </row>
    <row r="9729">
      <c r="A9729" s="6"/>
      <c r="C9729" s="6"/>
      <c r="L9729" s="7"/>
      <c r="M9729" s="5"/>
      <c r="N9729" s="5"/>
      <c r="O9729" s="5"/>
    </row>
    <row r="9730">
      <c r="A9730" s="6"/>
      <c r="C9730" s="6"/>
      <c r="L9730" s="7"/>
      <c r="M9730" s="5"/>
      <c r="N9730" s="5"/>
      <c r="O9730" s="5"/>
    </row>
    <row r="9731">
      <c r="A9731" s="6"/>
      <c r="C9731" s="6"/>
      <c r="L9731" s="7"/>
      <c r="M9731" s="5"/>
      <c r="N9731" s="5"/>
      <c r="O9731" s="5"/>
    </row>
    <row r="9732">
      <c r="A9732" s="6"/>
      <c r="C9732" s="6"/>
      <c r="L9732" s="7"/>
      <c r="M9732" s="5"/>
      <c r="N9732" s="5"/>
      <c r="O9732" s="5"/>
    </row>
    <row r="9733">
      <c r="A9733" s="6"/>
      <c r="C9733" s="6"/>
      <c r="L9733" s="7"/>
      <c r="M9733" s="5"/>
      <c r="N9733" s="5"/>
      <c r="O9733" s="5"/>
    </row>
    <row r="9734">
      <c r="A9734" s="6"/>
      <c r="C9734" s="6"/>
      <c r="L9734" s="7"/>
      <c r="M9734" s="5"/>
      <c r="N9734" s="5"/>
      <c r="O9734" s="5"/>
    </row>
    <row r="9735">
      <c r="A9735" s="6"/>
      <c r="C9735" s="6"/>
      <c r="L9735" s="7"/>
      <c r="M9735" s="5"/>
      <c r="N9735" s="5"/>
      <c r="O9735" s="5"/>
    </row>
    <row r="9736">
      <c r="A9736" s="6"/>
      <c r="C9736" s="6"/>
      <c r="L9736" s="7"/>
      <c r="M9736" s="5"/>
      <c r="N9736" s="5"/>
      <c r="O9736" s="5"/>
    </row>
    <row r="9737">
      <c r="A9737" s="6"/>
      <c r="C9737" s="6"/>
      <c r="L9737" s="7"/>
      <c r="M9737" s="5"/>
      <c r="N9737" s="5"/>
      <c r="O9737" s="5"/>
    </row>
    <row r="9738">
      <c r="A9738" s="6"/>
      <c r="C9738" s="6"/>
      <c r="L9738" s="7"/>
      <c r="M9738" s="5"/>
      <c r="N9738" s="5"/>
      <c r="O9738" s="5"/>
    </row>
    <row r="9739">
      <c r="A9739" s="6"/>
      <c r="C9739" s="6"/>
      <c r="L9739" s="7"/>
      <c r="M9739" s="5"/>
      <c r="N9739" s="5"/>
      <c r="O9739" s="5"/>
    </row>
    <row r="9740">
      <c r="A9740" s="6"/>
      <c r="C9740" s="6"/>
      <c r="L9740" s="7"/>
      <c r="M9740" s="5"/>
      <c r="N9740" s="5"/>
      <c r="O9740" s="5"/>
    </row>
    <row r="9741">
      <c r="A9741" s="6"/>
      <c r="C9741" s="6"/>
      <c r="L9741" s="7"/>
      <c r="M9741" s="5"/>
      <c r="N9741" s="5"/>
      <c r="O9741" s="5"/>
    </row>
    <row r="9742">
      <c r="A9742" s="6"/>
      <c r="C9742" s="6"/>
      <c r="L9742" s="7"/>
      <c r="M9742" s="5"/>
      <c r="N9742" s="5"/>
      <c r="O9742" s="5"/>
    </row>
    <row r="9743">
      <c r="A9743" s="6"/>
      <c r="C9743" s="6"/>
      <c r="L9743" s="7"/>
      <c r="M9743" s="5"/>
      <c r="N9743" s="5"/>
      <c r="O9743" s="5"/>
    </row>
    <row r="9744">
      <c r="A9744" s="6"/>
      <c r="C9744" s="6"/>
      <c r="L9744" s="7"/>
      <c r="M9744" s="5"/>
      <c r="N9744" s="5"/>
      <c r="O9744" s="5"/>
    </row>
    <row r="9745">
      <c r="A9745" s="6"/>
      <c r="C9745" s="6"/>
      <c r="L9745" s="7"/>
      <c r="M9745" s="5"/>
      <c r="N9745" s="5"/>
      <c r="O9745" s="5"/>
    </row>
    <row r="9746">
      <c r="A9746" s="6"/>
      <c r="C9746" s="6"/>
      <c r="L9746" s="7"/>
      <c r="M9746" s="5"/>
      <c r="N9746" s="5"/>
      <c r="O9746" s="5"/>
    </row>
    <row r="9747">
      <c r="A9747" s="6"/>
      <c r="C9747" s="6"/>
      <c r="L9747" s="7"/>
      <c r="M9747" s="5"/>
      <c r="N9747" s="5"/>
      <c r="O9747" s="5"/>
    </row>
    <row r="9748">
      <c r="A9748" s="6"/>
      <c r="C9748" s="6"/>
      <c r="L9748" s="7"/>
      <c r="M9748" s="5"/>
      <c r="N9748" s="5"/>
      <c r="O9748" s="5"/>
    </row>
    <row r="9749">
      <c r="A9749" s="6"/>
      <c r="C9749" s="6"/>
      <c r="L9749" s="7"/>
      <c r="M9749" s="5"/>
      <c r="N9749" s="5"/>
      <c r="O9749" s="5"/>
    </row>
    <row r="9750">
      <c r="A9750" s="6"/>
      <c r="C9750" s="6"/>
      <c r="L9750" s="7"/>
      <c r="M9750" s="5"/>
      <c r="N9750" s="5"/>
      <c r="O9750" s="5"/>
    </row>
    <row r="9751">
      <c r="A9751" s="6"/>
      <c r="C9751" s="6"/>
      <c r="L9751" s="7"/>
      <c r="M9751" s="5"/>
      <c r="N9751" s="5"/>
      <c r="O9751" s="5"/>
    </row>
    <row r="9752">
      <c r="A9752" s="6"/>
      <c r="C9752" s="6"/>
      <c r="L9752" s="7"/>
      <c r="M9752" s="5"/>
      <c r="N9752" s="5"/>
      <c r="O9752" s="5"/>
    </row>
    <row r="9753">
      <c r="A9753" s="6"/>
      <c r="C9753" s="6"/>
      <c r="L9753" s="7"/>
      <c r="M9753" s="5"/>
      <c r="N9753" s="5"/>
      <c r="O9753" s="5"/>
    </row>
    <row r="9754">
      <c r="A9754" s="6"/>
      <c r="C9754" s="6"/>
      <c r="L9754" s="7"/>
      <c r="M9754" s="5"/>
      <c r="N9754" s="5"/>
      <c r="O9754" s="5"/>
    </row>
    <row r="9755">
      <c r="A9755" s="6"/>
      <c r="C9755" s="6"/>
      <c r="L9755" s="7"/>
      <c r="M9755" s="5"/>
      <c r="N9755" s="5"/>
      <c r="O9755" s="5"/>
    </row>
    <row r="9756">
      <c r="A9756" s="6"/>
      <c r="C9756" s="6"/>
      <c r="L9756" s="7"/>
      <c r="M9756" s="5"/>
      <c r="N9756" s="5"/>
      <c r="O9756" s="5"/>
    </row>
    <row r="9757">
      <c r="A9757" s="6"/>
      <c r="C9757" s="6"/>
      <c r="L9757" s="7"/>
      <c r="M9757" s="5"/>
      <c r="N9757" s="5"/>
      <c r="O9757" s="5"/>
    </row>
    <row r="9758">
      <c r="A9758" s="6"/>
      <c r="C9758" s="6"/>
      <c r="L9758" s="7"/>
      <c r="M9758" s="5"/>
      <c r="N9758" s="5"/>
      <c r="O9758" s="5"/>
    </row>
    <row r="9759">
      <c r="A9759" s="6"/>
      <c r="C9759" s="6"/>
      <c r="L9759" s="7"/>
      <c r="M9759" s="5"/>
      <c r="N9759" s="5"/>
      <c r="O9759" s="5"/>
    </row>
    <row r="9760">
      <c r="A9760" s="6"/>
      <c r="C9760" s="6"/>
      <c r="L9760" s="7"/>
      <c r="M9760" s="5"/>
      <c r="N9760" s="5"/>
      <c r="O9760" s="5"/>
    </row>
    <row r="9761">
      <c r="A9761" s="6"/>
      <c r="C9761" s="6"/>
      <c r="L9761" s="7"/>
      <c r="M9761" s="5"/>
      <c r="N9761" s="5"/>
      <c r="O9761" s="5"/>
    </row>
    <row r="9762">
      <c r="A9762" s="6"/>
      <c r="C9762" s="6"/>
      <c r="L9762" s="7"/>
      <c r="M9762" s="5"/>
      <c r="N9762" s="5"/>
      <c r="O9762" s="5"/>
    </row>
    <row r="9763">
      <c r="A9763" s="6"/>
      <c r="C9763" s="6"/>
      <c r="L9763" s="7"/>
      <c r="M9763" s="5"/>
      <c r="N9763" s="5"/>
      <c r="O9763" s="5"/>
    </row>
    <row r="9764">
      <c r="A9764" s="6"/>
      <c r="C9764" s="6"/>
      <c r="L9764" s="7"/>
      <c r="M9764" s="5"/>
      <c r="N9764" s="5"/>
      <c r="O9764" s="5"/>
    </row>
    <row r="9765">
      <c r="A9765" s="6"/>
      <c r="C9765" s="6"/>
      <c r="L9765" s="7"/>
      <c r="M9765" s="5"/>
      <c r="N9765" s="5"/>
      <c r="O9765" s="5"/>
    </row>
    <row r="9766">
      <c r="A9766" s="6"/>
      <c r="C9766" s="6"/>
      <c r="L9766" s="7"/>
      <c r="M9766" s="5"/>
      <c r="N9766" s="5"/>
      <c r="O9766" s="5"/>
    </row>
    <row r="9767">
      <c r="A9767" s="6"/>
      <c r="C9767" s="6"/>
      <c r="L9767" s="7"/>
      <c r="M9767" s="5"/>
      <c r="N9767" s="5"/>
      <c r="O9767" s="5"/>
    </row>
    <row r="9768">
      <c r="A9768" s="6"/>
      <c r="C9768" s="6"/>
      <c r="L9768" s="7"/>
      <c r="M9768" s="5"/>
      <c r="N9768" s="5"/>
      <c r="O9768" s="5"/>
    </row>
    <row r="9769">
      <c r="A9769" s="6"/>
      <c r="C9769" s="6"/>
      <c r="L9769" s="7"/>
      <c r="M9769" s="5"/>
      <c r="N9769" s="5"/>
      <c r="O9769" s="5"/>
    </row>
    <row r="9770">
      <c r="A9770" s="6"/>
      <c r="C9770" s="6"/>
      <c r="L9770" s="7"/>
      <c r="M9770" s="5"/>
      <c r="N9770" s="5"/>
      <c r="O9770" s="5"/>
    </row>
    <row r="9771">
      <c r="A9771" s="6"/>
      <c r="C9771" s="6"/>
      <c r="L9771" s="7"/>
      <c r="M9771" s="5"/>
      <c r="N9771" s="5"/>
      <c r="O9771" s="5"/>
    </row>
    <row r="9772">
      <c r="A9772" s="6"/>
      <c r="C9772" s="6"/>
      <c r="L9772" s="7"/>
      <c r="M9772" s="5"/>
      <c r="N9772" s="5"/>
      <c r="O9772" s="5"/>
    </row>
    <row r="9773">
      <c r="A9773" s="6"/>
      <c r="C9773" s="6"/>
      <c r="L9773" s="7"/>
      <c r="M9773" s="5"/>
      <c r="N9773" s="5"/>
      <c r="O9773" s="5"/>
    </row>
    <row r="9774">
      <c r="A9774" s="6"/>
      <c r="C9774" s="6"/>
      <c r="L9774" s="7"/>
      <c r="M9774" s="5"/>
      <c r="N9774" s="5"/>
      <c r="O9774" s="5"/>
    </row>
    <row r="9775">
      <c r="A9775" s="6"/>
      <c r="C9775" s="6"/>
      <c r="L9775" s="7"/>
      <c r="M9775" s="5"/>
      <c r="N9775" s="5"/>
      <c r="O9775" s="5"/>
    </row>
    <row r="9776">
      <c r="A9776" s="6"/>
      <c r="C9776" s="6"/>
      <c r="L9776" s="7"/>
      <c r="M9776" s="5"/>
      <c r="N9776" s="5"/>
      <c r="O9776" s="5"/>
    </row>
    <row r="9777">
      <c r="A9777" s="6"/>
      <c r="C9777" s="6"/>
      <c r="L9777" s="7"/>
      <c r="M9777" s="5"/>
      <c r="N9777" s="5"/>
      <c r="O9777" s="5"/>
    </row>
    <row r="9778">
      <c r="A9778" s="6"/>
      <c r="C9778" s="6"/>
      <c r="L9778" s="7"/>
      <c r="M9778" s="5"/>
      <c r="N9778" s="5"/>
      <c r="O9778" s="5"/>
    </row>
    <row r="9779">
      <c r="A9779" s="6"/>
      <c r="C9779" s="6"/>
      <c r="L9779" s="7"/>
      <c r="M9779" s="5"/>
      <c r="N9779" s="5"/>
      <c r="O9779" s="5"/>
    </row>
    <row r="9780">
      <c r="A9780" s="6"/>
      <c r="C9780" s="6"/>
      <c r="L9780" s="7"/>
      <c r="M9780" s="5"/>
      <c r="N9780" s="5"/>
      <c r="O9780" s="5"/>
    </row>
    <row r="9781">
      <c r="A9781" s="6"/>
      <c r="C9781" s="6"/>
      <c r="L9781" s="7"/>
      <c r="M9781" s="5"/>
      <c r="N9781" s="5"/>
      <c r="O9781" s="5"/>
    </row>
    <row r="9782">
      <c r="A9782" s="6"/>
      <c r="C9782" s="6"/>
      <c r="L9782" s="7"/>
      <c r="M9782" s="5"/>
      <c r="N9782" s="5"/>
      <c r="O9782" s="5"/>
    </row>
    <row r="9783">
      <c r="A9783" s="6"/>
      <c r="C9783" s="6"/>
      <c r="L9783" s="7"/>
      <c r="M9783" s="5"/>
      <c r="N9783" s="5"/>
      <c r="O9783" s="5"/>
    </row>
    <row r="9784">
      <c r="A9784" s="6"/>
      <c r="C9784" s="6"/>
      <c r="L9784" s="7"/>
      <c r="M9784" s="5"/>
      <c r="N9784" s="5"/>
      <c r="O9784" s="5"/>
    </row>
    <row r="9785">
      <c r="A9785" s="6"/>
      <c r="C9785" s="6"/>
      <c r="L9785" s="7"/>
      <c r="M9785" s="5"/>
      <c r="N9785" s="5"/>
      <c r="O9785" s="5"/>
    </row>
    <row r="9786">
      <c r="A9786" s="6"/>
      <c r="C9786" s="6"/>
      <c r="L9786" s="7"/>
      <c r="M9786" s="5"/>
      <c r="N9786" s="5"/>
      <c r="O9786" s="5"/>
    </row>
    <row r="9787">
      <c r="A9787" s="6"/>
      <c r="C9787" s="6"/>
      <c r="L9787" s="7"/>
      <c r="M9787" s="5"/>
      <c r="N9787" s="5"/>
      <c r="O9787" s="5"/>
    </row>
    <row r="9788">
      <c r="A9788" s="6"/>
      <c r="C9788" s="6"/>
      <c r="L9788" s="7"/>
      <c r="M9788" s="5"/>
      <c r="N9788" s="5"/>
      <c r="O9788" s="5"/>
    </row>
    <row r="9789">
      <c r="A9789" s="6"/>
      <c r="C9789" s="6"/>
      <c r="L9789" s="7"/>
      <c r="M9789" s="5"/>
      <c r="N9789" s="5"/>
      <c r="O9789" s="5"/>
    </row>
    <row r="9790">
      <c r="A9790" s="6"/>
      <c r="C9790" s="6"/>
      <c r="L9790" s="7"/>
      <c r="M9790" s="5"/>
      <c r="N9790" s="5"/>
      <c r="O9790" s="5"/>
    </row>
    <row r="9791">
      <c r="A9791" s="6"/>
      <c r="C9791" s="6"/>
      <c r="L9791" s="7"/>
      <c r="M9791" s="5"/>
      <c r="N9791" s="5"/>
      <c r="O9791" s="5"/>
    </row>
    <row r="9792">
      <c r="A9792" s="6"/>
      <c r="C9792" s="6"/>
      <c r="L9792" s="7"/>
      <c r="M9792" s="5"/>
      <c r="N9792" s="5"/>
      <c r="O9792" s="5"/>
    </row>
    <row r="9793">
      <c r="A9793" s="6"/>
      <c r="C9793" s="6"/>
      <c r="L9793" s="7"/>
      <c r="M9793" s="5"/>
      <c r="N9793" s="5"/>
      <c r="O9793" s="5"/>
    </row>
    <row r="9794">
      <c r="A9794" s="6"/>
      <c r="C9794" s="6"/>
      <c r="L9794" s="7"/>
      <c r="M9794" s="5"/>
      <c r="N9794" s="5"/>
      <c r="O9794" s="5"/>
    </row>
    <row r="9795">
      <c r="A9795" s="6"/>
      <c r="C9795" s="6"/>
      <c r="L9795" s="7"/>
      <c r="M9795" s="5"/>
      <c r="N9795" s="5"/>
      <c r="O9795" s="5"/>
    </row>
    <row r="9796">
      <c r="A9796" s="6"/>
      <c r="C9796" s="6"/>
      <c r="L9796" s="7"/>
      <c r="M9796" s="5"/>
      <c r="N9796" s="5"/>
      <c r="O9796" s="5"/>
    </row>
    <row r="9797">
      <c r="A9797" s="6"/>
      <c r="C9797" s="6"/>
      <c r="L9797" s="7"/>
      <c r="M9797" s="5"/>
      <c r="N9797" s="5"/>
      <c r="O9797" s="5"/>
    </row>
    <row r="9798">
      <c r="A9798" s="6"/>
      <c r="C9798" s="6"/>
      <c r="L9798" s="7"/>
      <c r="M9798" s="5"/>
      <c r="N9798" s="5"/>
      <c r="O9798" s="5"/>
    </row>
    <row r="9799">
      <c r="A9799" s="6"/>
      <c r="C9799" s="6"/>
      <c r="L9799" s="7"/>
      <c r="M9799" s="5"/>
      <c r="N9799" s="5"/>
      <c r="O9799" s="5"/>
    </row>
    <row r="9800">
      <c r="A9800" s="6"/>
      <c r="C9800" s="6"/>
      <c r="L9800" s="7"/>
      <c r="M9800" s="5"/>
      <c r="N9800" s="5"/>
      <c r="O9800" s="5"/>
    </row>
    <row r="9801">
      <c r="A9801" s="6"/>
      <c r="C9801" s="6"/>
      <c r="L9801" s="7"/>
      <c r="M9801" s="5"/>
      <c r="N9801" s="5"/>
      <c r="O9801" s="5"/>
    </row>
    <row r="9802">
      <c r="A9802" s="6"/>
      <c r="C9802" s="6"/>
      <c r="L9802" s="7"/>
      <c r="M9802" s="5"/>
      <c r="N9802" s="5"/>
      <c r="O9802" s="5"/>
    </row>
    <row r="9803">
      <c r="A9803" s="6"/>
      <c r="C9803" s="6"/>
      <c r="L9803" s="7"/>
      <c r="M9803" s="5"/>
      <c r="N9803" s="5"/>
      <c r="O9803" s="5"/>
    </row>
    <row r="9804">
      <c r="A9804" s="6"/>
      <c r="C9804" s="6"/>
      <c r="L9804" s="7"/>
      <c r="M9804" s="5"/>
      <c r="N9804" s="5"/>
      <c r="O9804" s="5"/>
    </row>
    <row r="9805">
      <c r="A9805" s="6"/>
      <c r="C9805" s="6"/>
      <c r="L9805" s="7"/>
      <c r="M9805" s="5"/>
      <c r="N9805" s="5"/>
      <c r="O9805" s="5"/>
    </row>
    <row r="9806">
      <c r="A9806" s="6"/>
      <c r="C9806" s="6"/>
      <c r="L9806" s="7"/>
      <c r="M9806" s="5"/>
      <c r="N9806" s="5"/>
      <c r="O9806" s="5"/>
    </row>
    <row r="9807">
      <c r="A9807" s="6"/>
      <c r="C9807" s="6"/>
      <c r="L9807" s="7"/>
      <c r="M9807" s="5"/>
      <c r="N9807" s="5"/>
      <c r="O9807" s="5"/>
    </row>
    <row r="9808">
      <c r="A9808" s="6"/>
      <c r="C9808" s="6"/>
      <c r="L9808" s="7"/>
      <c r="M9808" s="5"/>
      <c r="N9808" s="5"/>
      <c r="O9808" s="5"/>
    </row>
    <row r="9809">
      <c r="A9809" s="6"/>
      <c r="C9809" s="6"/>
      <c r="L9809" s="7"/>
      <c r="M9809" s="5"/>
      <c r="N9809" s="5"/>
      <c r="O9809" s="5"/>
    </row>
    <row r="9810">
      <c r="A9810" s="6"/>
      <c r="C9810" s="6"/>
      <c r="L9810" s="7"/>
      <c r="M9810" s="5"/>
      <c r="N9810" s="5"/>
      <c r="O9810" s="5"/>
    </row>
    <row r="9811">
      <c r="A9811" s="6"/>
      <c r="C9811" s="6"/>
      <c r="L9811" s="7"/>
      <c r="M9811" s="5"/>
      <c r="N9811" s="5"/>
      <c r="O9811" s="5"/>
    </row>
    <row r="9812">
      <c r="A9812" s="6"/>
      <c r="C9812" s="6"/>
      <c r="L9812" s="7"/>
      <c r="M9812" s="5"/>
      <c r="N9812" s="5"/>
      <c r="O9812" s="5"/>
    </row>
    <row r="9813">
      <c r="A9813" s="6"/>
      <c r="C9813" s="6"/>
      <c r="L9813" s="7"/>
      <c r="M9813" s="5"/>
      <c r="N9813" s="5"/>
      <c r="O9813" s="5"/>
    </row>
    <row r="9814">
      <c r="A9814" s="6"/>
      <c r="C9814" s="6"/>
      <c r="L9814" s="7"/>
      <c r="M9814" s="5"/>
      <c r="N9814" s="5"/>
      <c r="O9814" s="5"/>
    </row>
    <row r="9815">
      <c r="A9815" s="6"/>
      <c r="C9815" s="6"/>
      <c r="L9815" s="7"/>
      <c r="M9815" s="5"/>
      <c r="N9815" s="5"/>
      <c r="O9815" s="5"/>
    </row>
    <row r="9816">
      <c r="A9816" s="6"/>
      <c r="C9816" s="6"/>
      <c r="L9816" s="7"/>
      <c r="M9816" s="5"/>
      <c r="N9816" s="5"/>
      <c r="O9816" s="5"/>
    </row>
    <row r="9817">
      <c r="A9817" s="6"/>
      <c r="C9817" s="6"/>
      <c r="L9817" s="7"/>
      <c r="M9817" s="5"/>
      <c r="N9817" s="5"/>
      <c r="O9817" s="5"/>
    </row>
    <row r="9818">
      <c r="A9818" s="6"/>
      <c r="C9818" s="6"/>
      <c r="L9818" s="7"/>
      <c r="M9818" s="5"/>
      <c r="N9818" s="5"/>
      <c r="O9818" s="5"/>
    </row>
    <row r="9819">
      <c r="A9819" s="6"/>
      <c r="C9819" s="6"/>
      <c r="L9819" s="7"/>
      <c r="M9819" s="5"/>
      <c r="N9819" s="5"/>
      <c r="O9819" s="5"/>
    </row>
    <row r="9820">
      <c r="A9820" s="6"/>
      <c r="C9820" s="6"/>
      <c r="L9820" s="7"/>
      <c r="M9820" s="5"/>
      <c r="N9820" s="5"/>
      <c r="O9820" s="5"/>
    </row>
    <row r="9821">
      <c r="A9821" s="6"/>
      <c r="C9821" s="6"/>
      <c r="L9821" s="7"/>
      <c r="M9821" s="5"/>
      <c r="N9821" s="5"/>
      <c r="O9821" s="5"/>
    </row>
    <row r="9822">
      <c r="A9822" s="6"/>
      <c r="C9822" s="6"/>
      <c r="L9822" s="7"/>
      <c r="M9822" s="5"/>
      <c r="N9822" s="5"/>
      <c r="O9822" s="5"/>
    </row>
    <row r="9823">
      <c r="A9823" s="6"/>
      <c r="C9823" s="6"/>
      <c r="L9823" s="7"/>
      <c r="M9823" s="5"/>
      <c r="N9823" s="5"/>
      <c r="O9823" s="5"/>
    </row>
    <row r="9824">
      <c r="A9824" s="6"/>
      <c r="C9824" s="6"/>
      <c r="L9824" s="7"/>
      <c r="M9824" s="5"/>
      <c r="N9824" s="5"/>
      <c r="O9824" s="5"/>
    </row>
    <row r="9825">
      <c r="A9825" s="6"/>
      <c r="C9825" s="6"/>
      <c r="L9825" s="7"/>
      <c r="M9825" s="5"/>
      <c r="N9825" s="5"/>
      <c r="O9825" s="5"/>
    </row>
    <row r="9826">
      <c r="A9826" s="6"/>
      <c r="C9826" s="6"/>
      <c r="L9826" s="7"/>
      <c r="M9826" s="5"/>
      <c r="N9826" s="5"/>
      <c r="O9826" s="5"/>
    </row>
    <row r="9827">
      <c r="A9827" s="6"/>
      <c r="C9827" s="6"/>
      <c r="L9827" s="7"/>
      <c r="M9827" s="5"/>
      <c r="N9827" s="5"/>
      <c r="O9827" s="5"/>
    </row>
    <row r="9828">
      <c r="A9828" s="6"/>
      <c r="C9828" s="6"/>
      <c r="L9828" s="7"/>
      <c r="M9828" s="5"/>
      <c r="N9828" s="5"/>
      <c r="O9828" s="5"/>
    </row>
    <row r="9829">
      <c r="A9829" s="6"/>
      <c r="C9829" s="6"/>
      <c r="L9829" s="7"/>
      <c r="M9829" s="5"/>
      <c r="N9829" s="5"/>
      <c r="O9829" s="5"/>
    </row>
    <row r="9830">
      <c r="A9830" s="6"/>
      <c r="C9830" s="6"/>
      <c r="L9830" s="7"/>
      <c r="M9830" s="5"/>
      <c r="N9830" s="5"/>
      <c r="O9830" s="5"/>
    </row>
    <row r="9831">
      <c r="A9831" s="6"/>
      <c r="C9831" s="6"/>
      <c r="L9831" s="7"/>
      <c r="M9831" s="5"/>
      <c r="N9831" s="5"/>
      <c r="O9831" s="5"/>
    </row>
    <row r="9832">
      <c r="A9832" s="6"/>
      <c r="C9832" s="6"/>
      <c r="L9832" s="7"/>
      <c r="M9832" s="5"/>
      <c r="N9832" s="5"/>
      <c r="O9832" s="5"/>
    </row>
    <row r="9833">
      <c r="A9833" s="6"/>
      <c r="C9833" s="6"/>
      <c r="L9833" s="7"/>
      <c r="M9833" s="5"/>
      <c r="N9833" s="5"/>
      <c r="O9833" s="5"/>
    </row>
    <row r="9834">
      <c r="A9834" s="6"/>
      <c r="C9834" s="6"/>
      <c r="L9834" s="7"/>
      <c r="M9834" s="5"/>
      <c r="N9834" s="5"/>
      <c r="O9834" s="5"/>
    </row>
    <row r="9835">
      <c r="A9835" s="6"/>
      <c r="C9835" s="6"/>
      <c r="L9835" s="7"/>
      <c r="M9835" s="5"/>
      <c r="N9835" s="5"/>
      <c r="O9835" s="5"/>
    </row>
    <row r="9836">
      <c r="A9836" s="6"/>
      <c r="C9836" s="6"/>
      <c r="L9836" s="7"/>
      <c r="M9836" s="5"/>
      <c r="N9836" s="5"/>
      <c r="O9836" s="5"/>
    </row>
    <row r="9837">
      <c r="A9837" s="6"/>
      <c r="C9837" s="6"/>
      <c r="L9837" s="7"/>
      <c r="M9837" s="5"/>
      <c r="N9837" s="5"/>
      <c r="O9837" s="5"/>
    </row>
    <row r="9838">
      <c r="A9838" s="6"/>
      <c r="C9838" s="6"/>
      <c r="L9838" s="7"/>
      <c r="M9838" s="5"/>
      <c r="N9838" s="5"/>
      <c r="O9838" s="5"/>
    </row>
    <row r="9839">
      <c r="A9839" s="6"/>
      <c r="C9839" s="6"/>
      <c r="L9839" s="7"/>
      <c r="M9839" s="5"/>
      <c r="N9839" s="5"/>
      <c r="O9839" s="5"/>
    </row>
    <row r="9840">
      <c r="A9840" s="6"/>
      <c r="C9840" s="6"/>
      <c r="L9840" s="7"/>
      <c r="M9840" s="5"/>
      <c r="N9840" s="5"/>
      <c r="O9840" s="5"/>
    </row>
    <row r="9841">
      <c r="A9841" s="6"/>
      <c r="C9841" s="6"/>
      <c r="L9841" s="7"/>
      <c r="M9841" s="5"/>
      <c r="N9841" s="5"/>
      <c r="O9841" s="5"/>
    </row>
    <row r="9842">
      <c r="A9842" s="6"/>
      <c r="C9842" s="6"/>
      <c r="L9842" s="7"/>
      <c r="M9842" s="5"/>
      <c r="N9842" s="5"/>
      <c r="O9842" s="5"/>
    </row>
    <row r="9843">
      <c r="A9843" s="6"/>
      <c r="C9843" s="6"/>
      <c r="L9843" s="7"/>
      <c r="M9843" s="5"/>
      <c r="N9843" s="5"/>
      <c r="O9843" s="5"/>
    </row>
    <row r="9844">
      <c r="A9844" s="6"/>
      <c r="C9844" s="6"/>
      <c r="L9844" s="7"/>
      <c r="M9844" s="5"/>
      <c r="N9844" s="5"/>
      <c r="O9844" s="5"/>
    </row>
    <row r="9845">
      <c r="A9845" s="6"/>
      <c r="C9845" s="6"/>
      <c r="L9845" s="7"/>
      <c r="M9845" s="5"/>
      <c r="N9845" s="5"/>
      <c r="O9845" s="5"/>
    </row>
    <row r="9846">
      <c r="A9846" s="6"/>
      <c r="C9846" s="6"/>
      <c r="L9846" s="7"/>
      <c r="M9846" s="5"/>
      <c r="N9846" s="5"/>
      <c r="O9846" s="5"/>
    </row>
    <row r="9847">
      <c r="A9847" s="6"/>
      <c r="C9847" s="6"/>
      <c r="L9847" s="7"/>
      <c r="M9847" s="5"/>
      <c r="N9847" s="5"/>
      <c r="O9847" s="5"/>
    </row>
    <row r="9848">
      <c r="A9848" s="6"/>
      <c r="C9848" s="6"/>
      <c r="L9848" s="7"/>
      <c r="M9848" s="5"/>
      <c r="N9848" s="5"/>
      <c r="O9848" s="5"/>
    </row>
    <row r="9849">
      <c r="A9849" s="6"/>
      <c r="C9849" s="6"/>
      <c r="L9849" s="7"/>
      <c r="M9849" s="5"/>
      <c r="N9849" s="5"/>
      <c r="O9849" s="5"/>
    </row>
    <row r="9850">
      <c r="A9850" s="6"/>
      <c r="C9850" s="6"/>
      <c r="L9850" s="7"/>
      <c r="M9850" s="5"/>
      <c r="N9850" s="5"/>
      <c r="O9850" s="5"/>
    </row>
    <row r="9851">
      <c r="A9851" s="6"/>
      <c r="C9851" s="6"/>
      <c r="L9851" s="7"/>
      <c r="M9851" s="5"/>
      <c r="N9851" s="5"/>
      <c r="O9851" s="5"/>
    </row>
    <row r="9852">
      <c r="A9852" s="6"/>
      <c r="C9852" s="6"/>
      <c r="L9852" s="7"/>
      <c r="M9852" s="5"/>
      <c r="N9852" s="5"/>
      <c r="O9852" s="5"/>
    </row>
    <row r="9853">
      <c r="A9853" s="6"/>
      <c r="C9853" s="6"/>
      <c r="L9853" s="7"/>
      <c r="M9853" s="5"/>
      <c r="N9853" s="5"/>
      <c r="O9853" s="5"/>
    </row>
    <row r="9854">
      <c r="A9854" s="6"/>
      <c r="C9854" s="6"/>
      <c r="L9854" s="7"/>
      <c r="M9854" s="5"/>
      <c r="N9854" s="5"/>
      <c r="O9854" s="5"/>
    </row>
    <row r="9855">
      <c r="A9855" s="6"/>
      <c r="C9855" s="6"/>
      <c r="L9855" s="7"/>
      <c r="M9855" s="5"/>
      <c r="N9855" s="5"/>
      <c r="O9855" s="5"/>
    </row>
    <row r="9856">
      <c r="A9856" s="6"/>
      <c r="C9856" s="6"/>
      <c r="L9856" s="7"/>
      <c r="M9856" s="5"/>
      <c r="N9856" s="5"/>
      <c r="O9856" s="5"/>
    </row>
    <row r="9857">
      <c r="A9857" s="6"/>
      <c r="C9857" s="6"/>
      <c r="L9857" s="7"/>
      <c r="M9857" s="5"/>
      <c r="N9857" s="5"/>
      <c r="O9857" s="5"/>
    </row>
    <row r="9858">
      <c r="A9858" s="6"/>
      <c r="C9858" s="6"/>
      <c r="L9858" s="7"/>
      <c r="M9858" s="5"/>
      <c r="N9858" s="5"/>
      <c r="O9858" s="5"/>
    </row>
    <row r="9859">
      <c r="A9859" s="6"/>
      <c r="C9859" s="6"/>
      <c r="L9859" s="7"/>
      <c r="M9859" s="5"/>
      <c r="N9859" s="5"/>
      <c r="O9859" s="5"/>
    </row>
    <row r="9860">
      <c r="A9860" s="6"/>
      <c r="C9860" s="6"/>
      <c r="L9860" s="7"/>
      <c r="M9860" s="5"/>
      <c r="N9860" s="5"/>
      <c r="O9860" s="5"/>
    </row>
    <row r="9861">
      <c r="A9861" s="6"/>
      <c r="C9861" s="6"/>
      <c r="L9861" s="7"/>
      <c r="M9861" s="5"/>
      <c r="N9861" s="5"/>
      <c r="O9861" s="5"/>
    </row>
    <row r="9862">
      <c r="A9862" s="6"/>
      <c r="C9862" s="6"/>
      <c r="L9862" s="7"/>
      <c r="M9862" s="5"/>
      <c r="N9862" s="5"/>
      <c r="O9862" s="5"/>
    </row>
    <row r="9863">
      <c r="A9863" s="6"/>
      <c r="C9863" s="6"/>
      <c r="L9863" s="7"/>
      <c r="M9863" s="5"/>
      <c r="N9863" s="5"/>
      <c r="O9863" s="5"/>
    </row>
    <row r="9864">
      <c r="A9864" s="6"/>
      <c r="C9864" s="6"/>
      <c r="L9864" s="7"/>
      <c r="M9864" s="5"/>
      <c r="N9864" s="5"/>
      <c r="O9864" s="5"/>
    </row>
    <row r="9865">
      <c r="A9865" s="6"/>
      <c r="C9865" s="6"/>
      <c r="L9865" s="7"/>
      <c r="M9865" s="5"/>
      <c r="N9865" s="5"/>
      <c r="O9865" s="5"/>
    </row>
    <row r="9866">
      <c r="A9866" s="6"/>
      <c r="C9866" s="6"/>
      <c r="L9866" s="7"/>
      <c r="M9866" s="5"/>
      <c r="N9866" s="5"/>
      <c r="O9866" s="5"/>
    </row>
    <row r="9867">
      <c r="A9867" s="6"/>
      <c r="C9867" s="6"/>
      <c r="L9867" s="7"/>
      <c r="M9867" s="5"/>
      <c r="N9867" s="5"/>
      <c r="O9867" s="5"/>
    </row>
    <row r="9868">
      <c r="A9868" s="6"/>
      <c r="C9868" s="6"/>
      <c r="L9868" s="7"/>
      <c r="M9868" s="5"/>
      <c r="N9868" s="5"/>
      <c r="O9868" s="5"/>
    </row>
    <row r="9869">
      <c r="A9869" s="6"/>
      <c r="C9869" s="6"/>
      <c r="L9869" s="7"/>
      <c r="M9869" s="5"/>
      <c r="N9869" s="5"/>
      <c r="O9869" s="5"/>
    </row>
    <row r="9870">
      <c r="A9870" s="6"/>
      <c r="C9870" s="6"/>
      <c r="L9870" s="7"/>
      <c r="M9870" s="5"/>
      <c r="N9870" s="5"/>
      <c r="O9870" s="5"/>
    </row>
    <row r="9871">
      <c r="A9871" s="6"/>
      <c r="C9871" s="6"/>
      <c r="L9871" s="7"/>
      <c r="M9871" s="5"/>
      <c r="N9871" s="5"/>
      <c r="O9871" s="5"/>
    </row>
    <row r="9872">
      <c r="A9872" s="6"/>
      <c r="C9872" s="6"/>
      <c r="L9872" s="7"/>
      <c r="M9872" s="5"/>
      <c r="N9872" s="5"/>
      <c r="O9872" s="5"/>
    </row>
    <row r="9873">
      <c r="A9873" s="6"/>
      <c r="C9873" s="6"/>
      <c r="L9873" s="7"/>
      <c r="M9873" s="5"/>
      <c r="N9873" s="5"/>
      <c r="O9873" s="5"/>
    </row>
    <row r="9874">
      <c r="A9874" s="6"/>
      <c r="C9874" s="6"/>
      <c r="L9874" s="7"/>
      <c r="M9874" s="5"/>
      <c r="N9874" s="5"/>
      <c r="O9874" s="5"/>
    </row>
    <row r="9875">
      <c r="A9875" s="6"/>
      <c r="C9875" s="6"/>
      <c r="L9875" s="7"/>
      <c r="M9875" s="5"/>
      <c r="N9875" s="5"/>
      <c r="O9875" s="5"/>
    </row>
    <row r="9876">
      <c r="A9876" s="6"/>
      <c r="C9876" s="6"/>
      <c r="L9876" s="7"/>
      <c r="M9876" s="5"/>
      <c r="N9876" s="5"/>
      <c r="O9876" s="5"/>
    </row>
    <row r="9877">
      <c r="A9877" s="6"/>
      <c r="C9877" s="6"/>
      <c r="L9877" s="7"/>
      <c r="M9877" s="5"/>
      <c r="N9877" s="5"/>
      <c r="O9877" s="5"/>
    </row>
    <row r="9878">
      <c r="A9878" s="6"/>
      <c r="C9878" s="6"/>
      <c r="L9878" s="7"/>
      <c r="M9878" s="5"/>
      <c r="N9878" s="5"/>
      <c r="O9878" s="5"/>
    </row>
    <row r="9879">
      <c r="A9879" s="6"/>
      <c r="C9879" s="6"/>
      <c r="L9879" s="7"/>
      <c r="M9879" s="5"/>
      <c r="N9879" s="5"/>
      <c r="O9879" s="5"/>
    </row>
    <row r="9880">
      <c r="A9880" s="6"/>
      <c r="C9880" s="6"/>
      <c r="L9880" s="7"/>
      <c r="M9880" s="5"/>
      <c r="N9880" s="5"/>
      <c r="O9880" s="5"/>
    </row>
    <row r="9881">
      <c r="A9881" s="6"/>
      <c r="C9881" s="6"/>
      <c r="L9881" s="7"/>
      <c r="M9881" s="5"/>
      <c r="N9881" s="5"/>
      <c r="O9881" s="5"/>
    </row>
    <row r="9882">
      <c r="A9882" s="6"/>
      <c r="C9882" s="6"/>
      <c r="L9882" s="7"/>
      <c r="M9882" s="5"/>
      <c r="N9882" s="5"/>
      <c r="O9882" s="5"/>
    </row>
    <row r="9883">
      <c r="A9883" s="6"/>
      <c r="C9883" s="6"/>
      <c r="L9883" s="7"/>
      <c r="M9883" s="5"/>
      <c r="N9883" s="5"/>
      <c r="O9883" s="5"/>
    </row>
    <row r="9884">
      <c r="A9884" s="6"/>
      <c r="C9884" s="6"/>
      <c r="L9884" s="7"/>
      <c r="M9884" s="5"/>
      <c r="N9884" s="5"/>
      <c r="O9884" s="5"/>
    </row>
    <row r="9885">
      <c r="A9885" s="6"/>
      <c r="C9885" s="6"/>
      <c r="L9885" s="7"/>
      <c r="M9885" s="5"/>
      <c r="N9885" s="5"/>
      <c r="O9885" s="5"/>
    </row>
    <row r="9886">
      <c r="A9886" s="6"/>
      <c r="C9886" s="6"/>
      <c r="L9886" s="7"/>
      <c r="M9886" s="5"/>
      <c r="N9886" s="5"/>
      <c r="O9886" s="5"/>
    </row>
    <row r="9887">
      <c r="A9887" s="6"/>
      <c r="C9887" s="6"/>
      <c r="L9887" s="7"/>
      <c r="M9887" s="5"/>
      <c r="N9887" s="5"/>
      <c r="O9887" s="5"/>
    </row>
    <row r="9888">
      <c r="A9888" s="6"/>
      <c r="C9888" s="6"/>
      <c r="L9888" s="7"/>
      <c r="M9888" s="5"/>
      <c r="N9888" s="5"/>
      <c r="O9888" s="5"/>
    </row>
    <row r="9889">
      <c r="A9889" s="6"/>
      <c r="C9889" s="6"/>
      <c r="L9889" s="7"/>
      <c r="M9889" s="5"/>
      <c r="N9889" s="5"/>
      <c r="O9889" s="5"/>
    </row>
    <row r="9890">
      <c r="A9890" s="6"/>
      <c r="C9890" s="6"/>
      <c r="L9890" s="7"/>
      <c r="M9890" s="5"/>
      <c r="N9890" s="5"/>
      <c r="O9890" s="5"/>
    </row>
    <row r="9891">
      <c r="A9891" s="6"/>
      <c r="C9891" s="6"/>
      <c r="L9891" s="7"/>
      <c r="M9891" s="5"/>
      <c r="N9891" s="5"/>
      <c r="O9891" s="5"/>
    </row>
    <row r="9892">
      <c r="A9892" s="6"/>
      <c r="C9892" s="6"/>
      <c r="L9892" s="7"/>
      <c r="M9892" s="5"/>
      <c r="N9892" s="5"/>
      <c r="O9892" s="5"/>
    </row>
    <row r="9893">
      <c r="A9893" s="6"/>
      <c r="C9893" s="6"/>
      <c r="L9893" s="7"/>
      <c r="M9893" s="5"/>
      <c r="N9893" s="5"/>
      <c r="O9893" s="5"/>
    </row>
    <row r="9894">
      <c r="A9894" s="6"/>
      <c r="C9894" s="6"/>
      <c r="L9894" s="7"/>
      <c r="M9894" s="5"/>
      <c r="N9894" s="5"/>
      <c r="O9894" s="5"/>
    </row>
    <row r="9895">
      <c r="A9895" s="6"/>
      <c r="C9895" s="6"/>
      <c r="L9895" s="7"/>
      <c r="M9895" s="5"/>
      <c r="N9895" s="5"/>
      <c r="O9895" s="5"/>
    </row>
    <row r="9896">
      <c r="A9896" s="6"/>
      <c r="C9896" s="6"/>
      <c r="L9896" s="7"/>
      <c r="M9896" s="5"/>
      <c r="N9896" s="5"/>
      <c r="O9896" s="5"/>
    </row>
    <row r="9897">
      <c r="A9897" s="6"/>
      <c r="C9897" s="6"/>
      <c r="L9897" s="7"/>
      <c r="M9897" s="5"/>
      <c r="N9897" s="5"/>
      <c r="O9897" s="5"/>
    </row>
    <row r="9898">
      <c r="A9898" s="6"/>
      <c r="C9898" s="6"/>
      <c r="L9898" s="7"/>
      <c r="M9898" s="5"/>
      <c r="N9898" s="5"/>
      <c r="O9898" s="5"/>
    </row>
    <row r="9899">
      <c r="A9899" s="6"/>
      <c r="C9899" s="6"/>
      <c r="L9899" s="7"/>
      <c r="M9899" s="5"/>
      <c r="N9899" s="5"/>
      <c r="O9899" s="5"/>
    </row>
    <row r="9900">
      <c r="A9900" s="6"/>
      <c r="C9900" s="6"/>
      <c r="L9900" s="7"/>
      <c r="M9900" s="5"/>
      <c r="N9900" s="5"/>
      <c r="O9900" s="5"/>
    </row>
    <row r="9901">
      <c r="A9901" s="6"/>
      <c r="C9901" s="6"/>
      <c r="L9901" s="7"/>
      <c r="M9901" s="5"/>
      <c r="N9901" s="5"/>
      <c r="O9901" s="5"/>
    </row>
    <row r="9902">
      <c r="A9902" s="6"/>
      <c r="C9902" s="6"/>
      <c r="L9902" s="7"/>
      <c r="M9902" s="5"/>
      <c r="N9902" s="5"/>
      <c r="O9902" s="5"/>
    </row>
    <row r="9903">
      <c r="A9903" s="6"/>
      <c r="C9903" s="6"/>
      <c r="L9903" s="7"/>
      <c r="M9903" s="5"/>
      <c r="N9903" s="5"/>
      <c r="O9903" s="5"/>
    </row>
    <row r="9904">
      <c r="A9904" s="6"/>
      <c r="C9904" s="6"/>
      <c r="L9904" s="7"/>
      <c r="M9904" s="5"/>
      <c r="N9904" s="5"/>
      <c r="O9904" s="5"/>
    </row>
    <row r="9905">
      <c r="A9905" s="6"/>
      <c r="C9905" s="6"/>
      <c r="L9905" s="7"/>
      <c r="M9905" s="5"/>
      <c r="N9905" s="5"/>
      <c r="O9905" s="5"/>
    </row>
    <row r="9906">
      <c r="A9906" s="6"/>
      <c r="C9906" s="6"/>
      <c r="L9906" s="7"/>
      <c r="M9906" s="5"/>
      <c r="N9906" s="5"/>
      <c r="O9906" s="5"/>
    </row>
    <row r="9907">
      <c r="A9907" s="6"/>
      <c r="C9907" s="6"/>
      <c r="L9907" s="7"/>
      <c r="M9907" s="5"/>
      <c r="N9907" s="5"/>
      <c r="O9907" s="5"/>
    </row>
    <row r="9908">
      <c r="A9908" s="6"/>
      <c r="C9908" s="6"/>
      <c r="L9908" s="7"/>
      <c r="M9908" s="5"/>
      <c r="N9908" s="5"/>
      <c r="O9908" s="5"/>
    </row>
    <row r="9909">
      <c r="A9909" s="6"/>
      <c r="C9909" s="6"/>
      <c r="L9909" s="7"/>
      <c r="M9909" s="5"/>
      <c r="N9909" s="5"/>
      <c r="O9909" s="5"/>
    </row>
    <row r="9910">
      <c r="A9910" s="6"/>
      <c r="C9910" s="6"/>
      <c r="L9910" s="7"/>
      <c r="M9910" s="5"/>
      <c r="N9910" s="5"/>
      <c r="O9910" s="5"/>
    </row>
    <row r="9911">
      <c r="A9911" s="6"/>
      <c r="C9911" s="6"/>
      <c r="L9911" s="7"/>
      <c r="M9911" s="5"/>
      <c r="N9911" s="5"/>
      <c r="O9911" s="5"/>
    </row>
    <row r="9912">
      <c r="A9912" s="6"/>
      <c r="C9912" s="6"/>
      <c r="L9912" s="7"/>
      <c r="M9912" s="5"/>
      <c r="N9912" s="5"/>
      <c r="O9912" s="5"/>
    </row>
    <row r="9913">
      <c r="A9913" s="6"/>
      <c r="C9913" s="6"/>
      <c r="L9913" s="7"/>
      <c r="M9913" s="5"/>
      <c r="N9913" s="5"/>
      <c r="O9913" s="5"/>
    </row>
    <row r="9914">
      <c r="A9914" s="6"/>
      <c r="C9914" s="6"/>
      <c r="L9914" s="7"/>
      <c r="M9914" s="5"/>
      <c r="N9914" s="5"/>
      <c r="O9914" s="5"/>
    </row>
    <row r="9915">
      <c r="A9915" s="6"/>
      <c r="C9915" s="6"/>
      <c r="L9915" s="7"/>
      <c r="M9915" s="5"/>
      <c r="N9915" s="5"/>
      <c r="O9915" s="5"/>
    </row>
    <row r="9916">
      <c r="A9916" s="6"/>
      <c r="C9916" s="6"/>
      <c r="L9916" s="7"/>
      <c r="M9916" s="5"/>
      <c r="N9916" s="5"/>
      <c r="O9916" s="5"/>
    </row>
    <row r="9917">
      <c r="A9917" s="6"/>
      <c r="C9917" s="6"/>
      <c r="L9917" s="7"/>
      <c r="M9917" s="5"/>
      <c r="N9917" s="5"/>
      <c r="O9917" s="5"/>
    </row>
    <row r="9918">
      <c r="A9918" s="6"/>
      <c r="C9918" s="6"/>
      <c r="L9918" s="7"/>
      <c r="M9918" s="5"/>
      <c r="N9918" s="5"/>
      <c r="O9918" s="5"/>
    </row>
    <row r="9919">
      <c r="A9919" s="6"/>
      <c r="C9919" s="6"/>
      <c r="L9919" s="7"/>
      <c r="M9919" s="5"/>
      <c r="N9919" s="5"/>
      <c r="O9919" s="5"/>
    </row>
    <row r="9920">
      <c r="A9920" s="6"/>
      <c r="C9920" s="6"/>
      <c r="L9920" s="7"/>
      <c r="M9920" s="5"/>
      <c r="N9920" s="5"/>
      <c r="O9920" s="5"/>
    </row>
    <row r="9921">
      <c r="A9921" s="6"/>
      <c r="C9921" s="6"/>
      <c r="L9921" s="7"/>
      <c r="M9921" s="5"/>
      <c r="N9921" s="5"/>
      <c r="O9921" s="5"/>
    </row>
    <row r="9922">
      <c r="A9922" s="6"/>
      <c r="C9922" s="6"/>
      <c r="L9922" s="7"/>
      <c r="M9922" s="5"/>
      <c r="N9922" s="5"/>
      <c r="O9922" s="5"/>
    </row>
    <row r="9923">
      <c r="A9923" s="6"/>
      <c r="C9923" s="6"/>
      <c r="L9923" s="7"/>
      <c r="M9923" s="5"/>
      <c r="N9923" s="5"/>
      <c r="O9923" s="5"/>
    </row>
    <row r="9924">
      <c r="A9924" s="6"/>
      <c r="C9924" s="6"/>
      <c r="L9924" s="7"/>
      <c r="M9924" s="5"/>
      <c r="N9924" s="5"/>
      <c r="O9924" s="5"/>
    </row>
    <row r="9925">
      <c r="A9925" s="6"/>
      <c r="C9925" s="6"/>
      <c r="L9925" s="7"/>
      <c r="M9925" s="5"/>
      <c r="N9925" s="5"/>
      <c r="O9925" s="5"/>
    </row>
    <row r="9926">
      <c r="A9926" s="6"/>
      <c r="C9926" s="6"/>
      <c r="L9926" s="7"/>
      <c r="M9926" s="5"/>
      <c r="N9926" s="5"/>
      <c r="O9926" s="5"/>
    </row>
    <row r="9927">
      <c r="A9927" s="6"/>
      <c r="C9927" s="6"/>
      <c r="L9927" s="7"/>
      <c r="M9927" s="5"/>
      <c r="N9927" s="5"/>
      <c r="O9927" s="5"/>
    </row>
    <row r="9928">
      <c r="A9928" s="6"/>
      <c r="C9928" s="6"/>
      <c r="L9928" s="7"/>
      <c r="M9928" s="5"/>
      <c r="N9928" s="5"/>
      <c r="O9928" s="5"/>
    </row>
    <row r="9929">
      <c r="A9929" s="6"/>
      <c r="C9929" s="6"/>
      <c r="L9929" s="7"/>
      <c r="M9929" s="5"/>
      <c r="N9929" s="5"/>
      <c r="O9929" s="5"/>
    </row>
    <row r="9930">
      <c r="A9930" s="6"/>
      <c r="C9930" s="6"/>
      <c r="L9930" s="7"/>
      <c r="M9930" s="5"/>
      <c r="N9930" s="5"/>
      <c r="O9930" s="5"/>
    </row>
    <row r="9931">
      <c r="A9931" s="6"/>
      <c r="C9931" s="6"/>
      <c r="L9931" s="7"/>
      <c r="M9931" s="5"/>
      <c r="N9931" s="5"/>
      <c r="O9931" s="5"/>
    </row>
    <row r="9932">
      <c r="A9932" s="6"/>
      <c r="C9932" s="6"/>
      <c r="L9932" s="7"/>
      <c r="M9932" s="5"/>
      <c r="N9932" s="5"/>
      <c r="O9932" s="5"/>
    </row>
    <row r="9933">
      <c r="A9933" s="6"/>
      <c r="C9933" s="6"/>
      <c r="L9933" s="7"/>
      <c r="M9933" s="5"/>
      <c r="N9933" s="5"/>
      <c r="O9933" s="5"/>
    </row>
    <row r="9934">
      <c r="A9934" s="6"/>
      <c r="C9934" s="6"/>
      <c r="L9934" s="7"/>
      <c r="M9934" s="5"/>
      <c r="N9934" s="5"/>
      <c r="O9934" s="5"/>
    </row>
    <row r="9935">
      <c r="A9935" s="6"/>
      <c r="C9935" s="6"/>
      <c r="L9935" s="7"/>
      <c r="M9935" s="5"/>
      <c r="N9935" s="5"/>
      <c r="O9935" s="5"/>
    </row>
    <row r="9936">
      <c r="A9936" s="6"/>
      <c r="C9936" s="6"/>
      <c r="L9936" s="7"/>
      <c r="M9936" s="5"/>
      <c r="N9936" s="5"/>
      <c r="O9936" s="5"/>
    </row>
    <row r="9937">
      <c r="A9937" s="6"/>
      <c r="C9937" s="6"/>
      <c r="L9937" s="7"/>
      <c r="M9937" s="5"/>
      <c r="N9937" s="5"/>
      <c r="O9937" s="5"/>
    </row>
    <row r="9938">
      <c r="A9938" s="6"/>
      <c r="C9938" s="6"/>
      <c r="L9938" s="7"/>
      <c r="M9938" s="5"/>
      <c r="N9938" s="5"/>
      <c r="O9938" s="5"/>
    </row>
    <row r="9939">
      <c r="A9939" s="6"/>
      <c r="C9939" s="6"/>
      <c r="L9939" s="7"/>
      <c r="M9939" s="5"/>
      <c r="N9939" s="5"/>
      <c r="O9939" s="5"/>
    </row>
    <row r="9940">
      <c r="A9940" s="6"/>
      <c r="C9940" s="6"/>
      <c r="L9940" s="7"/>
      <c r="M9940" s="5"/>
      <c r="N9940" s="5"/>
      <c r="O9940" s="5"/>
    </row>
    <row r="9941">
      <c r="A9941" s="6"/>
      <c r="C9941" s="6"/>
      <c r="L9941" s="7"/>
      <c r="M9941" s="5"/>
      <c r="N9941" s="5"/>
      <c r="O9941" s="5"/>
    </row>
    <row r="9942">
      <c r="A9942" s="6"/>
      <c r="C9942" s="6"/>
      <c r="L9942" s="7"/>
      <c r="M9942" s="5"/>
      <c r="N9942" s="5"/>
      <c r="O9942" s="5"/>
    </row>
    <row r="9943">
      <c r="A9943" s="6"/>
      <c r="C9943" s="6"/>
      <c r="L9943" s="7"/>
      <c r="M9943" s="5"/>
      <c r="N9943" s="5"/>
      <c r="O9943" s="5"/>
    </row>
    <row r="9944">
      <c r="A9944" s="6"/>
      <c r="C9944" s="6"/>
      <c r="L9944" s="7"/>
      <c r="M9944" s="5"/>
      <c r="N9944" s="5"/>
      <c r="O9944" s="5"/>
    </row>
    <row r="9945">
      <c r="A9945" s="6"/>
      <c r="C9945" s="6"/>
      <c r="L9945" s="7"/>
      <c r="M9945" s="5"/>
      <c r="N9945" s="5"/>
      <c r="O9945" s="5"/>
    </row>
    <row r="9946">
      <c r="A9946" s="6"/>
      <c r="C9946" s="6"/>
      <c r="L9946" s="7"/>
      <c r="M9946" s="5"/>
      <c r="N9946" s="5"/>
      <c r="O9946" s="5"/>
    </row>
    <row r="9947">
      <c r="A9947" s="6"/>
      <c r="C9947" s="6"/>
      <c r="L9947" s="7"/>
      <c r="M9947" s="5"/>
      <c r="N9947" s="5"/>
      <c r="O9947" s="5"/>
    </row>
    <row r="9948">
      <c r="A9948" s="6"/>
      <c r="C9948" s="6"/>
      <c r="L9948" s="7"/>
      <c r="M9948" s="5"/>
      <c r="N9948" s="5"/>
      <c r="O9948" s="5"/>
    </row>
    <row r="9949">
      <c r="A9949" s="6"/>
      <c r="C9949" s="6"/>
      <c r="L9949" s="7"/>
      <c r="M9949" s="5"/>
      <c r="N9949" s="5"/>
      <c r="O9949" s="5"/>
    </row>
    <row r="9950">
      <c r="A9950" s="6"/>
      <c r="C9950" s="6"/>
      <c r="L9950" s="7"/>
      <c r="M9950" s="5"/>
      <c r="N9950" s="5"/>
      <c r="O9950" s="5"/>
    </row>
    <row r="9951">
      <c r="A9951" s="6"/>
      <c r="C9951" s="6"/>
      <c r="L9951" s="7"/>
      <c r="M9951" s="5"/>
      <c r="N9951" s="5"/>
      <c r="O9951" s="5"/>
    </row>
    <row r="9952">
      <c r="A9952" s="6"/>
      <c r="C9952" s="6"/>
      <c r="L9952" s="7"/>
      <c r="M9952" s="5"/>
      <c r="N9952" s="5"/>
      <c r="O9952" s="5"/>
    </row>
    <row r="9953">
      <c r="A9953" s="6"/>
      <c r="C9953" s="6"/>
      <c r="L9953" s="7"/>
      <c r="M9953" s="5"/>
      <c r="N9953" s="5"/>
      <c r="O9953" s="5"/>
    </row>
    <row r="9954">
      <c r="A9954" s="6"/>
      <c r="C9954" s="6"/>
      <c r="L9954" s="7"/>
      <c r="M9954" s="5"/>
      <c r="N9954" s="5"/>
      <c r="O9954" s="5"/>
    </row>
    <row r="9955">
      <c r="A9955" s="6"/>
      <c r="C9955" s="6"/>
      <c r="L9955" s="7"/>
      <c r="M9955" s="5"/>
      <c r="N9955" s="5"/>
      <c r="O9955" s="5"/>
    </row>
    <row r="9956">
      <c r="A9956" s="6"/>
      <c r="C9956" s="6"/>
      <c r="L9956" s="7"/>
      <c r="M9956" s="5"/>
      <c r="N9956" s="5"/>
      <c r="O9956" s="5"/>
    </row>
    <row r="9957">
      <c r="A9957" s="6"/>
      <c r="C9957" s="6"/>
      <c r="L9957" s="7"/>
      <c r="M9957" s="5"/>
      <c r="N9957" s="5"/>
      <c r="O9957" s="5"/>
    </row>
    <row r="9958">
      <c r="A9958" s="6"/>
      <c r="C9958" s="6"/>
      <c r="L9958" s="7"/>
      <c r="M9958" s="5"/>
      <c r="N9958" s="5"/>
      <c r="O9958" s="5"/>
    </row>
    <row r="9959">
      <c r="A9959" s="6"/>
      <c r="C9959" s="6"/>
      <c r="L9959" s="7"/>
      <c r="M9959" s="5"/>
      <c r="N9959" s="5"/>
      <c r="O9959" s="5"/>
    </row>
    <row r="9960">
      <c r="A9960" s="6"/>
      <c r="C9960" s="6"/>
      <c r="L9960" s="7"/>
      <c r="M9960" s="5"/>
      <c r="N9960" s="5"/>
      <c r="O9960" s="5"/>
    </row>
    <row r="9961">
      <c r="A9961" s="6"/>
      <c r="C9961" s="6"/>
      <c r="L9961" s="7"/>
      <c r="M9961" s="5"/>
      <c r="N9961" s="5"/>
      <c r="O9961" s="5"/>
    </row>
    <row r="9962">
      <c r="A9962" s="6"/>
      <c r="C9962" s="6"/>
      <c r="L9962" s="7"/>
      <c r="M9962" s="5"/>
      <c r="N9962" s="5"/>
      <c r="O9962" s="5"/>
    </row>
    <row r="9963">
      <c r="A9963" s="6"/>
      <c r="C9963" s="6"/>
      <c r="L9963" s="7"/>
      <c r="M9963" s="5"/>
      <c r="N9963" s="5"/>
      <c r="O9963" s="5"/>
    </row>
    <row r="9964">
      <c r="A9964" s="6"/>
      <c r="C9964" s="6"/>
      <c r="L9964" s="7"/>
      <c r="M9964" s="5"/>
      <c r="N9964" s="5"/>
      <c r="O9964" s="5"/>
    </row>
    <row r="9965">
      <c r="A9965" s="6"/>
      <c r="C9965" s="6"/>
      <c r="L9965" s="7"/>
      <c r="M9965" s="5"/>
      <c r="N9965" s="5"/>
      <c r="O9965" s="5"/>
    </row>
    <row r="9966">
      <c r="A9966" s="6"/>
      <c r="C9966" s="6"/>
      <c r="L9966" s="7"/>
      <c r="M9966" s="5"/>
      <c r="N9966" s="5"/>
      <c r="O9966" s="5"/>
    </row>
    <row r="9967">
      <c r="A9967" s="6"/>
      <c r="C9967" s="6"/>
      <c r="L9967" s="7"/>
      <c r="M9967" s="5"/>
      <c r="N9967" s="5"/>
      <c r="O9967" s="5"/>
    </row>
    <row r="9968">
      <c r="A9968" s="6"/>
      <c r="C9968" s="6"/>
      <c r="L9968" s="7"/>
      <c r="M9968" s="5"/>
      <c r="N9968" s="5"/>
      <c r="O9968" s="5"/>
    </row>
    <row r="9969">
      <c r="A9969" s="6"/>
      <c r="C9969" s="6"/>
      <c r="L9969" s="7"/>
      <c r="M9969" s="5"/>
      <c r="N9969" s="5"/>
      <c r="O9969" s="5"/>
    </row>
    <row r="9970">
      <c r="A9970" s="6"/>
      <c r="C9970" s="6"/>
      <c r="L9970" s="7"/>
      <c r="M9970" s="5"/>
      <c r="N9970" s="5"/>
      <c r="O9970" s="5"/>
    </row>
    <row r="9971">
      <c r="A9971" s="6"/>
      <c r="C9971" s="6"/>
      <c r="L9971" s="7"/>
      <c r="M9971" s="5"/>
      <c r="N9971" s="5"/>
      <c r="O9971" s="5"/>
    </row>
    <row r="9972">
      <c r="A9972" s="6"/>
      <c r="C9972" s="6"/>
      <c r="L9972" s="7"/>
      <c r="M9972" s="5"/>
      <c r="N9972" s="5"/>
      <c r="O9972" s="5"/>
    </row>
    <row r="9973">
      <c r="A9973" s="6"/>
      <c r="C9973" s="6"/>
      <c r="L9973" s="7"/>
      <c r="M9973" s="5"/>
      <c r="N9973" s="5"/>
      <c r="O9973" s="5"/>
    </row>
    <row r="9974">
      <c r="A9974" s="6"/>
      <c r="C9974" s="6"/>
      <c r="L9974" s="7"/>
      <c r="M9974" s="5"/>
      <c r="N9974" s="5"/>
      <c r="O9974" s="5"/>
    </row>
    <row r="9975">
      <c r="A9975" s="6"/>
      <c r="C9975" s="6"/>
      <c r="L9975" s="7"/>
      <c r="M9975" s="5"/>
      <c r="N9975" s="5"/>
      <c r="O9975" s="5"/>
    </row>
    <row r="9976">
      <c r="A9976" s="6"/>
      <c r="C9976" s="6"/>
      <c r="L9976" s="7"/>
      <c r="M9976" s="5"/>
      <c r="N9976" s="5"/>
      <c r="O9976" s="5"/>
    </row>
    <row r="9977">
      <c r="A9977" s="6"/>
      <c r="C9977" s="6"/>
      <c r="L9977" s="7"/>
      <c r="M9977" s="5"/>
      <c r="N9977" s="5"/>
      <c r="O9977" s="5"/>
    </row>
    <row r="9978">
      <c r="A9978" s="6"/>
      <c r="C9978" s="6"/>
      <c r="L9978" s="7"/>
      <c r="M9978" s="5"/>
      <c r="N9978" s="5"/>
      <c r="O9978" s="5"/>
    </row>
    <row r="9979">
      <c r="A9979" s="6"/>
      <c r="C9979" s="6"/>
      <c r="L9979" s="7"/>
      <c r="M9979" s="5"/>
      <c r="N9979" s="5"/>
      <c r="O9979" s="5"/>
    </row>
    <row r="9980">
      <c r="A9980" s="6"/>
      <c r="C9980" s="6"/>
      <c r="L9980" s="7"/>
      <c r="M9980" s="5"/>
      <c r="N9980" s="5"/>
      <c r="O9980" s="5"/>
    </row>
    <row r="9981">
      <c r="A9981" s="6"/>
      <c r="C9981" s="6"/>
      <c r="L9981" s="7"/>
      <c r="M9981" s="5"/>
      <c r="N9981" s="5"/>
      <c r="O9981" s="5"/>
    </row>
    <row r="9982">
      <c r="A9982" s="6"/>
      <c r="C9982" s="6"/>
      <c r="L9982" s="7"/>
      <c r="M9982" s="5"/>
      <c r="N9982" s="5"/>
      <c r="O9982" s="5"/>
    </row>
    <row r="9983">
      <c r="A9983" s="6"/>
      <c r="C9983" s="6"/>
      <c r="L9983" s="7"/>
      <c r="M9983" s="5"/>
      <c r="N9983" s="5"/>
      <c r="O9983" s="5"/>
    </row>
    <row r="9984">
      <c r="A9984" s="6"/>
      <c r="C9984" s="6"/>
      <c r="L9984" s="7"/>
      <c r="M9984" s="5"/>
      <c r="N9984" s="5"/>
      <c r="O9984" s="5"/>
    </row>
    <row r="9985">
      <c r="A9985" s="6"/>
      <c r="C9985" s="6"/>
      <c r="L9985" s="7"/>
      <c r="M9985" s="5"/>
      <c r="N9985" s="5"/>
      <c r="O9985" s="5"/>
    </row>
    <row r="9986">
      <c r="A9986" s="6"/>
      <c r="C9986" s="6"/>
      <c r="L9986" s="7"/>
      <c r="M9986" s="5"/>
      <c r="N9986" s="5"/>
      <c r="O9986" s="5"/>
    </row>
    <row r="9987">
      <c r="A9987" s="6"/>
      <c r="C9987" s="6"/>
      <c r="L9987" s="7"/>
      <c r="M9987" s="5"/>
      <c r="N9987" s="5"/>
      <c r="O9987" s="5"/>
    </row>
    <row r="9988">
      <c r="A9988" s="6"/>
      <c r="C9988" s="6"/>
      <c r="L9988" s="7"/>
      <c r="M9988" s="5"/>
      <c r="N9988" s="5"/>
      <c r="O9988" s="5"/>
    </row>
    <row r="9989">
      <c r="A9989" s="6"/>
      <c r="C9989" s="6"/>
      <c r="L9989" s="7"/>
      <c r="M9989" s="5"/>
      <c r="N9989" s="5"/>
      <c r="O9989" s="5"/>
    </row>
    <row r="9990">
      <c r="A9990" s="6"/>
      <c r="C9990" s="6"/>
      <c r="L9990" s="7"/>
      <c r="M9990" s="5"/>
      <c r="N9990" s="5"/>
      <c r="O9990" s="5"/>
    </row>
    <row r="9991">
      <c r="A9991" s="6"/>
      <c r="C9991" s="6"/>
      <c r="L9991" s="7"/>
      <c r="M9991" s="5"/>
      <c r="N9991" s="5"/>
      <c r="O9991" s="5"/>
    </row>
    <row r="9992">
      <c r="A9992" s="6"/>
      <c r="C9992" s="6"/>
      <c r="L9992" s="7"/>
      <c r="M9992" s="5"/>
      <c r="N9992" s="5"/>
      <c r="O9992" s="5"/>
    </row>
    <row r="9993">
      <c r="A9993" s="6"/>
      <c r="C9993" s="6"/>
      <c r="L9993" s="7"/>
      <c r="M9993" s="5"/>
      <c r="N9993" s="5"/>
      <c r="O9993" s="5"/>
    </row>
    <row r="9994">
      <c r="A9994" s="6"/>
      <c r="C9994" s="6"/>
      <c r="L9994" s="7"/>
      <c r="M9994" s="5"/>
      <c r="N9994" s="5"/>
      <c r="O9994" s="5"/>
    </row>
    <row r="9995">
      <c r="A9995" s="6"/>
      <c r="C9995" s="6"/>
      <c r="L9995" s="7"/>
      <c r="M9995" s="5"/>
      <c r="N9995" s="5"/>
      <c r="O9995" s="5"/>
    </row>
    <row r="9996">
      <c r="A9996" s="6"/>
      <c r="C9996" s="6"/>
      <c r="L9996" s="7"/>
      <c r="M9996" s="5"/>
      <c r="N9996" s="5"/>
      <c r="O9996" s="5"/>
    </row>
    <row r="9997">
      <c r="A9997" s="6"/>
      <c r="C9997" s="6"/>
      <c r="L9997" s="7"/>
      <c r="M9997" s="5"/>
      <c r="N9997" s="5"/>
      <c r="O9997" s="5"/>
    </row>
    <row r="9998">
      <c r="A9998" s="6"/>
      <c r="C9998" s="6"/>
      <c r="L9998" s="7"/>
      <c r="M9998" s="5"/>
      <c r="N9998" s="5"/>
      <c r="O9998" s="5"/>
    </row>
    <row r="9999">
      <c r="A9999" s="6"/>
      <c r="C9999" s="6"/>
      <c r="L9999" s="7"/>
      <c r="M9999" s="5"/>
      <c r="N9999" s="5"/>
      <c r="O9999" s="5"/>
    </row>
    <row r="10000">
      <c r="A10000" s="6"/>
      <c r="C10000" s="6"/>
      <c r="L10000" s="7"/>
      <c r="M10000" s="5"/>
      <c r="N10000" s="5"/>
      <c r="O10000" s="5"/>
    </row>
    <row r="10001">
      <c r="A10001" s="6"/>
      <c r="C10001" s="6"/>
      <c r="L10001" s="7"/>
      <c r="M10001" s="5"/>
      <c r="N10001" s="5"/>
      <c r="O10001" s="5"/>
    </row>
    <row r="10002">
      <c r="A10002" s="6"/>
      <c r="C10002" s="6"/>
      <c r="L10002" s="7"/>
      <c r="M10002" s="5"/>
      <c r="N10002" s="5"/>
      <c r="O10002" s="5"/>
    </row>
    <row r="10003">
      <c r="A10003" s="6"/>
      <c r="C10003" s="6"/>
      <c r="L10003" s="7"/>
      <c r="M10003" s="5"/>
      <c r="N10003" s="5"/>
      <c r="O10003" s="5"/>
    </row>
    <row r="10004">
      <c r="A10004" s="6"/>
      <c r="C10004" s="6"/>
      <c r="L10004" s="7"/>
      <c r="M10004" s="5"/>
      <c r="N10004" s="5"/>
      <c r="O10004" s="5"/>
    </row>
    <row r="10005">
      <c r="A10005" s="6"/>
      <c r="C10005" s="6"/>
      <c r="L10005" s="7"/>
      <c r="M10005" s="5"/>
      <c r="N10005" s="5"/>
      <c r="O10005" s="5"/>
    </row>
    <row r="10006">
      <c r="A10006" s="6"/>
      <c r="C10006" s="6"/>
      <c r="L10006" s="7"/>
      <c r="M10006" s="5"/>
      <c r="N10006" s="5"/>
      <c r="O10006" s="5"/>
    </row>
    <row r="10007">
      <c r="A10007" s="6"/>
      <c r="C10007" s="6"/>
      <c r="L10007" s="7"/>
      <c r="M10007" s="5"/>
      <c r="N10007" s="5"/>
      <c r="O10007" s="5"/>
    </row>
    <row r="10008">
      <c r="A10008" s="6"/>
      <c r="C10008" s="6"/>
      <c r="L10008" s="7"/>
      <c r="M10008" s="5"/>
      <c r="N10008" s="5"/>
      <c r="O10008" s="5"/>
    </row>
    <row r="10009">
      <c r="A10009" s="6"/>
      <c r="C10009" s="6"/>
      <c r="L10009" s="7"/>
      <c r="M10009" s="5"/>
      <c r="N10009" s="5"/>
      <c r="O10009" s="5"/>
    </row>
    <row r="10010">
      <c r="A10010" s="6"/>
      <c r="C10010" s="6"/>
      <c r="L10010" s="7"/>
      <c r="M10010" s="5"/>
      <c r="N10010" s="5"/>
      <c r="O10010" s="5"/>
    </row>
    <row r="10011">
      <c r="A10011" s="6"/>
      <c r="C10011" s="6"/>
      <c r="L10011" s="7"/>
      <c r="M10011" s="5"/>
      <c r="N10011" s="5"/>
      <c r="O10011" s="5"/>
    </row>
    <row r="10012">
      <c r="A10012" s="6"/>
      <c r="C10012" s="6"/>
      <c r="L10012" s="7"/>
      <c r="M10012" s="5"/>
      <c r="N10012" s="5"/>
      <c r="O10012" s="5"/>
    </row>
    <row r="10013">
      <c r="A10013" s="6"/>
      <c r="C10013" s="6"/>
      <c r="L10013" s="7"/>
      <c r="M10013" s="5"/>
      <c r="N10013" s="5"/>
      <c r="O10013" s="5"/>
    </row>
    <row r="10014">
      <c r="A10014" s="6"/>
      <c r="C10014" s="6"/>
      <c r="L10014" s="7"/>
      <c r="M10014" s="5"/>
      <c r="N10014" s="5"/>
      <c r="O10014" s="5"/>
    </row>
    <row r="10015">
      <c r="A10015" s="6"/>
      <c r="C10015" s="6"/>
      <c r="L10015" s="7"/>
      <c r="M10015" s="5"/>
      <c r="N10015" s="5"/>
      <c r="O10015" s="5"/>
    </row>
    <row r="10016">
      <c r="A10016" s="6"/>
      <c r="C10016" s="6"/>
      <c r="L10016" s="7"/>
      <c r="M10016" s="5"/>
      <c r="N10016" s="5"/>
      <c r="O10016" s="5"/>
    </row>
    <row r="10017">
      <c r="A10017" s="6"/>
      <c r="C10017" s="6"/>
      <c r="L10017" s="7"/>
      <c r="M10017" s="5"/>
      <c r="N10017" s="5"/>
      <c r="O10017" s="5"/>
    </row>
    <row r="10018">
      <c r="A10018" s="6"/>
      <c r="C10018" s="6"/>
      <c r="L10018" s="7"/>
      <c r="M10018" s="5"/>
      <c r="N10018" s="5"/>
      <c r="O10018" s="5"/>
    </row>
    <row r="10019">
      <c r="A10019" s="6"/>
      <c r="C10019" s="6"/>
      <c r="L10019" s="7"/>
      <c r="M10019" s="5"/>
      <c r="N10019" s="5"/>
      <c r="O10019" s="5"/>
    </row>
    <row r="10020">
      <c r="A10020" s="6"/>
      <c r="C10020" s="6"/>
      <c r="L10020" s="7"/>
      <c r="M10020" s="5"/>
      <c r="N10020" s="5"/>
      <c r="O10020" s="5"/>
    </row>
    <row r="10021">
      <c r="A10021" s="6"/>
      <c r="C10021" s="6"/>
      <c r="L10021" s="7"/>
      <c r="M10021" s="5"/>
      <c r="N10021" s="5"/>
      <c r="O10021" s="5"/>
    </row>
    <row r="10022">
      <c r="A10022" s="6"/>
      <c r="C10022" s="6"/>
      <c r="L10022" s="7"/>
      <c r="M10022" s="5"/>
      <c r="N10022" s="5"/>
      <c r="O10022" s="5"/>
    </row>
    <row r="10023">
      <c r="A10023" s="6"/>
      <c r="C10023" s="6"/>
      <c r="L10023" s="7"/>
      <c r="M10023" s="5"/>
      <c r="N10023" s="5"/>
      <c r="O10023" s="5"/>
    </row>
    <row r="10024">
      <c r="A10024" s="6"/>
      <c r="C10024" s="6"/>
      <c r="L10024" s="7"/>
      <c r="M10024" s="5"/>
      <c r="N10024" s="5"/>
      <c r="O10024" s="5"/>
    </row>
    <row r="10025">
      <c r="A10025" s="6"/>
      <c r="C10025" s="6"/>
      <c r="L10025" s="7"/>
      <c r="M10025" s="5"/>
      <c r="N10025" s="5"/>
      <c r="O10025" s="5"/>
    </row>
    <row r="10026">
      <c r="A10026" s="6"/>
      <c r="C10026" s="6"/>
      <c r="L10026" s="7"/>
      <c r="M10026" s="5"/>
      <c r="N10026" s="5"/>
      <c r="O10026" s="5"/>
    </row>
    <row r="10027">
      <c r="A10027" s="6"/>
      <c r="C10027" s="6"/>
      <c r="L10027" s="7"/>
      <c r="M10027" s="5"/>
      <c r="N10027" s="5"/>
      <c r="O10027" s="5"/>
    </row>
    <row r="10028">
      <c r="A10028" s="6"/>
      <c r="C10028" s="6"/>
      <c r="L10028" s="7"/>
      <c r="M10028" s="5"/>
      <c r="N10028" s="5"/>
      <c r="O10028" s="5"/>
    </row>
    <row r="10029">
      <c r="A10029" s="6"/>
      <c r="C10029" s="6"/>
      <c r="L10029" s="7"/>
      <c r="M10029" s="5"/>
      <c r="N10029" s="5"/>
      <c r="O10029" s="5"/>
    </row>
    <row r="10030">
      <c r="A10030" s="6"/>
      <c r="C10030" s="6"/>
      <c r="L10030" s="7"/>
      <c r="M10030" s="5"/>
      <c r="N10030" s="5"/>
      <c r="O10030" s="5"/>
    </row>
    <row r="10031">
      <c r="A10031" s="6"/>
      <c r="C10031" s="6"/>
      <c r="L10031" s="7"/>
      <c r="M10031" s="5"/>
      <c r="N10031" s="5"/>
      <c r="O10031" s="5"/>
    </row>
    <row r="10032">
      <c r="A10032" s="6"/>
      <c r="C10032" s="6"/>
      <c r="L10032" s="7"/>
      <c r="M10032" s="5"/>
      <c r="N10032" s="5"/>
      <c r="O10032" s="5"/>
    </row>
    <row r="10033">
      <c r="A10033" s="6"/>
      <c r="C10033" s="6"/>
      <c r="L10033" s="7"/>
      <c r="M10033" s="5"/>
      <c r="N10033" s="5"/>
      <c r="O10033" s="5"/>
    </row>
    <row r="10034">
      <c r="A10034" s="6"/>
      <c r="C10034" s="6"/>
      <c r="L10034" s="7"/>
      <c r="M10034" s="5"/>
      <c r="N10034" s="5"/>
      <c r="O10034" s="5"/>
    </row>
    <row r="10035">
      <c r="A10035" s="6"/>
      <c r="C10035" s="6"/>
      <c r="L10035" s="7"/>
      <c r="M10035" s="5"/>
      <c r="N10035" s="5"/>
      <c r="O10035" s="5"/>
    </row>
    <row r="10036">
      <c r="A10036" s="6"/>
      <c r="C10036" s="6"/>
      <c r="L10036" s="7"/>
      <c r="M10036" s="5"/>
      <c r="N10036" s="5"/>
      <c r="O10036" s="5"/>
    </row>
    <row r="10037">
      <c r="A10037" s="6"/>
      <c r="C10037" s="6"/>
      <c r="L10037" s="7"/>
      <c r="M10037" s="5"/>
      <c r="N10037" s="5"/>
      <c r="O10037" s="5"/>
    </row>
    <row r="10038">
      <c r="A10038" s="6"/>
      <c r="C10038" s="6"/>
      <c r="L10038" s="7"/>
      <c r="M10038" s="5"/>
      <c r="N10038" s="5"/>
      <c r="O10038" s="5"/>
    </row>
    <row r="10039">
      <c r="A10039" s="6"/>
      <c r="C10039" s="6"/>
      <c r="L10039" s="7"/>
      <c r="M10039" s="5"/>
      <c r="N10039" s="5"/>
      <c r="O10039" s="5"/>
    </row>
    <row r="10040">
      <c r="A10040" s="6"/>
      <c r="C10040" s="6"/>
      <c r="L10040" s="7"/>
      <c r="M10040" s="5"/>
      <c r="N10040" s="5"/>
      <c r="O10040" s="5"/>
    </row>
    <row r="10041">
      <c r="A10041" s="6"/>
      <c r="C10041" s="6"/>
      <c r="L10041" s="7"/>
      <c r="M10041" s="5"/>
      <c r="N10041" s="5"/>
      <c r="O10041" s="5"/>
    </row>
    <row r="10042">
      <c r="A10042" s="6"/>
      <c r="C10042" s="6"/>
      <c r="L10042" s="7"/>
      <c r="M10042" s="5"/>
      <c r="N10042" s="5"/>
      <c r="O10042" s="5"/>
    </row>
    <row r="10043">
      <c r="A10043" s="6"/>
      <c r="C10043" s="6"/>
      <c r="L10043" s="7"/>
      <c r="M10043" s="5"/>
      <c r="N10043" s="5"/>
      <c r="O10043" s="5"/>
    </row>
    <row r="10044">
      <c r="A10044" s="6"/>
      <c r="C10044" s="6"/>
      <c r="L10044" s="7"/>
      <c r="M10044" s="5"/>
      <c r="N10044" s="5"/>
      <c r="O10044" s="5"/>
    </row>
    <row r="10045">
      <c r="A10045" s="6"/>
      <c r="C10045" s="6"/>
      <c r="L10045" s="7"/>
      <c r="M10045" s="5"/>
      <c r="N10045" s="5"/>
      <c r="O10045" s="5"/>
    </row>
    <row r="10046">
      <c r="A10046" s="6"/>
      <c r="C10046" s="6"/>
      <c r="L10046" s="7"/>
      <c r="M10046" s="5"/>
      <c r="N10046" s="5"/>
      <c r="O10046" s="5"/>
    </row>
    <row r="10047">
      <c r="A10047" s="6"/>
      <c r="C10047" s="6"/>
      <c r="L10047" s="7"/>
      <c r="M10047" s="5"/>
      <c r="N10047" s="5"/>
      <c r="O10047" s="5"/>
    </row>
    <row r="10048">
      <c r="A10048" s="6"/>
      <c r="C10048" s="6"/>
      <c r="L10048" s="7"/>
      <c r="M10048" s="5"/>
      <c r="N10048" s="5"/>
      <c r="O10048" s="5"/>
    </row>
    <row r="10049">
      <c r="A10049" s="6"/>
      <c r="C10049" s="6"/>
      <c r="L10049" s="7"/>
      <c r="M10049" s="5"/>
      <c r="N10049" s="5"/>
      <c r="O10049" s="5"/>
    </row>
    <row r="10050">
      <c r="A10050" s="6"/>
      <c r="C10050" s="6"/>
      <c r="L10050" s="7"/>
      <c r="M10050" s="5"/>
      <c r="N10050" s="5"/>
      <c r="O10050" s="5"/>
    </row>
    <row r="10051">
      <c r="A10051" s="6"/>
      <c r="C10051" s="6"/>
      <c r="L10051" s="7"/>
      <c r="M10051" s="5"/>
      <c r="N10051" s="5"/>
      <c r="O10051" s="5"/>
    </row>
    <row r="10052">
      <c r="A10052" s="6"/>
      <c r="C10052" s="6"/>
      <c r="L10052" s="7"/>
      <c r="M10052" s="5"/>
      <c r="N10052" s="5"/>
      <c r="O10052" s="5"/>
    </row>
    <row r="10053">
      <c r="A10053" s="6"/>
      <c r="C10053" s="6"/>
      <c r="L10053" s="7"/>
      <c r="M10053" s="5"/>
      <c r="N10053" s="5"/>
      <c r="O10053" s="5"/>
    </row>
    <row r="10054">
      <c r="A10054" s="6"/>
      <c r="C10054" s="6"/>
      <c r="L10054" s="7"/>
      <c r="M10054" s="5"/>
      <c r="N10054" s="5"/>
      <c r="O10054" s="5"/>
    </row>
    <row r="10055">
      <c r="A10055" s="6"/>
      <c r="C10055" s="6"/>
      <c r="L10055" s="7"/>
      <c r="M10055" s="5"/>
      <c r="N10055" s="5"/>
      <c r="O10055" s="5"/>
    </row>
    <row r="10056">
      <c r="A10056" s="6"/>
      <c r="C10056" s="6"/>
      <c r="L10056" s="7"/>
      <c r="M10056" s="5"/>
      <c r="N10056" s="5"/>
      <c r="O10056" s="5"/>
    </row>
    <row r="10057">
      <c r="A10057" s="6"/>
      <c r="C10057" s="6"/>
      <c r="L10057" s="7"/>
      <c r="M10057" s="5"/>
      <c r="N10057" s="5"/>
      <c r="O10057" s="5"/>
    </row>
    <row r="10058">
      <c r="A10058" s="6"/>
      <c r="C10058" s="6"/>
      <c r="L10058" s="7"/>
      <c r="M10058" s="5"/>
      <c r="N10058" s="5"/>
      <c r="O10058" s="5"/>
    </row>
    <row r="10059">
      <c r="A10059" s="6"/>
      <c r="C10059" s="6"/>
      <c r="L10059" s="7"/>
      <c r="M10059" s="5"/>
      <c r="N10059" s="5"/>
      <c r="O10059" s="5"/>
    </row>
    <row r="10060">
      <c r="A10060" s="6"/>
      <c r="C10060" s="6"/>
      <c r="L10060" s="7"/>
      <c r="M10060" s="5"/>
      <c r="N10060" s="5"/>
      <c r="O10060" s="5"/>
    </row>
    <row r="10061">
      <c r="A10061" s="6"/>
      <c r="C10061" s="6"/>
      <c r="L10061" s="7"/>
      <c r="M10061" s="5"/>
      <c r="N10061" s="5"/>
      <c r="O10061" s="5"/>
    </row>
    <row r="10062">
      <c r="A10062" s="6"/>
      <c r="C10062" s="6"/>
      <c r="L10062" s="7"/>
      <c r="M10062" s="5"/>
      <c r="N10062" s="5"/>
      <c r="O10062" s="5"/>
    </row>
    <row r="10063">
      <c r="A10063" s="6"/>
      <c r="C10063" s="6"/>
      <c r="L10063" s="7"/>
      <c r="M10063" s="5"/>
      <c r="N10063" s="5"/>
      <c r="O10063" s="5"/>
    </row>
    <row r="10064">
      <c r="A10064" s="6"/>
      <c r="C10064" s="6"/>
      <c r="L10064" s="7"/>
      <c r="M10064" s="5"/>
      <c r="N10064" s="5"/>
      <c r="O10064" s="5"/>
    </row>
    <row r="10065">
      <c r="A10065" s="6"/>
      <c r="C10065" s="6"/>
      <c r="L10065" s="7"/>
      <c r="M10065" s="5"/>
      <c r="N10065" s="5"/>
      <c r="O10065" s="5"/>
    </row>
    <row r="10066">
      <c r="A10066" s="6"/>
      <c r="C10066" s="6"/>
      <c r="L10066" s="7"/>
      <c r="M10066" s="5"/>
      <c r="N10066" s="5"/>
      <c r="O10066" s="5"/>
    </row>
    <row r="10067">
      <c r="A10067" s="6"/>
      <c r="C10067" s="6"/>
      <c r="L10067" s="7"/>
      <c r="M10067" s="5"/>
      <c r="N10067" s="5"/>
      <c r="O10067" s="5"/>
    </row>
    <row r="10068">
      <c r="A10068" s="6"/>
      <c r="C10068" s="6"/>
      <c r="L10068" s="7"/>
      <c r="M10068" s="5"/>
      <c r="N10068" s="5"/>
      <c r="O10068" s="5"/>
    </row>
    <row r="10069">
      <c r="A10069" s="6"/>
      <c r="C10069" s="6"/>
      <c r="L10069" s="7"/>
      <c r="M10069" s="5"/>
      <c r="N10069" s="5"/>
      <c r="O10069" s="5"/>
    </row>
    <row r="10070">
      <c r="A10070" s="6"/>
      <c r="C10070" s="6"/>
      <c r="L10070" s="7"/>
      <c r="M10070" s="5"/>
      <c r="N10070" s="5"/>
      <c r="O10070" s="5"/>
    </row>
    <row r="10071">
      <c r="A10071" s="6"/>
      <c r="C10071" s="6"/>
      <c r="L10071" s="7"/>
      <c r="M10071" s="5"/>
      <c r="N10071" s="5"/>
      <c r="O10071" s="5"/>
    </row>
    <row r="10072">
      <c r="A10072" s="6"/>
      <c r="C10072" s="6"/>
      <c r="L10072" s="7"/>
      <c r="M10072" s="5"/>
      <c r="N10072" s="5"/>
      <c r="O10072" s="5"/>
    </row>
    <row r="10073">
      <c r="A10073" s="6"/>
      <c r="C10073" s="6"/>
      <c r="L10073" s="7"/>
      <c r="M10073" s="5"/>
      <c r="N10073" s="5"/>
      <c r="O10073" s="5"/>
    </row>
    <row r="10074">
      <c r="A10074" s="6"/>
      <c r="C10074" s="6"/>
      <c r="L10074" s="7"/>
      <c r="M10074" s="5"/>
      <c r="N10074" s="5"/>
      <c r="O10074" s="5"/>
    </row>
    <row r="10075">
      <c r="A10075" s="6"/>
      <c r="C10075" s="6"/>
      <c r="L10075" s="7"/>
      <c r="M10075" s="5"/>
      <c r="N10075" s="5"/>
      <c r="O10075" s="5"/>
    </row>
    <row r="10076">
      <c r="A10076" s="6"/>
      <c r="C10076" s="6"/>
      <c r="L10076" s="7"/>
      <c r="M10076" s="5"/>
      <c r="N10076" s="5"/>
      <c r="O10076" s="5"/>
    </row>
    <row r="10077">
      <c r="A10077" s="6"/>
      <c r="C10077" s="6"/>
      <c r="L10077" s="7"/>
      <c r="M10077" s="5"/>
      <c r="N10077" s="5"/>
      <c r="O10077" s="5"/>
    </row>
    <row r="10078">
      <c r="A10078" s="6"/>
      <c r="C10078" s="6"/>
      <c r="L10078" s="7"/>
      <c r="M10078" s="5"/>
      <c r="N10078" s="5"/>
      <c r="O10078" s="5"/>
    </row>
    <row r="10079">
      <c r="A10079" s="6"/>
      <c r="C10079" s="6"/>
      <c r="L10079" s="7"/>
      <c r="M10079" s="5"/>
      <c r="N10079" s="5"/>
      <c r="O10079" s="5"/>
    </row>
    <row r="10080">
      <c r="A10080" s="6"/>
      <c r="C10080" s="6"/>
      <c r="L10080" s="7"/>
      <c r="M10080" s="5"/>
      <c r="N10080" s="5"/>
      <c r="O10080" s="5"/>
    </row>
    <row r="10081">
      <c r="A10081" s="6"/>
      <c r="C10081" s="6"/>
      <c r="L10081" s="7"/>
      <c r="M10081" s="5"/>
      <c r="N10081" s="5"/>
      <c r="O10081" s="5"/>
    </row>
    <row r="10082">
      <c r="A10082" s="6"/>
      <c r="C10082" s="6"/>
      <c r="L10082" s="7"/>
      <c r="M10082" s="5"/>
      <c r="N10082" s="5"/>
      <c r="O10082" s="5"/>
    </row>
    <row r="10083">
      <c r="A10083" s="6"/>
      <c r="C10083" s="6"/>
      <c r="L10083" s="7"/>
      <c r="M10083" s="5"/>
      <c r="N10083" s="5"/>
      <c r="O10083" s="5"/>
    </row>
    <row r="10084">
      <c r="A10084" s="6"/>
      <c r="C10084" s="6"/>
      <c r="L10084" s="7"/>
      <c r="M10084" s="5"/>
      <c r="N10084" s="5"/>
      <c r="O10084" s="5"/>
    </row>
    <row r="10085">
      <c r="A10085" s="6"/>
      <c r="C10085" s="6"/>
      <c r="L10085" s="7"/>
      <c r="M10085" s="5"/>
      <c r="N10085" s="5"/>
      <c r="O10085" s="5"/>
    </row>
    <row r="10086">
      <c r="A10086" s="6"/>
      <c r="C10086" s="6"/>
      <c r="L10086" s="7"/>
      <c r="M10086" s="5"/>
      <c r="N10086" s="5"/>
      <c r="O10086" s="5"/>
    </row>
    <row r="10087">
      <c r="A10087" s="6"/>
      <c r="C10087" s="6"/>
      <c r="L10087" s="7"/>
      <c r="M10087" s="5"/>
      <c r="N10087" s="5"/>
      <c r="O10087" s="5"/>
    </row>
    <row r="10088">
      <c r="A10088" s="6"/>
      <c r="C10088" s="6"/>
      <c r="L10088" s="7"/>
      <c r="M10088" s="5"/>
      <c r="N10088" s="5"/>
      <c r="O10088" s="5"/>
    </row>
    <row r="10089">
      <c r="A10089" s="6"/>
      <c r="C10089" s="6"/>
      <c r="L10089" s="7"/>
      <c r="M10089" s="5"/>
      <c r="N10089" s="5"/>
      <c r="O10089" s="5"/>
    </row>
    <row r="10090">
      <c r="A10090" s="6"/>
      <c r="C10090" s="6"/>
      <c r="L10090" s="7"/>
      <c r="M10090" s="5"/>
      <c r="N10090" s="5"/>
      <c r="O10090" s="5"/>
    </row>
    <row r="10091">
      <c r="A10091" s="6"/>
      <c r="C10091" s="6"/>
      <c r="L10091" s="7"/>
      <c r="M10091" s="5"/>
      <c r="N10091" s="5"/>
      <c r="O10091" s="5"/>
    </row>
    <row r="10092">
      <c r="A10092" s="6"/>
      <c r="C10092" s="6"/>
      <c r="L10092" s="7"/>
      <c r="M10092" s="5"/>
      <c r="N10092" s="5"/>
      <c r="O10092" s="5"/>
    </row>
    <row r="10093">
      <c r="A10093" s="6"/>
      <c r="C10093" s="6"/>
      <c r="L10093" s="7"/>
      <c r="M10093" s="5"/>
      <c r="N10093" s="5"/>
      <c r="O10093" s="5"/>
    </row>
    <row r="10094">
      <c r="A10094" s="6"/>
      <c r="C10094" s="6"/>
      <c r="L10094" s="7"/>
      <c r="M10094" s="5"/>
      <c r="N10094" s="5"/>
      <c r="O10094" s="5"/>
    </row>
    <row r="10095">
      <c r="A10095" s="6"/>
      <c r="C10095" s="6"/>
      <c r="L10095" s="7"/>
      <c r="M10095" s="5"/>
      <c r="N10095" s="5"/>
      <c r="O10095" s="5"/>
    </row>
    <row r="10096">
      <c r="A10096" s="6"/>
      <c r="C10096" s="6"/>
      <c r="L10096" s="7"/>
      <c r="M10096" s="5"/>
      <c r="N10096" s="5"/>
      <c r="O10096" s="5"/>
    </row>
    <row r="10097">
      <c r="A10097" s="6"/>
      <c r="C10097" s="6"/>
      <c r="L10097" s="7"/>
      <c r="M10097" s="5"/>
      <c r="N10097" s="5"/>
      <c r="O10097" s="5"/>
    </row>
    <row r="10098">
      <c r="A10098" s="6"/>
      <c r="C10098" s="6"/>
      <c r="L10098" s="7"/>
      <c r="M10098" s="5"/>
      <c r="N10098" s="5"/>
      <c r="O10098" s="5"/>
    </row>
    <row r="10099">
      <c r="A10099" s="6"/>
      <c r="C10099" s="6"/>
      <c r="L10099" s="7"/>
      <c r="M10099" s="5"/>
      <c r="N10099" s="5"/>
      <c r="O10099" s="5"/>
    </row>
    <row r="10100">
      <c r="A10100" s="6"/>
      <c r="C10100" s="6"/>
      <c r="L10100" s="7"/>
      <c r="M10100" s="5"/>
      <c r="N10100" s="5"/>
      <c r="O10100" s="5"/>
    </row>
    <row r="10101">
      <c r="A10101" s="6"/>
      <c r="C10101" s="6"/>
      <c r="L10101" s="7"/>
      <c r="M10101" s="5"/>
      <c r="N10101" s="5"/>
      <c r="O10101" s="5"/>
    </row>
    <row r="10102">
      <c r="A10102" s="6"/>
      <c r="C10102" s="6"/>
      <c r="L10102" s="7"/>
      <c r="M10102" s="5"/>
      <c r="N10102" s="5"/>
      <c r="O10102" s="5"/>
    </row>
    <row r="10103">
      <c r="A10103" s="6"/>
      <c r="C10103" s="6"/>
      <c r="L10103" s="7"/>
      <c r="M10103" s="5"/>
      <c r="N10103" s="5"/>
      <c r="O10103" s="5"/>
    </row>
    <row r="10104">
      <c r="A10104" s="6"/>
      <c r="C10104" s="6"/>
      <c r="L10104" s="7"/>
      <c r="M10104" s="5"/>
      <c r="N10104" s="5"/>
      <c r="O10104" s="5"/>
    </row>
    <row r="10105">
      <c r="A10105" s="6"/>
      <c r="C10105" s="6"/>
      <c r="L10105" s="7"/>
      <c r="M10105" s="5"/>
      <c r="N10105" s="5"/>
      <c r="O10105" s="5"/>
    </row>
    <row r="10106">
      <c r="A10106" s="6"/>
      <c r="C10106" s="6"/>
      <c r="L10106" s="7"/>
      <c r="M10106" s="5"/>
      <c r="N10106" s="5"/>
      <c r="O10106" s="5"/>
    </row>
    <row r="10107">
      <c r="A10107" s="6"/>
      <c r="C10107" s="6"/>
      <c r="L10107" s="7"/>
      <c r="M10107" s="5"/>
      <c r="N10107" s="5"/>
      <c r="O10107" s="5"/>
    </row>
    <row r="10108">
      <c r="A10108" s="6"/>
      <c r="C10108" s="6"/>
      <c r="L10108" s="7"/>
      <c r="M10108" s="5"/>
      <c r="N10108" s="5"/>
      <c r="O10108" s="5"/>
    </row>
    <row r="10109">
      <c r="A10109" s="6"/>
      <c r="C10109" s="6"/>
      <c r="L10109" s="7"/>
      <c r="M10109" s="5"/>
      <c r="N10109" s="5"/>
      <c r="O10109" s="5"/>
    </row>
    <row r="10110">
      <c r="A10110" s="6"/>
      <c r="C10110" s="6"/>
      <c r="L10110" s="7"/>
      <c r="M10110" s="5"/>
      <c r="N10110" s="5"/>
      <c r="O10110" s="5"/>
    </row>
    <row r="10111">
      <c r="A10111" s="6"/>
      <c r="C10111" s="6"/>
      <c r="L10111" s="7"/>
      <c r="M10111" s="5"/>
      <c r="N10111" s="5"/>
      <c r="O10111" s="5"/>
    </row>
    <row r="10112">
      <c r="A10112" s="6"/>
      <c r="C10112" s="6"/>
      <c r="L10112" s="7"/>
      <c r="M10112" s="5"/>
      <c r="N10112" s="5"/>
      <c r="O10112" s="5"/>
    </row>
    <row r="10113">
      <c r="A10113" s="6"/>
      <c r="C10113" s="6"/>
      <c r="L10113" s="7"/>
      <c r="M10113" s="5"/>
      <c r="N10113" s="5"/>
      <c r="O10113" s="5"/>
    </row>
    <row r="10114">
      <c r="A10114" s="6"/>
      <c r="C10114" s="6"/>
      <c r="L10114" s="7"/>
      <c r="M10114" s="5"/>
      <c r="N10114" s="5"/>
      <c r="O10114" s="5"/>
    </row>
    <row r="10115">
      <c r="A10115" s="6"/>
      <c r="C10115" s="6"/>
      <c r="L10115" s="7"/>
      <c r="M10115" s="5"/>
      <c r="N10115" s="5"/>
      <c r="O10115" s="5"/>
    </row>
    <row r="10116">
      <c r="A10116" s="6"/>
      <c r="C10116" s="6"/>
      <c r="L10116" s="7"/>
      <c r="M10116" s="5"/>
      <c r="N10116" s="5"/>
      <c r="O10116" s="5"/>
    </row>
    <row r="10117">
      <c r="A10117" s="6"/>
      <c r="C10117" s="6"/>
      <c r="L10117" s="7"/>
      <c r="M10117" s="5"/>
      <c r="N10117" s="5"/>
      <c r="O10117" s="5"/>
    </row>
    <row r="10118">
      <c r="A10118" s="6"/>
      <c r="C10118" s="6"/>
      <c r="L10118" s="7"/>
      <c r="M10118" s="5"/>
      <c r="N10118" s="5"/>
      <c r="O10118" s="5"/>
    </row>
    <row r="10119">
      <c r="A10119" s="6"/>
      <c r="C10119" s="6"/>
      <c r="L10119" s="7"/>
      <c r="M10119" s="5"/>
      <c r="N10119" s="5"/>
      <c r="O10119" s="5"/>
    </row>
    <row r="10120">
      <c r="A10120" s="6"/>
      <c r="C10120" s="6"/>
      <c r="L10120" s="7"/>
      <c r="M10120" s="5"/>
      <c r="N10120" s="5"/>
      <c r="O10120" s="5"/>
    </row>
    <row r="10121">
      <c r="A10121" s="6"/>
      <c r="C10121" s="6"/>
      <c r="L10121" s="7"/>
      <c r="M10121" s="5"/>
      <c r="N10121" s="5"/>
      <c r="O10121" s="5"/>
    </row>
    <row r="10122">
      <c r="A10122" s="6"/>
      <c r="C10122" s="6"/>
      <c r="L10122" s="7"/>
      <c r="M10122" s="5"/>
      <c r="N10122" s="5"/>
      <c r="O10122" s="5"/>
    </row>
    <row r="10123">
      <c r="A10123" s="6"/>
      <c r="C10123" s="6"/>
      <c r="L10123" s="7"/>
      <c r="M10123" s="5"/>
      <c r="N10123" s="5"/>
      <c r="O10123" s="5"/>
    </row>
    <row r="10124">
      <c r="A10124" s="6"/>
      <c r="C10124" s="6"/>
      <c r="L10124" s="7"/>
      <c r="M10124" s="5"/>
      <c r="N10124" s="5"/>
      <c r="O10124" s="5"/>
    </row>
    <row r="10125">
      <c r="A10125" s="6"/>
      <c r="C10125" s="6"/>
      <c r="L10125" s="7"/>
      <c r="M10125" s="5"/>
      <c r="N10125" s="5"/>
      <c r="O10125" s="5"/>
    </row>
    <row r="10126">
      <c r="A10126" s="6"/>
      <c r="C10126" s="6"/>
      <c r="L10126" s="7"/>
      <c r="M10126" s="5"/>
      <c r="N10126" s="5"/>
      <c r="O10126" s="5"/>
    </row>
    <row r="10127">
      <c r="A10127" s="6"/>
      <c r="C10127" s="6"/>
      <c r="L10127" s="7"/>
      <c r="M10127" s="5"/>
      <c r="N10127" s="5"/>
      <c r="O10127" s="5"/>
    </row>
    <row r="10128">
      <c r="A10128" s="6"/>
      <c r="C10128" s="6"/>
      <c r="L10128" s="7"/>
      <c r="M10128" s="5"/>
      <c r="N10128" s="5"/>
      <c r="O10128" s="5"/>
    </row>
    <row r="10129">
      <c r="A10129" s="6"/>
      <c r="C10129" s="6"/>
      <c r="L10129" s="7"/>
      <c r="M10129" s="5"/>
      <c r="N10129" s="5"/>
      <c r="O10129" s="5"/>
    </row>
    <row r="10130">
      <c r="A10130" s="6"/>
      <c r="C10130" s="6"/>
      <c r="L10130" s="7"/>
      <c r="M10130" s="5"/>
      <c r="N10130" s="5"/>
      <c r="O10130" s="5"/>
    </row>
    <row r="10131">
      <c r="A10131" s="6"/>
      <c r="C10131" s="6"/>
      <c r="L10131" s="7"/>
      <c r="M10131" s="5"/>
      <c r="N10131" s="5"/>
      <c r="O10131" s="5"/>
    </row>
    <row r="10132">
      <c r="A10132" s="6"/>
      <c r="C10132" s="6"/>
      <c r="L10132" s="7"/>
      <c r="M10132" s="5"/>
      <c r="N10132" s="5"/>
      <c r="O10132" s="5"/>
    </row>
    <row r="10133">
      <c r="A10133" s="6"/>
      <c r="C10133" s="6"/>
      <c r="L10133" s="7"/>
      <c r="M10133" s="5"/>
      <c r="N10133" s="5"/>
      <c r="O10133" s="5"/>
    </row>
    <row r="10134">
      <c r="A10134" s="6"/>
      <c r="C10134" s="6"/>
      <c r="L10134" s="7"/>
      <c r="M10134" s="5"/>
      <c r="N10134" s="5"/>
      <c r="O10134" s="5"/>
    </row>
    <row r="10135">
      <c r="A10135" s="6"/>
      <c r="C10135" s="6"/>
      <c r="L10135" s="7"/>
      <c r="M10135" s="5"/>
      <c r="N10135" s="5"/>
      <c r="O10135" s="5"/>
    </row>
    <row r="10136">
      <c r="A10136" s="6"/>
      <c r="C10136" s="6"/>
      <c r="L10136" s="7"/>
      <c r="M10136" s="5"/>
      <c r="N10136" s="5"/>
      <c r="O10136" s="5"/>
    </row>
    <row r="10137">
      <c r="A10137" s="6"/>
      <c r="C10137" s="6"/>
      <c r="L10137" s="7"/>
      <c r="M10137" s="5"/>
      <c r="N10137" s="5"/>
      <c r="O10137" s="5"/>
    </row>
    <row r="10138">
      <c r="A10138" s="6"/>
      <c r="C10138" s="6"/>
      <c r="L10138" s="7"/>
      <c r="M10138" s="5"/>
      <c r="N10138" s="5"/>
      <c r="O10138" s="5"/>
    </row>
    <row r="10139">
      <c r="A10139" s="6"/>
      <c r="C10139" s="6"/>
      <c r="L10139" s="7"/>
      <c r="M10139" s="5"/>
      <c r="N10139" s="5"/>
      <c r="O10139" s="5"/>
    </row>
    <row r="10140">
      <c r="A10140" s="6"/>
      <c r="C10140" s="6"/>
      <c r="L10140" s="7"/>
      <c r="M10140" s="5"/>
      <c r="N10140" s="5"/>
      <c r="O10140" s="5"/>
    </row>
    <row r="10141">
      <c r="A10141" s="6"/>
      <c r="C10141" s="6"/>
      <c r="L10141" s="7"/>
      <c r="M10141" s="5"/>
      <c r="N10141" s="5"/>
      <c r="O10141" s="5"/>
    </row>
    <row r="10142">
      <c r="A10142" s="6"/>
      <c r="C10142" s="6"/>
      <c r="L10142" s="7"/>
      <c r="M10142" s="5"/>
      <c r="N10142" s="5"/>
      <c r="O10142" s="5"/>
    </row>
    <row r="10143">
      <c r="A10143" s="6"/>
      <c r="C10143" s="6"/>
      <c r="L10143" s="7"/>
      <c r="M10143" s="5"/>
      <c r="N10143" s="5"/>
      <c r="O10143" s="5"/>
    </row>
    <row r="10144">
      <c r="A10144" s="6"/>
      <c r="C10144" s="6"/>
      <c r="L10144" s="7"/>
      <c r="M10144" s="5"/>
      <c r="N10144" s="5"/>
      <c r="O10144" s="5"/>
    </row>
    <row r="10145">
      <c r="A10145" s="6"/>
      <c r="C10145" s="6"/>
      <c r="L10145" s="7"/>
      <c r="M10145" s="5"/>
      <c r="N10145" s="5"/>
      <c r="O10145" s="5"/>
    </row>
    <row r="10146">
      <c r="A10146" s="6"/>
      <c r="C10146" s="6"/>
      <c r="L10146" s="7"/>
      <c r="M10146" s="5"/>
      <c r="N10146" s="5"/>
      <c r="O10146" s="5"/>
    </row>
    <row r="10147">
      <c r="A10147" s="6"/>
      <c r="C10147" s="6"/>
      <c r="L10147" s="7"/>
      <c r="M10147" s="5"/>
      <c r="N10147" s="5"/>
      <c r="O10147" s="5"/>
    </row>
    <row r="10148">
      <c r="A10148" s="6"/>
      <c r="C10148" s="6"/>
      <c r="L10148" s="7"/>
      <c r="M10148" s="5"/>
      <c r="N10148" s="5"/>
      <c r="O10148" s="5"/>
    </row>
    <row r="10149">
      <c r="A10149" s="6"/>
      <c r="C10149" s="6"/>
      <c r="L10149" s="7"/>
      <c r="M10149" s="5"/>
      <c r="N10149" s="5"/>
      <c r="O10149" s="5"/>
    </row>
    <row r="10150">
      <c r="A10150" s="6"/>
      <c r="C10150" s="6"/>
      <c r="L10150" s="7"/>
      <c r="M10150" s="5"/>
      <c r="N10150" s="5"/>
      <c r="O10150" s="5"/>
    </row>
    <row r="10151">
      <c r="A10151" s="6"/>
      <c r="C10151" s="6"/>
      <c r="L10151" s="7"/>
      <c r="M10151" s="5"/>
      <c r="N10151" s="5"/>
      <c r="O10151" s="5"/>
    </row>
    <row r="10152">
      <c r="A10152" s="6"/>
      <c r="C10152" s="6"/>
      <c r="L10152" s="7"/>
      <c r="M10152" s="5"/>
      <c r="N10152" s="5"/>
      <c r="O10152" s="5"/>
    </row>
    <row r="10153">
      <c r="A10153" s="6"/>
      <c r="C10153" s="6"/>
      <c r="L10153" s="7"/>
      <c r="M10153" s="5"/>
      <c r="N10153" s="5"/>
      <c r="O10153" s="5"/>
    </row>
    <row r="10154">
      <c r="A10154" s="6"/>
      <c r="C10154" s="6"/>
      <c r="L10154" s="7"/>
      <c r="M10154" s="5"/>
      <c r="N10154" s="5"/>
      <c r="O10154" s="5"/>
    </row>
    <row r="10155">
      <c r="A10155" s="6"/>
      <c r="C10155" s="6"/>
      <c r="L10155" s="7"/>
      <c r="M10155" s="5"/>
      <c r="N10155" s="5"/>
      <c r="O10155" s="5"/>
    </row>
    <row r="10156">
      <c r="A10156" s="6"/>
      <c r="C10156" s="6"/>
      <c r="L10156" s="7"/>
      <c r="M10156" s="5"/>
      <c r="N10156" s="5"/>
      <c r="O10156" s="5"/>
    </row>
    <row r="10157">
      <c r="A10157" s="6"/>
      <c r="C10157" s="6"/>
      <c r="L10157" s="7"/>
      <c r="M10157" s="5"/>
      <c r="N10157" s="5"/>
      <c r="O10157" s="5"/>
    </row>
    <row r="10158">
      <c r="A10158" s="6"/>
      <c r="C10158" s="6"/>
      <c r="L10158" s="7"/>
      <c r="M10158" s="5"/>
      <c r="N10158" s="5"/>
      <c r="O10158" s="5"/>
    </row>
    <row r="10159">
      <c r="A10159" s="6"/>
      <c r="C10159" s="6"/>
      <c r="L10159" s="7"/>
      <c r="M10159" s="5"/>
      <c r="N10159" s="5"/>
      <c r="O10159" s="5"/>
    </row>
    <row r="10160">
      <c r="A10160" s="6"/>
      <c r="C10160" s="6"/>
      <c r="L10160" s="7"/>
      <c r="M10160" s="5"/>
      <c r="N10160" s="5"/>
      <c r="O10160" s="5"/>
    </row>
    <row r="10161">
      <c r="A10161" s="6"/>
      <c r="C10161" s="6"/>
      <c r="L10161" s="7"/>
      <c r="M10161" s="5"/>
      <c r="N10161" s="5"/>
      <c r="O10161" s="5"/>
    </row>
    <row r="10162">
      <c r="A10162" s="6"/>
      <c r="C10162" s="6"/>
      <c r="L10162" s="7"/>
      <c r="M10162" s="5"/>
      <c r="N10162" s="5"/>
      <c r="O10162" s="5"/>
    </row>
    <row r="10163">
      <c r="A10163" s="6"/>
      <c r="C10163" s="6"/>
      <c r="L10163" s="7"/>
      <c r="M10163" s="5"/>
      <c r="N10163" s="5"/>
      <c r="O10163" s="5"/>
    </row>
    <row r="10164">
      <c r="A10164" s="6"/>
      <c r="C10164" s="6"/>
      <c r="L10164" s="7"/>
      <c r="M10164" s="5"/>
      <c r="N10164" s="5"/>
      <c r="O10164" s="5"/>
    </row>
    <row r="10165">
      <c r="A10165" s="6"/>
      <c r="C10165" s="6"/>
      <c r="L10165" s="7"/>
      <c r="M10165" s="5"/>
      <c r="N10165" s="5"/>
      <c r="O10165" s="5"/>
    </row>
    <row r="10166">
      <c r="A10166" s="6"/>
      <c r="C10166" s="6"/>
      <c r="L10166" s="7"/>
      <c r="M10166" s="5"/>
      <c r="N10166" s="5"/>
      <c r="O10166" s="5"/>
    </row>
    <row r="10167">
      <c r="A10167" s="6"/>
      <c r="C10167" s="6"/>
      <c r="L10167" s="7"/>
      <c r="M10167" s="5"/>
      <c r="N10167" s="5"/>
      <c r="O10167" s="5"/>
    </row>
    <row r="10168">
      <c r="A10168" s="6"/>
      <c r="C10168" s="6"/>
      <c r="L10168" s="7"/>
      <c r="M10168" s="5"/>
      <c r="N10168" s="5"/>
      <c r="O10168" s="5"/>
    </row>
    <row r="10169">
      <c r="A10169" s="6"/>
      <c r="C10169" s="6"/>
      <c r="L10169" s="7"/>
      <c r="M10169" s="5"/>
      <c r="N10169" s="5"/>
      <c r="O10169" s="5"/>
    </row>
    <row r="10170">
      <c r="A10170" s="6"/>
      <c r="C10170" s="6"/>
      <c r="L10170" s="7"/>
      <c r="M10170" s="5"/>
      <c r="N10170" s="5"/>
      <c r="O10170" s="5"/>
    </row>
    <row r="10171">
      <c r="A10171" s="6"/>
      <c r="C10171" s="6"/>
      <c r="L10171" s="7"/>
      <c r="M10171" s="5"/>
      <c r="N10171" s="5"/>
      <c r="O10171" s="5"/>
    </row>
    <row r="10172">
      <c r="A10172" s="6"/>
      <c r="C10172" s="6"/>
      <c r="L10172" s="7"/>
      <c r="M10172" s="5"/>
      <c r="N10172" s="5"/>
      <c r="O10172" s="5"/>
    </row>
    <row r="10173">
      <c r="A10173" s="6"/>
      <c r="C10173" s="6"/>
      <c r="L10173" s="7"/>
      <c r="M10173" s="5"/>
      <c r="N10173" s="5"/>
      <c r="O10173" s="5"/>
    </row>
    <row r="10174">
      <c r="A10174" s="6"/>
      <c r="C10174" s="6"/>
      <c r="L10174" s="7"/>
      <c r="M10174" s="5"/>
      <c r="N10174" s="5"/>
      <c r="O10174" s="5"/>
    </row>
    <row r="10175">
      <c r="A10175" s="6"/>
      <c r="C10175" s="6"/>
      <c r="L10175" s="7"/>
      <c r="M10175" s="5"/>
      <c r="N10175" s="5"/>
      <c r="O10175" s="5"/>
    </row>
    <row r="10176">
      <c r="A10176" s="6"/>
      <c r="C10176" s="6"/>
      <c r="L10176" s="7"/>
      <c r="M10176" s="5"/>
      <c r="N10176" s="5"/>
      <c r="O10176" s="5"/>
    </row>
    <row r="10177">
      <c r="A10177" s="6"/>
      <c r="C10177" s="6"/>
      <c r="L10177" s="7"/>
      <c r="M10177" s="5"/>
      <c r="N10177" s="5"/>
      <c r="O10177" s="5"/>
    </row>
    <row r="10178">
      <c r="A10178" s="6"/>
      <c r="C10178" s="6"/>
      <c r="L10178" s="7"/>
      <c r="M10178" s="5"/>
      <c r="N10178" s="5"/>
      <c r="O10178" s="5"/>
    </row>
    <row r="10179">
      <c r="A10179" s="6"/>
      <c r="C10179" s="6"/>
      <c r="L10179" s="7"/>
      <c r="M10179" s="5"/>
      <c r="N10179" s="5"/>
      <c r="O10179" s="5"/>
    </row>
    <row r="10180">
      <c r="A10180" s="6"/>
      <c r="C10180" s="6"/>
      <c r="L10180" s="7"/>
      <c r="M10180" s="5"/>
      <c r="N10180" s="5"/>
      <c r="O10180" s="5"/>
    </row>
    <row r="10181">
      <c r="A10181" s="6"/>
      <c r="C10181" s="6"/>
      <c r="L10181" s="7"/>
      <c r="M10181" s="5"/>
      <c r="N10181" s="5"/>
      <c r="O10181" s="5"/>
    </row>
    <row r="10182">
      <c r="A10182" s="6"/>
      <c r="C10182" s="6"/>
      <c r="L10182" s="7"/>
      <c r="M10182" s="5"/>
      <c r="N10182" s="5"/>
      <c r="O10182" s="5"/>
    </row>
    <row r="10183">
      <c r="A10183" s="6"/>
      <c r="C10183" s="6"/>
      <c r="L10183" s="7"/>
      <c r="M10183" s="5"/>
      <c r="N10183" s="5"/>
      <c r="O10183" s="5"/>
    </row>
    <row r="10184">
      <c r="A10184" s="6"/>
      <c r="C10184" s="6"/>
      <c r="L10184" s="7"/>
      <c r="M10184" s="5"/>
      <c r="N10184" s="5"/>
      <c r="O10184" s="5"/>
    </row>
    <row r="10185">
      <c r="A10185" s="6"/>
      <c r="C10185" s="6"/>
      <c r="L10185" s="7"/>
      <c r="M10185" s="5"/>
      <c r="N10185" s="5"/>
      <c r="O10185" s="5"/>
    </row>
    <row r="10186">
      <c r="A10186" s="6"/>
      <c r="C10186" s="6"/>
      <c r="L10186" s="7"/>
      <c r="M10186" s="5"/>
      <c r="N10186" s="5"/>
      <c r="O10186" s="5"/>
    </row>
    <row r="10187">
      <c r="A10187" s="6"/>
      <c r="C10187" s="6"/>
      <c r="L10187" s="7"/>
      <c r="M10187" s="5"/>
      <c r="N10187" s="5"/>
      <c r="O10187" s="5"/>
    </row>
    <row r="10188">
      <c r="A10188" s="6"/>
      <c r="C10188" s="6"/>
      <c r="L10188" s="7"/>
      <c r="M10188" s="5"/>
      <c r="N10188" s="5"/>
      <c r="O10188" s="5"/>
    </row>
    <row r="10189">
      <c r="A10189" s="6"/>
      <c r="C10189" s="6"/>
      <c r="L10189" s="7"/>
      <c r="M10189" s="5"/>
      <c r="N10189" s="5"/>
      <c r="O10189" s="5"/>
    </row>
    <row r="10190">
      <c r="A10190" s="6"/>
      <c r="C10190" s="6"/>
      <c r="L10190" s="7"/>
      <c r="M10190" s="5"/>
      <c r="N10190" s="5"/>
      <c r="O10190" s="5"/>
    </row>
    <row r="10191">
      <c r="A10191" s="6"/>
      <c r="C10191" s="6"/>
      <c r="L10191" s="7"/>
      <c r="M10191" s="5"/>
      <c r="N10191" s="5"/>
      <c r="O10191" s="5"/>
    </row>
    <row r="10192">
      <c r="A10192" s="6"/>
      <c r="C10192" s="6"/>
      <c r="L10192" s="7"/>
      <c r="M10192" s="5"/>
      <c r="N10192" s="5"/>
      <c r="O10192" s="5"/>
    </row>
    <row r="10193">
      <c r="A10193" s="6"/>
      <c r="C10193" s="6"/>
      <c r="L10193" s="7"/>
      <c r="M10193" s="5"/>
      <c r="N10193" s="5"/>
      <c r="O10193" s="5"/>
    </row>
    <row r="10194">
      <c r="A10194" s="6"/>
      <c r="C10194" s="6"/>
      <c r="L10194" s="7"/>
      <c r="M10194" s="5"/>
      <c r="N10194" s="5"/>
      <c r="O10194" s="5"/>
    </row>
    <row r="10195">
      <c r="A10195" s="6"/>
      <c r="C10195" s="6"/>
      <c r="L10195" s="7"/>
      <c r="M10195" s="5"/>
      <c r="N10195" s="5"/>
      <c r="O10195" s="5"/>
    </row>
    <row r="10196">
      <c r="A10196" s="6"/>
      <c r="C10196" s="6"/>
      <c r="L10196" s="7"/>
      <c r="M10196" s="5"/>
      <c r="N10196" s="5"/>
      <c r="O10196" s="5"/>
    </row>
    <row r="10197">
      <c r="A10197" s="6"/>
      <c r="C10197" s="6"/>
      <c r="L10197" s="7"/>
      <c r="M10197" s="5"/>
      <c r="N10197" s="5"/>
      <c r="O10197" s="5"/>
    </row>
    <row r="10198">
      <c r="A10198" s="6"/>
      <c r="C10198" s="6"/>
      <c r="L10198" s="7"/>
      <c r="M10198" s="5"/>
      <c r="N10198" s="5"/>
      <c r="O10198" s="5"/>
    </row>
    <row r="10199">
      <c r="A10199" s="6"/>
      <c r="C10199" s="6"/>
      <c r="L10199" s="7"/>
      <c r="M10199" s="5"/>
      <c r="N10199" s="5"/>
      <c r="O10199" s="5"/>
    </row>
    <row r="10200">
      <c r="A10200" s="6"/>
      <c r="C10200" s="6"/>
      <c r="L10200" s="7"/>
      <c r="M10200" s="5"/>
      <c r="N10200" s="5"/>
      <c r="O10200" s="5"/>
    </row>
    <row r="10201">
      <c r="A10201" s="6"/>
      <c r="C10201" s="6"/>
      <c r="L10201" s="7"/>
      <c r="M10201" s="5"/>
      <c r="N10201" s="5"/>
      <c r="O10201" s="5"/>
    </row>
    <row r="10202">
      <c r="A10202" s="6"/>
      <c r="C10202" s="6"/>
      <c r="L10202" s="7"/>
      <c r="M10202" s="5"/>
      <c r="N10202" s="5"/>
      <c r="O10202" s="5"/>
    </row>
    <row r="10203">
      <c r="A10203" s="6"/>
      <c r="C10203" s="6"/>
      <c r="L10203" s="7"/>
      <c r="M10203" s="5"/>
      <c r="N10203" s="5"/>
      <c r="O10203" s="5"/>
    </row>
    <row r="10204">
      <c r="A10204" s="6"/>
      <c r="C10204" s="6"/>
      <c r="L10204" s="7"/>
      <c r="M10204" s="5"/>
      <c r="N10204" s="5"/>
      <c r="O10204" s="5"/>
    </row>
    <row r="10205">
      <c r="A10205" s="6"/>
      <c r="C10205" s="6"/>
      <c r="L10205" s="7"/>
      <c r="M10205" s="5"/>
      <c r="N10205" s="5"/>
      <c r="O10205" s="5"/>
    </row>
    <row r="10206">
      <c r="A10206" s="6"/>
      <c r="C10206" s="6"/>
      <c r="L10206" s="7"/>
      <c r="M10206" s="5"/>
      <c r="N10206" s="5"/>
      <c r="O10206" s="5"/>
    </row>
    <row r="10207">
      <c r="A10207" s="6"/>
      <c r="C10207" s="6"/>
      <c r="L10207" s="7"/>
      <c r="M10207" s="5"/>
      <c r="N10207" s="5"/>
      <c r="O10207" s="5"/>
    </row>
    <row r="10208">
      <c r="A10208" s="6"/>
      <c r="C10208" s="6"/>
      <c r="L10208" s="7"/>
      <c r="M10208" s="5"/>
      <c r="N10208" s="5"/>
      <c r="O10208" s="5"/>
    </row>
    <row r="10209">
      <c r="A10209" s="6"/>
      <c r="C10209" s="6"/>
      <c r="L10209" s="7"/>
      <c r="M10209" s="5"/>
      <c r="N10209" s="5"/>
      <c r="O10209" s="5"/>
    </row>
    <row r="10210">
      <c r="A10210" s="6"/>
      <c r="C10210" s="6"/>
      <c r="L10210" s="7"/>
      <c r="M10210" s="5"/>
      <c r="N10210" s="5"/>
      <c r="O10210" s="5"/>
    </row>
    <row r="10211">
      <c r="A10211" s="6"/>
      <c r="C10211" s="6"/>
      <c r="L10211" s="7"/>
      <c r="M10211" s="5"/>
      <c r="N10211" s="5"/>
      <c r="O10211" s="5"/>
    </row>
    <row r="10212">
      <c r="A10212" s="6"/>
      <c r="C10212" s="6"/>
      <c r="L10212" s="7"/>
      <c r="M10212" s="5"/>
      <c r="N10212" s="5"/>
      <c r="O10212" s="5"/>
    </row>
    <row r="10213">
      <c r="A10213" s="6"/>
      <c r="C10213" s="6"/>
      <c r="L10213" s="7"/>
      <c r="M10213" s="5"/>
      <c r="N10213" s="5"/>
      <c r="O10213" s="5"/>
    </row>
    <row r="10214">
      <c r="A10214" s="6"/>
      <c r="C10214" s="6"/>
      <c r="L10214" s="7"/>
      <c r="M10214" s="5"/>
      <c r="N10214" s="5"/>
      <c r="O10214" s="5"/>
    </row>
    <row r="10215">
      <c r="A10215" s="6"/>
      <c r="C10215" s="6"/>
      <c r="L10215" s="7"/>
      <c r="M10215" s="5"/>
      <c r="N10215" s="5"/>
      <c r="O10215" s="5"/>
    </row>
    <row r="10216">
      <c r="A10216" s="6"/>
      <c r="C10216" s="6"/>
      <c r="L10216" s="7"/>
      <c r="M10216" s="5"/>
      <c r="N10216" s="5"/>
      <c r="O10216" s="5"/>
    </row>
    <row r="10217">
      <c r="A10217" s="6"/>
      <c r="C10217" s="6"/>
      <c r="L10217" s="7"/>
      <c r="M10217" s="5"/>
      <c r="N10217" s="5"/>
      <c r="O10217" s="5"/>
    </row>
    <row r="10218">
      <c r="A10218" s="6"/>
      <c r="C10218" s="6"/>
      <c r="L10218" s="7"/>
      <c r="M10218" s="5"/>
      <c r="N10218" s="5"/>
      <c r="O10218" s="5"/>
    </row>
    <row r="10219">
      <c r="A10219" s="6"/>
      <c r="C10219" s="6"/>
      <c r="L10219" s="7"/>
      <c r="M10219" s="5"/>
      <c r="N10219" s="5"/>
      <c r="O10219" s="5"/>
    </row>
    <row r="10220">
      <c r="A10220" s="6"/>
      <c r="C10220" s="6"/>
      <c r="L10220" s="7"/>
      <c r="M10220" s="5"/>
      <c r="N10220" s="5"/>
      <c r="O10220" s="5"/>
    </row>
    <row r="10221">
      <c r="A10221" s="6"/>
      <c r="C10221" s="6"/>
      <c r="L10221" s="7"/>
      <c r="M10221" s="5"/>
      <c r="N10221" s="5"/>
      <c r="O10221" s="5"/>
    </row>
    <row r="10222">
      <c r="A10222" s="6"/>
      <c r="C10222" s="6"/>
      <c r="L10222" s="7"/>
      <c r="M10222" s="5"/>
      <c r="N10222" s="5"/>
      <c r="O10222" s="5"/>
    </row>
    <row r="10223">
      <c r="A10223" s="6"/>
      <c r="C10223" s="6"/>
      <c r="L10223" s="7"/>
      <c r="M10223" s="5"/>
      <c r="N10223" s="5"/>
      <c r="O10223" s="5"/>
    </row>
    <row r="10224">
      <c r="A10224" s="6"/>
      <c r="C10224" s="6"/>
      <c r="L10224" s="7"/>
      <c r="M10224" s="5"/>
      <c r="N10224" s="5"/>
      <c r="O10224" s="5"/>
    </row>
    <row r="10225">
      <c r="A10225" s="6"/>
      <c r="C10225" s="6"/>
      <c r="L10225" s="7"/>
      <c r="M10225" s="5"/>
      <c r="N10225" s="5"/>
      <c r="O10225" s="5"/>
    </row>
    <row r="10226">
      <c r="A10226" s="6"/>
      <c r="C10226" s="6"/>
      <c r="L10226" s="7"/>
      <c r="M10226" s="5"/>
      <c r="N10226" s="5"/>
      <c r="O10226" s="5"/>
    </row>
    <row r="10227">
      <c r="A10227" s="6"/>
      <c r="C10227" s="6"/>
      <c r="L10227" s="7"/>
      <c r="M10227" s="5"/>
      <c r="N10227" s="5"/>
      <c r="O10227" s="5"/>
    </row>
    <row r="10228">
      <c r="A10228" s="6"/>
      <c r="C10228" s="6"/>
      <c r="L10228" s="7"/>
      <c r="M10228" s="5"/>
      <c r="N10228" s="5"/>
      <c r="O10228" s="5"/>
    </row>
    <row r="10229">
      <c r="A10229" s="6"/>
      <c r="C10229" s="6"/>
      <c r="L10229" s="7"/>
      <c r="M10229" s="5"/>
      <c r="N10229" s="5"/>
      <c r="O10229" s="5"/>
    </row>
    <row r="10230">
      <c r="A10230" s="6"/>
      <c r="C10230" s="6"/>
      <c r="L10230" s="7"/>
      <c r="M10230" s="5"/>
      <c r="N10230" s="5"/>
      <c r="O10230" s="5"/>
    </row>
    <row r="10231">
      <c r="A10231" s="6"/>
      <c r="C10231" s="6"/>
      <c r="L10231" s="7"/>
      <c r="M10231" s="5"/>
      <c r="N10231" s="5"/>
      <c r="O10231" s="5"/>
    </row>
    <row r="10232">
      <c r="A10232" s="6"/>
      <c r="C10232" s="6"/>
      <c r="L10232" s="7"/>
      <c r="M10232" s="5"/>
      <c r="N10232" s="5"/>
      <c r="O10232" s="5"/>
    </row>
    <row r="10233">
      <c r="A10233" s="6"/>
      <c r="C10233" s="6"/>
      <c r="L10233" s="7"/>
      <c r="M10233" s="5"/>
      <c r="N10233" s="5"/>
      <c r="O10233" s="5"/>
    </row>
    <row r="10234">
      <c r="A10234" s="6"/>
      <c r="C10234" s="6"/>
      <c r="L10234" s="7"/>
      <c r="M10234" s="5"/>
      <c r="N10234" s="5"/>
      <c r="O10234" s="5"/>
    </row>
    <row r="10235">
      <c r="A10235" s="6"/>
      <c r="C10235" s="6"/>
      <c r="L10235" s="7"/>
      <c r="M10235" s="5"/>
      <c r="N10235" s="5"/>
      <c r="O10235" s="5"/>
    </row>
    <row r="10236">
      <c r="A10236" s="6"/>
      <c r="C10236" s="6"/>
      <c r="L10236" s="7"/>
      <c r="M10236" s="5"/>
      <c r="N10236" s="5"/>
      <c r="O10236" s="5"/>
    </row>
    <row r="10237">
      <c r="A10237" s="6"/>
      <c r="C10237" s="6"/>
      <c r="L10237" s="7"/>
      <c r="M10237" s="5"/>
      <c r="N10237" s="5"/>
      <c r="O10237" s="5"/>
    </row>
    <row r="10238">
      <c r="A10238" s="6"/>
      <c r="C10238" s="6"/>
      <c r="L10238" s="7"/>
      <c r="M10238" s="5"/>
      <c r="N10238" s="5"/>
      <c r="O10238" s="5"/>
    </row>
    <row r="10239">
      <c r="A10239" s="6"/>
      <c r="C10239" s="6"/>
      <c r="L10239" s="7"/>
      <c r="M10239" s="5"/>
      <c r="N10239" s="5"/>
      <c r="O10239" s="5"/>
    </row>
    <row r="10240">
      <c r="A10240" s="6"/>
      <c r="C10240" s="6"/>
      <c r="L10240" s="7"/>
      <c r="M10240" s="5"/>
      <c r="N10240" s="5"/>
      <c r="O10240" s="5"/>
    </row>
    <row r="10241">
      <c r="A10241" s="6"/>
      <c r="C10241" s="6"/>
      <c r="L10241" s="7"/>
      <c r="M10241" s="5"/>
      <c r="N10241" s="5"/>
      <c r="O10241" s="5"/>
    </row>
    <row r="10242">
      <c r="A10242" s="6"/>
      <c r="C10242" s="6"/>
      <c r="L10242" s="7"/>
      <c r="M10242" s="5"/>
      <c r="N10242" s="5"/>
      <c r="O10242" s="5"/>
    </row>
    <row r="10243">
      <c r="A10243" s="6"/>
      <c r="C10243" s="6"/>
      <c r="L10243" s="7"/>
      <c r="M10243" s="5"/>
      <c r="N10243" s="5"/>
      <c r="O10243" s="5"/>
    </row>
    <row r="10244">
      <c r="A10244" s="6"/>
      <c r="C10244" s="6"/>
      <c r="L10244" s="7"/>
      <c r="M10244" s="5"/>
      <c r="N10244" s="5"/>
      <c r="O10244" s="5"/>
    </row>
    <row r="10245">
      <c r="A10245" s="6"/>
      <c r="C10245" s="6"/>
      <c r="L10245" s="7"/>
      <c r="M10245" s="5"/>
      <c r="N10245" s="5"/>
      <c r="O10245" s="5"/>
    </row>
    <row r="10246">
      <c r="A10246" s="6"/>
      <c r="C10246" s="6"/>
      <c r="L10246" s="7"/>
      <c r="M10246" s="5"/>
      <c r="N10246" s="5"/>
      <c r="O10246" s="5"/>
    </row>
    <row r="10247">
      <c r="A10247" s="6"/>
      <c r="C10247" s="6"/>
      <c r="L10247" s="7"/>
      <c r="M10247" s="5"/>
      <c r="N10247" s="5"/>
      <c r="O10247" s="5"/>
    </row>
    <row r="10248">
      <c r="A10248" s="6"/>
      <c r="C10248" s="6"/>
      <c r="L10248" s="7"/>
      <c r="M10248" s="5"/>
      <c r="N10248" s="5"/>
      <c r="O10248" s="5"/>
    </row>
    <row r="10249">
      <c r="A10249" s="6"/>
      <c r="C10249" s="6"/>
      <c r="L10249" s="7"/>
      <c r="M10249" s="5"/>
      <c r="N10249" s="5"/>
      <c r="O10249" s="5"/>
    </row>
    <row r="10250">
      <c r="A10250" s="6"/>
      <c r="C10250" s="6"/>
      <c r="L10250" s="7"/>
      <c r="M10250" s="5"/>
      <c r="N10250" s="5"/>
      <c r="O10250" s="5"/>
    </row>
    <row r="10251">
      <c r="A10251" s="6"/>
      <c r="C10251" s="6"/>
      <c r="L10251" s="7"/>
      <c r="M10251" s="5"/>
      <c r="N10251" s="5"/>
      <c r="O10251" s="5"/>
    </row>
    <row r="10252">
      <c r="A10252" s="6"/>
      <c r="C10252" s="6"/>
      <c r="L10252" s="7"/>
      <c r="M10252" s="5"/>
      <c r="N10252" s="5"/>
      <c r="O10252" s="5"/>
    </row>
    <row r="10253">
      <c r="A10253" s="6"/>
      <c r="C10253" s="6"/>
      <c r="L10253" s="7"/>
      <c r="M10253" s="5"/>
      <c r="N10253" s="5"/>
      <c r="O10253" s="5"/>
    </row>
    <row r="10254">
      <c r="A10254" s="6"/>
      <c r="C10254" s="6"/>
      <c r="L10254" s="7"/>
      <c r="M10254" s="5"/>
      <c r="N10254" s="5"/>
      <c r="O10254" s="5"/>
    </row>
    <row r="10255">
      <c r="A10255" s="6"/>
      <c r="C10255" s="6"/>
      <c r="L10255" s="7"/>
      <c r="M10255" s="5"/>
      <c r="N10255" s="5"/>
      <c r="O10255" s="5"/>
    </row>
    <row r="10256">
      <c r="A10256" s="6"/>
      <c r="C10256" s="6"/>
      <c r="L10256" s="7"/>
      <c r="M10256" s="5"/>
      <c r="N10256" s="5"/>
      <c r="O10256" s="5"/>
    </row>
    <row r="10257">
      <c r="A10257" s="6"/>
      <c r="C10257" s="6"/>
      <c r="L10257" s="7"/>
      <c r="M10257" s="5"/>
      <c r="N10257" s="5"/>
      <c r="O10257" s="5"/>
    </row>
    <row r="10258">
      <c r="A10258" s="6"/>
      <c r="C10258" s="6"/>
      <c r="L10258" s="7"/>
      <c r="M10258" s="5"/>
      <c r="N10258" s="5"/>
      <c r="O10258" s="5"/>
    </row>
    <row r="10259">
      <c r="A10259" s="6"/>
      <c r="C10259" s="6"/>
      <c r="L10259" s="7"/>
      <c r="M10259" s="5"/>
      <c r="N10259" s="5"/>
      <c r="O10259" s="5"/>
    </row>
    <row r="10260">
      <c r="A10260" s="6"/>
      <c r="C10260" s="6"/>
      <c r="L10260" s="7"/>
      <c r="M10260" s="5"/>
      <c r="N10260" s="5"/>
      <c r="O10260" s="5"/>
    </row>
    <row r="10261">
      <c r="A10261" s="6"/>
      <c r="C10261" s="6"/>
      <c r="L10261" s="7"/>
      <c r="M10261" s="5"/>
      <c r="N10261" s="5"/>
      <c r="O10261" s="5"/>
    </row>
    <row r="10262">
      <c r="A10262" s="6"/>
      <c r="C10262" s="6"/>
      <c r="L10262" s="7"/>
      <c r="M10262" s="5"/>
      <c r="N10262" s="5"/>
      <c r="O10262" s="5"/>
    </row>
    <row r="10263">
      <c r="A10263" s="6"/>
      <c r="C10263" s="6"/>
      <c r="L10263" s="7"/>
      <c r="M10263" s="5"/>
      <c r="N10263" s="5"/>
      <c r="O10263" s="5"/>
    </row>
    <row r="10264">
      <c r="A10264" s="6"/>
      <c r="C10264" s="6"/>
      <c r="L10264" s="7"/>
      <c r="M10264" s="5"/>
      <c r="N10264" s="5"/>
      <c r="O10264" s="5"/>
    </row>
    <row r="10265">
      <c r="A10265" s="6"/>
      <c r="C10265" s="6"/>
      <c r="L10265" s="7"/>
      <c r="M10265" s="5"/>
      <c r="N10265" s="5"/>
      <c r="O10265" s="5"/>
    </row>
    <row r="10266">
      <c r="A10266" s="6"/>
      <c r="C10266" s="6"/>
      <c r="L10266" s="7"/>
      <c r="M10266" s="5"/>
      <c r="N10266" s="5"/>
      <c r="O10266" s="5"/>
    </row>
    <row r="10267">
      <c r="A10267" s="6"/>
      <c r="C10267" s="6"/>
      <c r="L10267" s="7"/>
      <c r="M10267" s="5"/>
      <c r="N10267" s="5"/>
      <c r="O10267" s="5"/>
    </row>
    <row r="10268">
      <c r="A10268" s="6"/>
      <c r="C10268" s="6"/>
      <c r="L10268" s="7"/>
      <c r="M10268" s="5"/>
      <c r="N10268" s="5"/>
      <c r="O10268" s="5"/>
    </row>
    <row r="10269">
      <c r="A10269" s="6"/>
      <c r="C10269" s="6"/>
      <c r="L10269" s="7"/>
      <c r="M10269" s="5"/>
      <c r="N10269" s="5"/>
      <c r="O10269" s="5"/>
    </row>
    <row r="10270">
      <c r="A10270" s="6"/>
      <c r="C10270" s="6"/>
      <c r="L10270" s="7"/>
      <c r="M10270" s="5"/>
      <c r="N10270" s="5"/>
      <c r="O10270" s="5"/>
    </row>
    <row r="10271">
      <c r="A10271" s="6"/>
      <c r="C10271" s="6"/>
      <c r="L10271" s="7"/>
      <c r="M10271" s="5"/>
      <c r="N10271" s="5"/>
      <c r="O10271" s="5"/>
    </row>
    <row r="10272">
      <c r="A10272" s="6"/>
      <c r="C10272" s="6"/>
      <c r="L10272" s="7"/>
      <c r="M10272" s="5"/>
      <c r="N10272" s="5"/>
      <c r="O10272" s="5"/>
    </row>
    <row r="10273">
      <c r="A10273" s="6"/>
      <c r="C10273" s="6"/>
      <c r="L10273" s="7"/>
      <c r="M10273" s="5"/>
      <c r="N10273" s="5"/>
      <c r="O10273" s="5"/>
    </row>
    <row r="10274">
      <c r="A10274" s="6"/>
      <c r="C10274" s="6"/>
      <c r="L10274" s="7"/>
      <c r="M10274" s="5"/>
      <c r="N10274" s="5"/>
      <c r="O10274" s="5"/>
    </row>
    <row r="10275">
      <c r="A10275" s="6"/>
      <c r="C10275" s="6"/>
      <c r="L10275" s="7"/>
      <c r="M10275" s="5"/>
      <c r="N10275" s="5"/>
      <c r="O10275" s="5"/>
    </row>
    <row r="10276">
      <c r="A10276" s="6"/>
      <c r="C10276" s="6"/>
      <c r="L10276" s="7"/>
      <c r="M10276" s="5"/>
      <c r="N10276" s="5"/>
      <c r="O10276" s="5"/>
    </row>
    <row r="10277">
      <c r="A10277" s="6"/>
      <c r="C10277" s="6"/>
      <c r="L10277" s="7"/>
      <c r="M10277" s="5"/>
      <c r="N10277" s="5"/>
      <c r="O10277" s="5"/>
    </row>
    <row r="10278">
      <c r="A10278" s="6"/>
      <c r="C10278" s="6"/>
      <c r="L10278" s="7"/>
      <c r="M10278" s="5"/>
      <c r="N10278" s="5"/>
      <c r="O10278" s="5"/>
    </row>
    <row r="10279">
      <c r="A10279" s="6"/>
      <c r="C10279" s="6"/>
      <c r="L10279" s="7"/>
      <c r="M10279" s="5"/>
      <c r="N10279" s="5"/>
      <c r="O10279" s="5"/>
    </row>
    <row r="10280">
      <c r="A10280" s="6"/>
      <c r="C10280" s="6"/>
      <c r="L10280" s="7"/>
      <c r="M10280" s="5"/>
      <c r="N10280" s="5"/>
      <c r="O10280" s="5"/>
    </row>
    <row r="10281">
      <c r="A10281" s="6"/>
      <c r="C10281" s="6"/>
      <c r="L10281" s="7"/>
      <c r="M10281" s="5"/>
      <c r="N10281" s="5"/>
      <c r="O10281" s="5"/>
    </row>
    <row r="10282">
      <c r="A10282" s="6"/>
      <c r="C10282" s="6"/>
      <c r="L10282" s="7"/>
      <c r="M10282" s="5"/>
      <c r="N10282" s="5"/>
      <c r="O10282" s="5"/>
    </row>
    <row r="10283">
      <c r="A10283" s="6"/>
      <c r="C10283" s="6"/>
      <c r="L10283" s="7"/>
      <c r="M10283" s="5"/>
      <c r="N10283" s="5"/>
      <c r="O10283" s="5"/>
    </row>
    <row r="10284">
      <c r="A10284" s="6"/>
      <c r="C10284" s="6"/>
      <c r="L10284" s="7"/>
      <c r="M10284" s="5"/>
      <c r="N10284" s="5"/>
      <c r="O10284" s="5"/>
    </row>
    <row r="10285">
      <c r="A10285" s="6"/>
      <c r="C10285" s="6"/>
      <c r="L10285" s="7"/>
      <c r="M10285" s="5"/>
      <c r="N10285" s="5"/>
      <c r="O10285" s="5"/>
    </row>
    <row r="10286">
      <c r="A10286" s="6"/>
      <c r="C10286" s="6"/>
      <c r="L10286" s="7"/>
      <c r="M10286" s="5"/>
      <c r="N10286" s="5"/>
      <c r="O1028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0.38"/>
    <col customWidth="1" min="3" max="3" width="13.5"/>
    <col customWidth="1" min="4" max="4" width="20.63"/>
    <col customWidth="1" min="5" max="5" width="21.5"/>
    <col customWidth="1" min="6" max="6" width="9.75"/>
    <col customWidth="1" min="7" max="7" width="10.38"/>
  </cols>
  <sheetData>
    <row r="1">
      <c r="A1" s="8" t="s">
        <v>586</v>
      </c>
      <c r="B1" s="9" t="s">
        <v>2</v>
      </c>
      <c r="C1" s="10"/>
      <c r="D1" s="10" t="s">
        <v>587</v>
      </c>
      <c r="E1" s="11" t="s">
        <v>588</v>
      </c>
      <c r="F1" s="11" t="s">
        <v>589</v>
      </c>
      <c r="G1" s="11" t="s">
        <v>590</v>
      </c>
    </row>
    <row r="2">
      <c r="A2" s="12" t="s">
        <v>591</v>
      </c>
      <c r="B2" s="13" t="s">
        <v>39</v>
      </c>
      <c r="C2" s="5" t="str">
        <f t="shared" ref="C2:C45" si="1">B2 &amp; " hockey rink"</f>
        <v>Amery hockey rink</v>
      </c>
      <c r="D2" s="1" t="s">
        <v>592</v>
      </c>
      <c r="E2" s="1" t="s">
        <v>593</v>
      </c>
      <c r="F2" s="4">
        <v>45.2942612</v>
      </c>
      <c r="G2" s="4">
        <v>-92.3634148</v>
      </c>
    </row>
    <row r="3">
      <c r="A3" s="12" t="s">
        <v>594</v>
      </c>
      <c r="B3" s="13" t="s">
        <v>22</v>
      </c>
      <c r="C3" s="5" t="str">
        <f t="shared" si="1"/>
        <v>Middleton hockey rink</v>
      </c>
      <c r="D3" s="1" t="s">
        <v>595</v>
      </c>
      <c r="E3" s="1" t="s">
        <v>596</v>
      </c>
      <c r="F3" s="4">
        <v>43.1046752</v>
      </c>
      <c r="G3" s="4">
        <v>-89.5368239</v>
      </c>
    </row>
    <row r="4">
      <c r="A4" s="12" t="s">
        <v>597</v>
      </c>
      <c r="B4" s="13" t="s">
        <v>150</v>
      </c>
      <c r="C4" s="5" t="str">
        <f t="shared" si="1"/>
        <v>Chequamegon/Phillips/Butternut hockey rink</v>
      </c>
      <c r="D4" s="1" t="s">
        <v>598</v>
      </c>
      <c r="E4" s="1" t="s">
        <v>599</v>
      </c>
      <c r="F4" s="1">
        <v>45.9347</v>
      </c>
      <c r="G4" s="1">
        <v>-90.4413</v>
      </c>
    </row>
    <row r="5">
      <c r="A5" s="12" t="s">
        <v>600</v>
      </c>
      <c r="B5" s="13" t="s">
        <v>66</v>
      </c>
      <c r="C5" s="5" t="str">
        <f t="shared" si="1"/>
        <v>Chippewa Falls hockey rink</v>
      </c>
      <c r="D5" s="1" t="s">
        <v>601</v>
      </c>
      <c r="E5" s="1" t="s">
        <v>602</v>
      </c>
      <c r="F5" s="4">
        <v>44.9505729</v>
      </c>
      <c r="G5" s="4">
        <v>-91.38658040000001</v>
      </c>
    </row>
    <row r="6">
      <c r="A6" s="12" t="s">
        <v>603</v>
      </c>
      <c r="B6" s="13" t="s">
        <v>90</v>
      </c>
      <c r="C6" s="5" t="str">
        <f t="shared" si="1"/>
        <v>Bay Port hockey rink</v>
      </c>
      <c r="D6" s="1" t="s">
        <v>604</v>
      </c>
      <c r="E6" s="1" t="s">
        <v>605</v>
      </c>
      <c r="F6" s="1">
        <v>44.4610932</v>
      </c>
      <c r="G6" s="1">
        <v>-88.1256306</v>
      </c>
    </row>
    <row r="7">
      <c r="A7" s="12" t="s">
        <v>603</v>
      </c>
      <c r="B7" s="13" t="s">
        <v>113</v>
      </c>
      <c r="C7" s="5" t="str">
        <f t="shared" si="1"/>
        <v>Ashwaubenon hockey rink</v>
      </c>
      <c r="D7" s="1" t="s">
        <v>604</v>
      </c>
      <c r="E7" s="1" t="s">
        <v>606</v>
      </c>
      <c r="F7" s="4">
        <v>44.4610932</v>
      </c>
      <c r="G7" s="4">
        <v>-88.1256306</v>
      </c>
    </row>
    <row r="8">
      <c r="A8" s="12" t="s">
        <v>603</v>
      </c>
      <c r="B8" s="13" t="s">
        <v>43</v>
      </c>
      <c r="C8" s="5" t="str">
        <f t="shared" si="1"/>
        <v>Notre Dame hockey rink</v>
      </c>
      <c r="D8" s="1" t="s">
        <v>604</v>
      </c>
      <c r="E8" s="1" t="s">
        <v>607</v>
      </c>
      <c r="F8" s="1">
        <v>44.4610932</v>
      </c>
      <c r="G8" s="1">
        <v>-88.1256306</v>
      </c>
    </row>
    <row r="9">
      <c r="A9" s="12" t="s">
        <v>608</v>
      </c>
      <c r="B9" s="13" t="s">
        <v>88</v>
      </c>
      <c r="C9" s="5" t="str">
        <f t="shared" si="1"/>
        <v>De Pere hockey rink</v>
      </c>
      <c r="D9" s="1" t="s">
        <v>609</v>
      </c>
      <c r="E9" s="1" t="s">
        <v>610</v>
      </c>
      <c r="F9" s="4">
        <v>44.4597083</v>
      </c>
      <c r="G9" s="4">
        <v>-88.0719451</v>
      </c>
    </row>
    <row r="10">
      <c r="A10" s="12" t="s">
        <v>611</v>
      </c>
      <c r="B10" s="13" t="s">
        <v>138</v>
      </c>
      <c r="C10" s="5" t="str">
        <f t="shared" si="1"/>
        <v>Menomonie hockey rink</v>
      </c>
      <c r="D10" s="1" t="s">
        <v>612</v>
      </c>
      <c r="E10" s="1" t="s">
        <v>613</v>
      </c>
      <c r="F10" s="4">
        <v>44.8781668</v>
      </c>
      <c r="G10" s="4">
        <v>-91.9080905</v>
      </c>
    </row>
    <row r="11">
      <c r="A11" s="12" t="s">
        <v>614</v>
      </c>
      <c r="B11" s="13" t="s">
        <v>79</v>
      </c>
      <c r="C11" s="5" t="str">
        <f t="shared" si="1"/>
        <v>Northland Pines hockey rink</v>
      </c>
      <c r="D11" s="1" t="s">
        <v>615</v>
      </c>
      <c r="E11" s="1" t="s">
        <v>616</v>
      </c>
      <c r="F11" s="1">
        <v>45.9152</v>
      </c>
      <c r="G11" s="1">
        <v>-89.2449</v>
      </c>
    </row>
    <row r="12">
      <c r="A12" s="12" t="s">
        <v>617</v>
      </c>
      <c r="B12" s="13" t="s">
        <v>504</v>
      </c>
      <c r="C12" s="5" t="str">
        <f t="shared" si="1"/>
        <v>Catholic Memorial/Pius XI hockey rink</v>
      </c>
      <c r="D12" s="1" t="s">
        <v>618</v>
      </c>
      <c r="E12" s="1" t="s">
        <v>619</v>
      </c>
      <c r="F12" s="1">
        <v>43.037441</v>
      </c>
      <c r="G12" s="1">
        <v>-88.1537518</v>
      </c>
    </row>
    <row r="13">
      <c r="A13" s="12" t="s">
        <v>617</v>
      </c>
      <c r="B13" s="13" t="s">
        <v>98</v>
      </c>
      <c r="C13" s="5" t="str">
        <f t="shared" si="1"/>
        <v>Marquette hockey rink</v>
      </c>
      <c r="D13" s="1" t="s">
        <v>618</v>
      </c>
      <c r="E13" s="1" t="s">
        <v>619</v>
      </c>
      <c r="F13" s="1">
        <v>43.037441</v>
      </c>
      <c r="G13" s="1">
        <v>-88.1537518</v>
      </c>
    </row>
    <row r="14">
      <c r="A14" s="12" t="s">
        <v>617</v>
      </c>
      <c r="B14" s="13" t="s">
        <v>96</v>
      </c>
      <c r="C14" s="5" t="str">
        <f t="shared" si="1"/>
        <v>Waukesha hockey rink</v>
      </c>
      <c r="D14" s="1" t="s">
        <v>618</v>
      </c>
      <c r="E14" s="1" t="s">
        <v>620</v>
      </c>
      <c r="F14" s="4">
        <v>43.037441</v>
      </c>
      <c r="G14" s="4">
        <v>-88.1537518</v>
      </c>
    </row>
    <row r="15">
      <c r="A15" s="12" t="s">
        <v>621</v>
      </c>
      <c r="B15" s="13" t="s">
        <v>398</v>
      </c>
      <c r="C15" s="5" t="str">
        <f t="shared" si="1"/>
        <v>Green Bay United hockey rink</v>
      </c>
      <c r="D15" s="1" t="s">
        <v>622</v>
      </c>
      <c r="E15" s="1" t="s">
        <v>623</v>
      </c>
      <c r="F15" s="4">
        <v>44.4610932</v>
      </c>
      <c r="G15" s="4">
        <v>-88.1256306</v>
      </c>
    </row>
    <row r="16">
      <c r="A16" s="12" t="s">
        <v>624</v>
      </c>
      <c r="B16" s="13" t="s">
        <v>71</v>
      </c>
      <c r="C16" s="5" t="str">
        <f t="shared" si="1"/>
        <v>D.C. Everest hockey rink</v>
      </c>
      <c r="D16" s="1" t="s">
        <v>625</v>
      </c>
      <c r="E16" s="1" t="s">
        <v>626</v>
      </c>
      <c r="F16" s="4">
        <v>44.8981919</v>
      </c>
      <c r="G16" s="4">
        <v>-89.5946764</v>
      </c>
    </row>
    <row r="17">
      <c r="A17" s="12" t="s">
        <v>627</v>
      </c>
      <c r="B17" s="13" t="s">
        <v>64</v>
      </c>
      <c r="C17" s="5" t="str">
        <f t="shared" si="1"/>
        <v>Antigo hockey rink</v>
      </c>
      <c r="D17" s="1" t="s">
        <v>628</v>
      </c>
      <c r="E17" s="1" t="s">
        <v>629</v>
      </c>
      <c r="F17" s="4">
        <v>45.1538946</v>
      </c>
      <c r="G17" s="4">
        <v>-89.1453148</v>
      </c>
    </row>
    <row r="18">
      <c r="A18" s="12" t="s">
        <v>630</v>
      </c>
      <c r="B18" s="13" t="s">
        <v>83</v>
      </c>
      <c r="C18" s="5" t="str">
        <f t="shared" si="1"/>
        <v>Hayward hockey rink</v>
      </c>
      <c r="D18" s="1" t="s">
        <v>631</v>
      </c>
      <c r="E18" s="1" t="s">
        <v>632</v>
      </c>
      <c r="F18" s="1">
        <v>46.0139</v>
      </c>
      <c r="G18" s="1">
        <v>-91.4846</v>
      </c>
    </row>
    <row r="19">
      <c r="A19" s="12" t="s">
        <v>633</v>
      </c>
      <c r="B19" s="13" t="s">
        <v>416</v>
      </c>
      <c r="C19" s="5" t="str">
        <f t="shared" si="1"/>
        <v>Altoona hockey rink</v>
      </c>
      <c r="D19" s="1" t="s">
        <v>634</v>
      </c>
      <c r="E19" s="1" t="s">
        <v>635</v>
      </c>
      <c r="F19" s="1">
        <v>44.8005808</v>
      </c>
      <c r="G19" s="1">
        <v>-91.5192843</v>
      </c>
    </row>
    <row r="20">
      <c r="A20" s="12" t="s">
        <v>633</v>
      </c>
      <c r="B20" s="13" t="s">
        <v>85</v>
      </c>
      <c r="C20" s="5" t="str">
        <f t="shared" si="1"/>
        <v>Regis/Altoona/McDonell hockey rink</v>
      </c>
      <c r="D20" s="1" t="s">
        <v>634</v>
      </c>
      <c r="E20" s="1" t="s">
        <v>635</v>
      </c>
      <c r="F20" s="1">
        <v>44.80058</v>
      </c>
      <c r="G20" s="1">
        <v>-91.51928</v>
      </c>
    </row>
    <row r="21">
      <c r="A21" s="12" t="s">
        <v>633</v>
      </c>
      <c r="B21" s="13" t="s">
        <v>25</v>
      </c>
      <c r="C21" s="5" t="str">
        <f t="shared" si="1"/>
        <v>Eau Claire Memorial hockey rink</v>
      </c>
      <c r="D21" s="1" t="s">
        <v>634</v>
      </c>
      <c r="E21" s="1" t="s">
        <v>636</v>
      </c>
      <c r="F21" s="4">
        <v>44.8005808</v>
      </c>
      <c r="G21" s="4">
        <v>-91.5192843</v>
      </c>
    </row>
    <row r="22">
      <c r="A22" s="12" t="s">
        <v>633</v>
      </c>
      <c r="B22" s="13" t="s">
        <v>134</v>
      </c>
      <c r="C22" s="5" t="str">
        <f t="shared" si="1"/>
        <v>Eau Claire North hockey rink</v>
      </c>
      <c r="D22" s="1" t="s">
        <v>634</v>
      </c>
      <c r="E22" s="1" t="s">
        <v>636</v>
      </c>
      <c r="F22" s="4">
        <v>44.8005808</v>
      </c>
      <c r="G22" s="4">
        <v>-91.5192843</v>
      </c>
    </row>
    <row r="23">
      <c r="A23" s="12" t="s">
        <v>637</v>
      </c>
      <c r="B23" s="13" t="s">
        <v>36</v>
      </c>
      <c r="C23" s="5" t="str">
        <f t="shared" si="1"/>
        <v>Arrowhead hockey rink</v>
      </c>
      <c r="D23" s="1" t="s">
        <v>638</v>
      </c>
      <c r="E23" s="1" t="s">
        <v>639</v>
      </c>
      <c r="F23" s="1">
        <v>43.1039</v>
      </c>
      <c r="G23" s="1">
        <v>-88.3534</v>
      </c>
    </row>
    <row r="24">
      <c r="A24" s="12" t="s">
        <v>637</v>
      </c>
      <c r="B24" s="12" t="s">
        <v>640</v>
      </c>
      <c r="C24" s="5" t="str">
        <f t="shared" si="1"/>
        <v>St. John's Military Academy hockey rink</v>
      </c>
      <c r="D24" s="1" t="s">
        <v>638</v>
      </c>
      <c r="E24" s="1" t="s">
        <v>639</v>
      </c>
      <c r="F24" s="1">
        <v>43.1039</v>
      </c>
      <c r="G24" s="1">
        <v>-88.3534</v>
      </c>
    </row>
    <row r="25">
      <c r="A25" s="12" t="s">
        <v>641</v>
      </c>
      <c r="B25" s="13" t="s">
        <v>20</v>
      </c>
      <c r="C25" s="5" t="str">
        <f t="shared" si="1"/>
        <v>Hudson hockey rink</v>
      </c>
      <c r="D25" s="1" t="s">
        <v>642</v>
      </c>
      <c r="E25" s="1" t="s">
        <v>643</v>
      </c>
      <c r="F25" s="4">
        <v>44.9520488</v>
      </c>
      <c r="G25" s="4">
        <v>-92.73272229999999</v>
      </c>
    </row>
    <row r="26">
      <c r="A26" s="12" t="s">
        <v>644</v>
      </c>
      <c r="B26" s="13" t="s">
        <v>110</v>
      </c>
      <c r="C26" s="5" t="str">
        <f t="shared" si="1"/>
        <v>Stevens Point Pacelli hockey rink</v>
      </c>
      <c r="D26" s="1" t="s">
        <v>645</v>
      </c>
      <c r="E26" s="1" t="s">
        <v>646</v>
      </c>
      <c r="F26" s="4">
        <v>44.52768589999999</v>
      </c>
      <c r="G26" s="4">
        <v>-89.4971529</v>
      </c>
    </row>
    <row r="27">
      <c r="A27" s="12" t="s">
        <v>647</v>
      </c>
      <c r="B27" s="13" t="s">
        <v>106</v>
      </c>
      <c r="C27" s="5" t="str">
        <f t="shared" si="1"/>
        <v>Janesville hockey rink</v>
      </c>
      <c r="D27" s="1" t="s">
        <v>648</v>
      </c>
      <c r="E27" s="1" t="s">
        <v>649</v>
      </c>
      <c r="F27" s="4">
        <v>42.671887</v>
      </c>
      <c r="G27" s="4">
        <v>-89.0099058</v>
      </c>
    </row>
    <row r="28">
      <c r="A28" s="12" t="s">
        <v>650</v>
      </c>
      <c r="B28" s="13" t="s">
        <v>27</v>
      </c>
      <c r="C28" s="5" t="str">
        <f t="shared" si="1"/>
        <v>Stevens Point hockey rink</v>
      </c>
      <c r="D28" s="1" t="s">
        <v>651</v>
      </c>
      <c r="E28" s="1" t="s">
        <v>652</v>
      </c>
      <c r="F28" s="4">
        <v>44.5263606</v>
      </c>
      <c r="G28" s="4">
        <v>-89.5607318</v>
      </c>
    </row>
    <row r="29">
      <c r="A29" s="12" t="s">
        <v>653</v>
      </c>
      <c r="B29" s="13" t="s">
        <v>103</v>
      </c>
      <c r="C29" s="5" t="str">
        <f t="shared" si="1"/>
        <v>Kenosha hockey rink</v>
      </c>
      <c r="D29" s="1" t="s">
        <v>654</v>
      </c>
      <c r="E29" s="1" t="s">
        <v>655</v>
      </c>
      <c r="F29" s="4">
        <v>42.5630239</v>
      </c>
      <c r="G29" s="4">
        <v>-87.879267</v>
      </c>
    </row>
    <row r="30">
      <c r="A30" s="12" t="s">
        <v>656</v>
      </c>
      <c r="B30" s="13" t="s">
        <v>56</v>
      </c>
      <c r="C30" s="5" t="str">
        <f t="shared" si="1"/>
        <v>West Bend hockey rink</v>
      </c>
      <c r="D30" s="1" t="s">
        <v>657</v>
      </c>
      <c r="E30" s="1" t="s">
        <v>658</v>
      </c>
      <c r="F30" s="4">
        <v>43.3908626</v>
      </c>
      <c r="G30" s="4">
        <v>-88.1823819</v>
      </c>
    </row>
    <row r="31">
      <c r="A31" s="12" t="s">
        <v>659</v>
      </c>
      <c r="B31" s="13" t="s">
        <v>368</v>
      </c>
      <c r="C31" s="5" t="str">
        <f t="shared" si="1"/>
        <v>La Crosse Logan/Central hockey rink</v>
      </c>
      <c r="D31" s="1" t="s">
        <v>660</v>
      </c>
      <c r="E31" s="1" t="s">
        <v>661</v>
      </c>
      <c r="F31" s="4">
        <v>43.8160705</v>
      </c>
      <c r="G31" s="4">
        <v>-91.3088302</v>
      </c>
    </row>
    <row r="32">
      <c r="A32" s="12" t="s">
        <v>662</v>
      </c>
      <c r="B32" s="13" t="s">
        <v>121</v>
      </c>
      <c r="C32" s="5" t="str">
        <f t="shared" si="1"/>
        <v>Appleton United hockey rink</v>
      </c>
      <c r="D32" s="1" t="s">
        <v>663</v>
      </c>
      <c r="E32" s="1" t="s">
        <v>664</v>
      </c>
      <c r="F32" s="4">
        <v>44.2898477</v>
      </c>
      <c r="G32" s="4">
        <v>-88.37838579999999</v>
      </c>
    </row>
    <row r="33">
      <c r="A33" s="12" t="s">
        <v>665</v>
      </c>
      <c r="B33" s="13" t="s">
        <v>584</v>
      </c>
      <c r="C33" s="5" t="str">
        <f t="shared" si="1"/>
        <v>LaCrescent hockey rink</v>
      </c>
      <c r="D33" s="1" t="s">
        <v>660</v>
      </c>
      <c r="E33" s="1" t="s">
        <v>661</v>
      </c>
      <c r="F33" s="4">
        <v>43.8160705</v>
      </c>
      <c r="G33" s="4">
        <v>-91.3088302</v>
      </c>
    </row>
    <row r="34">
      <c r="A34" s="12" t="s">
        <v>666</v>
      </c>
      <c r="B34" s="13" t="s">
        <v>37</v>
      </c>
      <c r="C34" s="5" t="str">
        <f t="shared" si="1"/>
        <v>Monona Grove hockey rink</v>
      </c>
      <c r="D34" s="1" t="s">
        <v>667</v>
      </c>
      <c r="E34" s="1" t="s">
        <v>668</v>
      </c>
      <c r="F34" s="4">
        <v>43.04821680000001</v>
      </c>
      <c r="G34" s="4">
        <v>-89.33686709999999</v>
      </c>
    </row>
    <row r="35">
      <c r="A35" s="12" t="s">
        <v>669</v>
      </c>
      <c r="B35" s="13" t="s">
        <v>75</v>
      </c>
      <c r="C35" s="5" t="str">
        <f t="shared" si="1"/>
        <v>Lakeland hockey rink</v>
      </c>
      <c r="D35" s="1" t="s">
        <v>670</v>
      </c>
      <c r="E35" s="1" t="s">
        <v>671</v>
      </c>
      <c r="F35" s="1">
        <v>45.8697</v>
      </c>
      <c r="G35" s="1">
        <v>-89.7133</v>
      </c>
    </row>
    <row r="36">
      <c r="A36" s="12" t="s">
        <v>672</v>
      </c>
      <c r="B36" s="13" t="s">
        <v>233</v>
      </c>
      <c r="C36" s="5" t="str">
        <f t="shared" si="1"/>
        <v>Madison La Follette/East hockey rink</v>
      </c>
      <c r="D36" s="1" t="s">
        <v>673</v>
      </c>
      <c r="E36" s="1" t="s">
        <v>674</v>
      </c>
      <c r="F36" s="1">
        <v>43.048415</v>
      </c>
      <c r="G36" s="1">
        <v>-89.4864918</v>
      </c>
    </row>
    <row r="37">
      <c r="A37" s="12" t="s">
        <v>672</v>
      </c>
      <c r="B37" s="13" t="s">
        <v>18</v>
      </c>
      <c r="C37" s="5" t="str">
        <f t="shared" si="1"/>
        <v>Madison Edgewood hockey rink</v>
      </c>
      <c r="D37" s="1" t="s">
        <v>673</v>
      </c>
      <c r="E37" s="1" t="s">
        <v>675</v>
      </c>
      <c r="F37" s="4">
        <v>43.048415</v>
      </c>
      <c r="G37" s="4">
        <v>-89.4864918</v>
      </c>
    </row>
    <row r="38">
      <c r="A38" s="12" t="s">
        <v>672</v>
      </c>
      <c r="B38" s="13" t="s">
        <v>94</v>
      </c>
      <c r="C38" s="5" t="str">
        <f t="shared" si="1"/>
        <v>Madison Memorial hockey rink</v>
      </c>
      <c r="D38" s="1" t="s">
        <v>673</v>
      </c>
      <c r="E38" s="1" t="s">
        <v>675</v>
      </c>
      <c r="F38" s="4">
        <v>43.048415</v>
      </c>
      <c r="G38" s="4">
        <v>-89.4864918</v>
      </c>
    </row>
    <row r="39">
      <c r="A39" s="12" t="s">
        <v>672</v>
      </c>
      <c r="B39" s="13" t="s">
        <v>86</v>
      </c>
      <c r="C39" s="5" t="str">
        <f t="shared" si="1"/>
        <v>Madison West hockey rink</v>
      </c>
      <c r="D39" s="1" t="s">
        <v>673</v>
      </c>
      <c r="E39" s="1" t="s">
        <v>675</v>
      </c>
      <c r="F39" s="4">
        <v>43.048415</v>
      </c>
      <c r="G39" s="4">
        <v>-89.4864918</v>
      </c>
    </row>
    <row r="40">
      <c r="A40" s="12" t="s">
        <v>676</v>
      </c>
      <c r="B40" s="13" t="s">
        <v>161</v>
      </c>
      <c r="C40" s="5" t="str">
        <f t="shared" si="1"/>
        <v>Stoughton hockey rink</v>
      </c>
      <c r="D40" s="1" t="s">
        <v>677</v>
      </c>
      <c r="E40" s="1" t="s">
        <v>678</v>
      </c>
      <c r="F40" s="4">
        <v>42.9110848</v>
      </c>
      <c r="G40" s="4">
        <v>-89.2163779</v>
      </c>
    </row>
    <row r="41">
      <c r="A41" s="12" t="s">
        <v>679</v>
      </c>
      <c r="B41" s="13" t="s">
        <v>154</v>
      </c>
      <c r="C41" s="5" t="str">
        <f t="shared" si="1"/>
        <v>Manitowoc hockey rink</v>
      </c>
      <c r="D41" s="1" t="s">
        <v>680</v>
      </c>
      <c r="E41" s="1" t="s">
        <v>681</v>
      </c>
      <c r="F41" s="4">
        <v>44.0778509</v>
      </c>
      <c r="G41" s="4">
        <v>-87.7150027</v>
      </c>
    </row>
    <row r="42">
      <c r="A42" s="12" t="s">
        <v>682</v>
      </c>
      <c r="B42" s="13" t="s">
        <v>413</v>
      </c>
      <c r="C42" s="5" t="str">
        <f t="shared" si="1"/>
        <v>Wausau East hockey rink</v>
      </c>
      <c r="D42" s="1" t="s">
        <v>683</v>
      </c>
      <c r="E42" s="1" t="s">
        <v>684</v>
      </c>
      <c r="F42" s="4">
        <v>44.9560307</v>
      </c>
      <c r="G42" s="4">
        <v>-89.6474327</v>
      </c>
    </row>
    <row r="43">
      <c r="A43" s="12" t="s">
        <v>685</v>
      </c>
      <c r="B43" s="13" t="s">
        <v>158</v>
      </c>
      <c r="C43" s="5" t="str">
        <f t="shared" si="1"/>
        <v>Marshfield hockey rink</v>
      </c>
      <c r="D43" s="1" t="s">
        <v>686</v>
      </c>
      <c r="E43" s="1" t="s">
        <v>687</v>
      </c>
      <c r="F43" s="4">
        <v>44.6522104</v>
      </c>
      <c r="G43" s="4">
        <v>-90.17620339999999</v>
      </c>
    </row>
    <row r="44">
      <c r="A44" s="12" t="s">
        <v>688</v>
      </c>
      <c r="B44" s="13" t="s">
        <v>34</v>
      </c>
      <c r="C44" s="5" t="str">
        <f t="shared" si="1"/>
        <v>McFarland hockey rink</v>
      </c>
      <c r="D44" s="1" t="s">
        <v>689</v>
      </c>
      <c r="E44" s="1" t="s">
        <v>690</v>
      </c>
      <c r="F44" s="1">
        <v>43.0119</v>
      </c>
      <c r="G44" s="1">
        <v>-89.2893</v>
      </c>
    </row>
    <row r="45">
      <c r="A45" s="12" t="s">
        <v>691</v>
      </c>
      <c r="B45" s="13" t="s">
        <v>135</v>
      </c>
      <c r="C45" s="5" t="str">
        <f t="shared" si="1"/>
        <v>Medford hockey rink</v>
      </c>
      <c r="D45" s="1" t="s">
        <v>692</v>
      </c>
      <c r="E45" s="1" t="s">
        <v>693</v>
      </c>
      <c r="F45" s="1">
        <v>45.1389</v>
      </c>
      <c r="G45" s="1">
        <v>-90.3402</v>
      </c>
    </row>
    <row r="46">
      <c r="A46" s="12" t="s">
        <v>694</v>
      </c>
      <c r="B46" s="13" t="s">
        <v>418</v>
      </c>
      <c r="D46" s="1" t="s">
        <v>695</v>
      </c>
      <c r="E46" s="1" t="s">
        <v>696</v>
      </c>
      <c r="F46" s="1">
        <v>41.5987</v>
      </c>
      <c r="G46" s="1">
        <v>-87.8748</v>
      </c>
    </row>
    <row r="47">
      <c r="A47" s="12" t="s">
        <v>697</v>
      </c>
      <c r="B47" s="13" t="s">
        <v>108</v>
      </c>
      <c r="C47" s="5" t="str">
        <f t="shared" ref="C47:C102" si="2">B47 &amp; " hockey rink"</f>
        <v>Black River Falls hockey rink</v>
      </c>
      <c r="D47" s="1" t="s">
        <v>698</v>
      </c>
      <c r="E47" s="1" t="s">
        <v>699</v>
      </c>
      <c r="F47" s="4">
        <v>44.2906086</v>
      </c>
      <c r="G47" s="4">
        <v>-90.8592583</v>
      </c>
    </row>
    <row r="48">
      <c r="A48" s="12" t="s">
        <v>700</v>
      </c>
      <c r="B48" s="13" t="s">
        <v>46</v>
      </c>
      <c r="C48" s="5" t="str">
        <f t="shared" si="2"/>
        <v>Mosinee hockey rink</v>
      </c>
      <c r="D48" s="1" t="s">
        <v>701</v>
      </c>
      <c r="E48" s="1" t="s">
        <v>702</v>
      </c>
      <c r="F48" s="4">
        <v>44.7950564</v>
      </c>
      <c r="G48" s="4">
        <v>-89.71372459999999</v>
      </c>
    </row>
    <row r="49">
      <c r="A49" s="12" t="s">
        <v>703</v>
      </c>
      <c r="B49" s="13" t="s">
        <v>54</v>
      </c>
      <c r="C49" s="5" t="str">
        <f t="shared" si="2"/>
        <v>KMMO hockey rink</v>
      </c>
      <c r="D49" s="1" t="s">
        <v>704</v>
      </c>
      <c r="E49" s="1" t="s">
        <v>705</v>
      </c>
      <c r="F49" s="1">
        <v>43.0443</v>
      </c>
      <c r="G49" s="1">
        <v>-88.4332</v>
      </c>
    </row>
    <row r="50">
      <c r="A50" s="12" t="s">
        <v>706</v>
      </c>
      <c r="B50" s="13" t="s">
        <v>16</v>
      </c>
      <c r="C50" s="5" t="str">
        <f t="shared" si="2"/>
        <v>New Richmond hockey rink</v>
      </c>
      <c r="D50" s="1" t="s">
        <v>707</v>
      </c>
      <c r="E50" s="1" t="s">
        <v>708</v>
      </c>
      <c r="F50" s="4">
        <v>45.1191667</v>
      </c>
      <c r="G50" s="4">
        <v>-92.5313889</v>
      </c>
    </row>
    <row r="51">
      <c r="A51" s="12" t="s">
        <v>709</v>
      </c>
      <c r="B51" s="13" t="s">
        <v>130</v>
      </c>
      <c r="C51" s="5" t="str">
        <f t="shared" si="2"/>
        <v>Avalanche hockey rink</v>
      </c>
      <c r="D51" s="1" t="s">
        <v>710</v>
      </c>
      <c r="E51" s="1" t="s">
        <v>711</v>
      </c>
      <c r="F51" s="1">
        <v>43.9079752</v>
      </c>
      <c r="G51" s="1">
        <v>-91.2407932</v>
      </c>
    </row>
    <row r="52">
      <c r="A52" s="12" t="s">
        <v>709</v>
      </c>
      <c r="B52" s="13" t="s">
        <v>131</v>
      </c>
      <c r="C52" s="5" t="str">
        <f t="shared" si="2"/>
        <v>Onalaska/La Crosse hockey rink</v>
      </c>
      <c r="D52" s="1" t="s">
        <v>710</v>
      </c>
      <c r="E52" s="1" t="s">
        <v>712</v>
      </c>
      <c r="F52" s="4">
        <v>43.9079752</v>
      </c>
      <c r="G52" s="4">
        <v>-91.2407932</v>
      </c>
    </row>
    <row r="53">
      <c r="A53" s="12" t="s">
        <v>713</v>
      </c>
      <c r="B53" s="13" t="s">
        <v>50</v>
      </c>
      <c r="C53" s="5" t="str">
        <f t="shared" si="2"/>
        <v>Oregon hockey rink</v>
      </c>
      <c r="D53" s="1" t="s">
        <v>714</v>
      </c>
      <c r="E53" s="1" t="s">
        <v>715</v>
      </c>
      <c r="F53" s="1">
        <v>43.08394</v>
      </c>
      <c r="G53" s="1">
        <v>-89.38576</v>
      </c>
    </row>
    <row r="54">
      <c r="A54" s="12" t="s">
        <v>716</v>
      </c>
      <c r="B54" s="13" t="s">
        <v>159</v>
      </c>
      <c r="C54" s="5" t="str">
        <f t="shared" si="2"/>
        <v>Oshkosh hockey rink</v>
      </c>
      <c r="D54" s="1" t="s">
        <v>717</v>
      </c>
      <c r="E54" s="1" t="s">
        <v>718</v>
      </c>
      <c r="F54" s="4">
        <v>43.99506880000001</v>
      </c>
      <c r="G54" s="4">
        <v>-88.61645399999999</v>
      </c>
    </row>
    <row r="55">
      <c r="A55" s="12" t="s">
        <v>719</v>
      </c>
      <c r="B55" s="13" t="s">
        <v>141</v>
      </c>
      <c r="C55" s="5" t="str">
        <f t="shared" si="2"/>
        <v>Cedarburg hockey rink</v>
      </c>
      <c r="D55" s="1" t="s">
        <v>720</v>
      </c>
      <c r="E55" s="1" t="s">
        <v>721</v>
      </c>
      <c r="F55" s="4">
        <v>43.2788749</v>
      </c>
      <c r="G55" s="4">
        <v>-87.9761515</v>
      </c>
    </row>
    <row r="56">
      <c r="A56" s="12" t="s">
        <v>719</v>
      </c>
      <c r="B56" s="13" t="s">
        <v>421</v>
      </c>
      <c r="C56" s="5" t="str">
        <f t="shared" si="2"/>
        <v>Grafton hockey rink</v>
      </c>
      <c r="D56" s="1" t="s">
        <v>720</v>
      </c>
      <c r="E56" s="1" t="s">
        <v>721</v>
      </c>
      <c r="F56" s="4">
        <v>43.2788749</v>
      </c>
      <c r="G56" s="4">
        <v>-87.9761515</v>
      </c>
    </row>
    <row r="57">
      <c r="A57" s="12" t="s">
        <v>719</v>
      </c>
      <c r="B57" s="13" t="s">
        <v>101</v>
      </c>
      <c r="C57" s="5" t="str">
        <f t="shared" si="2"/>
        <v>Homestead hockey rink</v>
      </c>
      <c r="D57" s="1" t="s">
        <v>720</v>
      </c>
      <c r="E57" s="1" t="s">
        <v>721</v>
      </c>
      <c r="F57" s="4">
        <v>43.2788749</v>
      </c>
      <c r="G57" s="4">
        <v>-87.9761515</v>
      </c>
    </row>
    <row r="58">
      <c r="A58" s="14" t="s">
        <v>722</v>
      </c>
      <c r="B58" s="5" t="s">
        <v>496</v>
      </c>
      <c r="C58" s="5" t="str">
        <f t="shared" si="2"/>
        <v>OldBrook hockey rink</v>
      </c>
      <c r="D58" s="1" t="s">
        <v>723</v>
      </c>
      <c r="E58" s="1" t="s">
        <v>724</v>
      </c>
      <c r="F58" s="1">
        <v>43.070356</v>
      </c>
      <c r="G58" s="1">
        <v>-88.1243982</v>
      </c>
    </row>
    <row r="59">
      <c r="A59" s="12" t="s">
        <v>722</v>
      </c>
      <c r="B59" s="13" t="s">
        <v>31</v>
      </c>
      <c r="C59" s="5" t="str">
        <f t="shared" si="2"/>
        <v>Brookfield hockey rink</v>
      </c>
      <c r="D59" s="1" t="s">
        <v>723</v>
      </c>
      <c r="E59" s="1" t="s">
        <v>724</v>
      </c>
      <c r="F59" s="1">
        <v>43.070356</v>
      </c>
      <c r="G59" s="1">
        <v>-88.1243982</v>
      </c>
    </row>
    <row r="60">
      <c r="A60" s="12" t="s">
        <v>722</v>
      </c>
      <c r="B60" s="13" t="s">
        <v>69</v>
      </c>
      <c r="C60" s="5" t="str">
        <f t="shared" si="2"/>
        <v>Muskego hockey rink</v>
      </c>
      <c r="D60" s="1" t="s">
        <v>723</v>
      </c>
      <c r="E60" s="1" t="s">
        <v>725</v>
      </c>
      <c r="F60" s="4">
        <v>43.070356</v>
      </c>
      <c r="G60" s="4">
        <v>-88.12439820000002</v>
      </c>
    </row>
    <row r="61">
      <c r="A61" s="12" t="s">
        <v>726</v>
      </c>
      <c r="B61" s="13" t="s">
        <v>119</v>
      </c>
      <c r="C61" s="5" t="str">
        <f t="shared" si="2"/>
        <v>South Central hockey rink</v>
      </c>
      <c r="D61" s="1" t="s">
        <v>727</v>
      </c>
      <c r="E61" s="1" t="s">
        <v>728</v>
      </c>
      <c r="F61" s="1">
        <v>43.5807478</v>
      </c>
      <c r="G61" s="1">
        <v>-89.7841356</v>
      </c>
    </row>
    <row r="62">
      <c r="A62" s="12" t="s">
        <v>729</v>
      </c>
      <c r="B62" s="13" t="s">
        <v>114</v>
      </c>
      <c r="C62" s="5" t="str">
        <f t="shared" si="2"/>
        <v>Ashland hockey rink</v>
      </c>
      <c r="D62" s="1" t="s">
        <v>730</v>
      </c>
      <c r="E62" s="1" t="s">
        <v>731</v>
      </c>
      <c r="F62" s="4">
        <v>46.588356</v>
      </c>
      <c r="G62" s="4">
        <v>-90.8855514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2" t="s">
        <v>732</v>
      </c>
      <c r="B63" s="13" t="s">
        <v>122</v>
      </c>
      <c r="C63" s="5" t="str">
        <f t="shared" si="2"/>
        <v>Baraboo/Portage hockey rink</v>
      </c>
      <c r="D63" s="1" t="s">
        <v>727</v>
      </c>
      <c r="E63" s="1" t="s">
        <v>733</v>
      </c>
      <c r="F63" s="4">
        <v>43.5807478</v>
      </c>
      <c r="G63" s="4">
        <v>-89.7841356</v>
      </c>
    </row>
    <row r="64">
      <c r="A64" s="12" t="s">
        <v>734</v>
      </c>
      <c r="B64" s="13" t="s">
        <v>60</v>
      </c>
      <c r="C64" s="5" t="str">
        <f t="shared" si="2"/>
        <v>Reedsburg/Wis. Dells hockey rink</v>
      </c>
      <c r="D64" s="1" t="s">
        <v>735</v>
      </c>
      <c r="E64" s="1" t="s">
        <v>736</v>
      </c>
      <c r="F64" s="4">
        <v>43.545077</v>
      </c>
      <c r="G64" s="4">
        <v>-89.9867596</v>
      </c>
    </row>
    <row r="65">
      <c r="A65" s="12" t="s">
        <v>737</v>
      </c>
      <c r="B65" s="13" t="s">
        <v>156</v>
      </c>
      <c r="C65" s="5" t="str">
        <f t="shared" si="2"/>
        <v>Rhinelander hockey rink</v>
      </c>
      <c r="D65" s="1" t="s">
        <v>738</v>
      </c>
      <c r="E65" s="1" t="s">
        <v>739</v>
      </c>
      <c r="F65" s="4">
        <v>45.6444072</v>
      </c>
      <c r="G65" s="4">
        <v>-89.3808983</v>
      </c>
    </row>
    <row r="66">
      <c r="A66" s="12" t="s">
        <v>740</v>
      </c>
      <c r="B66" s="13" t="s">
        <v>123</v>
      </c>
      <c r="C66" s="5" t="str">
        <f t="shared" si="2"/>
        <v>Rice Lake hockey rink</v>
      </c>
      <c r="D66" s="1" t="s">
        <v>741</v>
      </c>
      <c r="E66" s="1" t="s">
        <v>742</v>
      </c>
      <c r="F66" s="4">
        <v>45.5165336</v>
      </c>
      <c r="G66" s="4">
        <v>-91.7410003</v>
      </c>
    </row>
    <row r="67">
      <c r="A67" s="12" t="s">
        <v>743</v>
      </c>
      <c r="B67" s="13" t="s">
        <v>73</v>
      </c>
      <c r="C67" s="5" t="str">
        <f t="shared" si="2"/>
        <v>Sauk Prairie hockey rink</v>
      </c>
      <c r="D67" s="1" t="s">
        <v>744</v>
      </c>
      <c r="E67" s="1" t="s">
        <v>745</v>
      </c>
      <c r="F67" s="4">
        <v>43.29905919999999</v>
      </c>
      <c r="G67" s="4">
        <v>-89.7396828</v>
      </c>
    </row>
    <row r="68">
      <c r="A68" s="12" t="s">
        <v>746</v>
      </c>
      <c r="B68" s="13" t="s">
        <v>112</v>
      </c>
      <c r="C68" s="5" t="str">
        <f t="shared" si="2"/>
        <v>Shawano/Bonduel hockey rink</v>
      </c>
      <c r="D68" s="1" t="s">
        <v>747</v>
      </c>
      <c r="E68" s="1" t="s">
        <v>748</v>
      </c>
      <c r="F68" s="4">
        <v>44.7790298</v>
      </c>
      <c r="G68" s="4">
        <v>-88.5911331</v>
      </c>
    </row>
    <row r="69">
      <c r="A69" s="12" t="s">
        <v>749</v>
      </c>
      <c r="B69" s="13" t="s">
        <v>128</v>
      </c>
      <c r="C69" s="5" t="str">
        <f t="shared" si="2"/>
        <v>Sheboygan hockey rink</v>
      </c>
      <c r="D69" s="1" t="s">
        <v>750</v>
      </c>
      <c r="E69" s="1" t="s">
        <v>751</v>
      </c>
      <c r="F69" s="4">
        <v>43.74177539999999</v>
      </c>
      <c r="G69" s="4">
        <v>-87.7430618</v>
      </c>
    </row>
    <row r="70">
      <c r="A70" s="12" t="s">
        <v>752</v>
      </c>
      <c r="B70" s="13" t="s">
        <v>77</v>
      </c>
      <c r="C70" s="5" t="str">
        <f t="shared" si="2"/>
        <v>WSFLG hockey rink</v>
      </c>
      <c r="D70" s="1" t="s">
        <v>753</v>
      </c>
      <c r="E70" s="1" t="s">
        <v>754</v>
      </c>
      <c r="F70" s="1">
        <v>45.7836</v>
      </c>
      <c r="G70" s="1">
        <v>-92.3811</v>
      </c>
    </row>
    <row r="71">
      <c r="A71" s="12" t="s">
        <v>755</v>
      </c>
      <c r="B71" s="13" t="s">
        <v>137</v>
      </c>
      <c r="C71" s="5" t="str">
        <f t="shared" si="2"/>
        <v>Milton hockey rink</v>
      </c>
      <c r="D71" s="1" t="s">
        <v>756</v>
      </c>
      <c r="E71" s="1" t="s">
        <v>757</v>
      </c>
      <c r="F71" s="1">
        <v>42.9163</v>
      </c>
      <c r="G71" s="1">
        <v>-89.2173</v>
      </c>
    </row>
    <row r="72">
      <c r="A72" s="12" t="s">
        <v>758</v>
      </c>
      <c r="B72" s="13" t="s">
        <v>48</v>
      </c>
      <c r="C72" s="5" t="str">
        <f t="shared" si="2"/>
        <v>Monroe hockey rink</v>
      </c>
      <c r="D72" s="1" t="s">
        <v>756</v>
      </c>
      <c r="E72" s="1" t="s">
        <v>757</v>
      </c>
      <c r="F72" s="1">
        <v>42.9163</v>
      </c>
      <c r="G72" s="1">
        <v>-89.2173</v>
      </c>
    </row>
    <row r="73">
      <c r="A73" s="12" t="s">
        <v>759</v>
      </c>
      <c r="B73" s="13" t="s">
        <v>152</v>
      </c>
      <c r="C73" s="5" t="str">
        <f t="shared" si="2"/>
        <v>Northwest Icemen hockey rink</v>
      </c>
      <c r="D73" s="1" t="s">
        <v>760</v>
      </c>
      <c r="E73" s="1" t="s">
        <v>761</v>
      </c>
      <c r="F73" s="1">
        <v>45.4089851</v>
      </c>
      <c r="G73" s="1">
        <v>-91.8526611</v>
      </c>
    </row>
    <row r="74">
      <c r="A74" s="12" t="s">
        <v>759</v>
      </c>
      <c r="B74" s="13" t="s">
        <v>481</v>
      </c>
      <c r="C74" s="5" t="str">
        <f t="shared" si="2"/>
        <v>Barron/Chetek hockey rink</v>
      </c>
      <c r="D74" s="1" t="s">
        <v>760</v>
      </c>
      <c r="E74" s="1" t="s">
        <v>762</v>
      </c>
      <c r="F74" s="4">
        <v>45.4089851</v>
      </c>
      <c r="G74" s="4">
        <v>-91.85266109999999</v>
      </c>
    </row>
    <row r="75">
      <c r="A75" s="12" t="s">
        <v>763</v>
      </c>
      <c r="B75" s="13" t="s">
        <v>140</v>
      </c>
      <c r="C75" s="5" t="str">
        <f t="shared" si="2"/>
        <v>East-Merrill hockey rink</v>
      </c>
      <c r="D75" s="1" t="s">
        <v>764</v>
      </c>
      <c r="E75" s="1" t="s">
        <v>765</v>
      </c>
      <c r="F75" s="1">
        <v>45.18</v>
      </c>
      <c r="G75" s="1">
        <v>-89.698</v>
      </c>
    </row>
    <row r="76">
      <c r="A76" s="12" t="s">
        <v>766</v>
      </c>
      <c r="B76" s="13" t="s">
        <v>62</v>
      </c>
      <c r="C76" s="5" t="str">
        <f t="shared" si="2"/>
        <v>Somerset hockey rink</v>
      </c>
      <c r="D76" s="1" t="s">
        <v>767</v>
      </c>
      <c r="E76" s="1" t="s">
        <v>768</v>
      </c>
      <c r="F76" s="4">
        <v>45.1273132</v>
      </c>
      <c r="G76" s="4">
        <v>-92.6828719</v>
      </c>
    </row>
    <row r="77">
      <c r="A77" s="12" t="s">
        <v>769</v>
      </c>
      <c r="B77" s="13" t="s">
        <v>105</v>
      </c>
      <c r="C77" s="5" t="str">
        <f t="shared" si="2"/>
        <v>Wisconsin Rapids hockey rink</v>
      </c>
      <c r="D77" s="1" t="s">
        <v>770</v>
      </c>
      <c r="E77" s="1" t="s">
        <v>771</v>
      </c>
      <c r="F77" s="4">
        <v>44.3702889</v>
      </c>
      <c r="G77" s="4">
        <v>-89.80645969999999</v>
      </c>
    </row>
    <row r="78">
      <c r="A78" s="12" t="s">
        <v>772</v>
      </c>
      <c r="B78" s="13" t="s">
        <v>371</v>
      </c>
      <c r="C78" s="5" t="str">
        <f t="shared" si="2"/>
        <v>Sparta hockey rink</v>
      </c>
      <c r="D78" s="1" t="s">
        <v>773</v>
      </c>
      <c r="E78" s="1" t="s">
        <v>774</v>
      </c>
      <c r="F78" s="4">
        <v>43.9490509</v>
      </c>
      <c r="G78" s="4">
        <v>-90.7939224</v>
      </c>
    </row>
    <row r="79">
      <c r="A79" s="12" t="s">
        <v>772</v>
      </c>
      <c r="B79" s="13" t="s">
        <v>125</v>
      </c>
      <c r="C79" s="5" t="str">
        <f t="shared" si="2"/>
        <v>Tomah/Sparta hockey rink</v>
      </c>
      <c r="D79" s="1" t="s">
        <v>773</v>
      </c>
      <c r="E79" s="1" t="s">
        <v>774</v>
      </c>
      <c r="F79" s="4">
        <v>43.9490509</v>
      </c>
      <c r="G79" s="4">
        <v>-90.7939224</v>
      </c>
    </row>
    <row r="80">
      <c r="A80" s="12" t="s">
        <v>775</v>
      </c>
      <c r="B80" s="13" t="s">
        <v>132</v>
      </c>
      <c r="C80" s="5" t="str">
        <f t="shared" si="2"/>
        <v>Spooner hockey rink</v>
      </c>
      <c r="D80" s="1" t="s">
        <v>776</v>
      </c>
      <c r="E80" s="1" t="s">
        <v>777</v>
      </c>
      <c r="F80" s="1">
        <v>45.822</v>
      </c>
      <c r="G80" s="1">
        <v>-91.889</v>
      </c>
    </row>
    <row r="81">
      <c r="A81" s="12" t="s">
        <v>778</v>
      </c>
      <c r="B81" s="13" t="s">
        <v>58</v>
      </c>
      <c r="C81" s="5" t="str">
        <f t="shared" si="2"/>
        <v>Sun Prairie hockey rink</v>
      </c>
      <c r="D81" s="1" t="s">
        <v>779</v>
      </c>
      <c r="E81" s="1" t="s">
        <v>780</v>
      </c>
      <c r="F81" s="4">
        <v>43.17538709999999</v>
      </c>
      <c r="G81" s="4">
        <v>-89.208549</v>
      </c>
    </row>
    <row r="82">
      <c r="A82" s="12" t="s">
        <v>781</v>
      </c>
      <c r="B82" s="13" t="s">
        <v>142</v>
      </c>
      <c r="C82" s="5" t="str">
        <f t="shared" si="2"/>
        <v>Superior hockey rink</v>
      </c>
      <c r="D82" s="1" t="s">
        <v>782</v>
      </c>
      <c r="E82" s="1" t="s">
        <v>783</v>
      </c>
      <c r="F82" s="1">
        <v>46.6744</v>
      </c>
      <c r="G82" s="1">
        <v>-92.104</v>
      </c>
    </row>
    <row r="83">
      <c r="A83" s="12" t="s">
        <v>784</v>
      </c>
      <c r="B83" s="13" t="s">
        <v>33</v>
      </c>
      <c r="C83" s="5" t="str">
        <f t="shared" si="2"/>
        <v>Waunakee hockey rink</v>
      </c>
      <c r="D83" s="1" t="s">
        <v>785</v>
      </c>
      <c r="E83" s="1" t="s">
        <v>786</v>
      </c>
      <c r="F83" s="4">
        <v>43.1852149</v>
      </c>
      <c r="G83" s="4">
        <v>-89.42308039999999</v>
      </c>
    </row>
    <row r="84">
      <c r="A84" s="12" t="s">
        <v>787</v>
      </c>
      <c r="B84" s="13" t="s">
        <v>377</v>
      </c>
      <c r="C84" s="5" t="str">
        <f t="shared" si="2"/>
        <v>Tomah hockey rink</v>
      </c>
      <c r="D84" s="1" t="s">
        <v>788</v>
      </c>
      <c r="E84" s="1" t="s">
        <v>789</v>
      </c>
      <c r="F84" s="4">
        <v>43.9700686</v>
      </c>
      <c r="G84" s="4">
        <v>-90.51554569999999</v>
      </c>
    </row>
    <row r="85">
      <c r="A85" s="12" t="s">
        <v>790</v>
      </c>
      <c r="B85" s="13" t="s">
        <v>29</v>
      </c>
      <c r="C85" s="5" t="str">
        <f t="shared" si="2"/>
        <v>Tomahawk hockey rink</v>
      </c>
      <c r="D85" s="1" t="s">
        <v>791</v>
      </c>
      <c r="E85" s="1" t="s">
        <v>792</v>
      </c>
      <c r="F85" s="4">
        <v>45.4732125</v>
      </c>
      <c r="G85" s="4">
        <v>-89.7417079</v>
      </c>
    </row>
    <row r="86">
      <c r="A86" s="12" t="s">
        <v>793</v>
      </c>
      <c r="B86" s="13" t="s">
        <v>99</v>
      </c>
      <c r="C86" s="5" t="str">
        <f t="shared" si="2"/>
        <v>Beaver Dam hockey rink</v>
      </c>
      <c r="D86" s="1" t="s">
        <v>794</v>
      </c>
      <c r="E86" s="1" t="s">
        <v>795</v>
      </c>
      <c r="F86" s="4">
        <v>43.4601894</v>
      </c>
      <c r="G86" s="4">
        <v>-88.8179569</v>
      </c>
    </row>
    <row r="87">
      <c r="A87" s="12" t="s">
        <v>796</v>
      </c>
      <c r="B87" s="13" t="s">
        <v>41</v>
      </c>
      <c r="C87" s="5" t="str">
        <f t="shared" si="2"/>
        <v>Neenah/Hortonville/Menasha hockey rink</v>
      </c>
      <c r="D87" s="1" t="s">
        <v>797</v>
      </c>
      <c r="E87" s="1" t="s">
        <v>798</v>
      </c>
      <c r="F87" s="4">
        <v>44.22979429999999</v>
      </c>
      <c r="G87" s="4">
        <v>-88.4721266</v>
      </c>
    </row>
    <row r="88">
      <c r="A88" s="12" t="s">
        <v>796</v>
      </c>
      <c r="B88" s="13" t="s">
        <v>92</v>
      </c>
      <c r="C88" s="5" t="str">
        <f t="shared" si="2"/>
        <v>Fox Cities hockey rink</v>
      </c>
      <c r="D88" s="1" t="s">
        <v>799</v>
      </c>
      <c r="E88" s="1" t="s">
        <v>800</v>
      </c>
      <c r="F88" s="1">
        <v>44.2297943</v>
      </c>
      <c r="G88" s="1">
        <v>-88.4721266</v>
      </c>
    </row>
    <row r="89">
      <c r="A89" s="12" t="s">
        <v>801</v>
      </c>
      <c r="B89" s="13" t="s">
        <v>68</v>
      </c>
      <c r="C89" s="5" t="str">
        <f t="shared" si="2"/>
        <v>Baldwin-Woodville hockey rink</v>
      </c>
      <c r="D89" s="1" t="s">
        <v>802</v>
      </c>
      <c r="E89" s="1" t="s">
        <v>803</v>
      </c>
      <c r="F89" s="4">
        <v>44.9654426</v>
      </c>
      <c r="G89" s="4">
        <v>-92.3658523</v>
      </c>
    </row>
    <row r="90">
      <c r="A90" s="12" t="s">
        <v>804</v>
      </c>
      <c r="B90" s="13" t="s">
        <v>149</v>
      </c>
      <c r="C90" s="5" t="str">
        <f t="shared" si="2"/>
        <v>University School hockey rink</v>
      </c>
      <c r="D90" s="1" t="s">
        <v>805</v>
      </c>
      <c r="E90" s="1" t="s">
        <v>806</v>
      </c>
      <c r="F90" s="1">
        <v>43.1574</v>
      </c>
      <c r="G90" s="1">
        <v>-87.9277</v>
      </c>
    </row>
    <row r="91">
      <c r="A91" s="12" t="s">
        <v>804</v>
      </c>
      <c r="B91" s="13" t="s">
        <v>147</v>
      </c>
      <c r="C91" s="5" t="str">
        <f t="shared" si="2"/>
        <v>Whitefish Bay hockey rink</v>
      </c>
      <c r="D91" s="1" t="s">
        <v>805</v>
      </c>
      <c r="E91" s="1" t="s">
        <v>806</v>
      </c>
      <c r="F91" s="1">
        <v>43.1574</v>
      </c>
      <c r="G91" s="1">
        <v>-87.9277</v>
      </c>
    </row>
    <row r="92">
      <c r="A92" s="12" t="s">
        <v>807</v>
      </c>
      <c r="B92" s="13" t="s">
        <v>24</v>
      </c>
      <c r="C92" s="5" t="str">
        <f t="shared" si="2"/>
        <v>Verona hockey rink</v>
      </c>
      <c r="D92" s="1" t="s">
        <v>808</v>
      </c>
      <c r="E92" s="1" t="s">
        <v>809</v>
      </c>
      <c r="F92" s="4">
        <v>42.9918722</v>
      </c>
      <c r="G92" s="4">
        <v>-89.5262877</v>
      </c>
    </row>
    <row r="93">
      <c r="A93" s="12" t="s">
        <v>810</v>
      </c>
      <c r="B93" s="13" t="s">
        <v>126</v>
      </c>
      <c r="C93" s="5" t="str">
        <f t="shared" si="2"/>
        <v>Viroqua hockey rink</v>
      </c>
      <c r="D93" s="1" t="s">
        <v>811</v>
      </c>
      <c r="E93" s="1" t="s">
        <v>812</v>
      </c>
      <c r="F93" s="4">
        <v>43.5665212</v>
      </c>
      <c r="G93" s="4">
        <v>-90.88318799999999</v>
      </c>
    </row>
    <row r="94">
      <c r="A94" s="12" t="s">
        <v>813</v>
      </c>
      <c r="B94" s="13" t="s">
        <v>117</v>
      </c>
      <c r="C94" s="5" t="str">
        <f t="shared" si="2"/>
        <v>Waupaca hockey rink</v>
      </c>
      <c r="D94" s="1" t="s">
        <v>814</v>
      </c>
      <c r="E94" s="1" t="s">
        <v>815</v>
      </c>
      <c r="F94" s="4">
        <v>44.3574694</v>
      </c>
      <c r="G94" s="4">
        <v>-89.1202847</v>
      </c>
    </row>
    <row r="95">
      <c r="A95" s="12" t="s">
        <v>816</v>
      </c>
      <c r="B95" s="13" t="s">
        <v>116</v>
      </c>
      <c r="C95" s="5" t="str">
        <f t="shared" si="2"/>
        <v>Waupun hockey rink</v>
      </c>
      <c r="D95" s="1" t="s">
        <v>817</v>
      </c>
      <c r="E95" s="1" t="s">
        <v>818</v>
      </c>
      <c r="F95" s="4">
        <v>43.6416415</v>
      </c>
      <c r="G95" s="4">
        <v>-88.72243449999999</v>
      </c>
    </row>
    <row r="96">
      <c r="A96" s="12" t="s">
        <v>819</v>
      </c>
      <c r="B96" s="13" t="s">
        <v>45</v>
      </c>
      <c r="C96" s="5" t="str">
        <f t="shared" si="2"/>
        <v>Wausau West hockey rink</v>
      </c>
      <c r="D96" s="1" t="s">
        <v>820</v>
      </c>
      <c r="E96" s="1" t="s">
        <v>821</v>
      </c>
      <c r="F96" s="4">
        <v>44.9559495</v>
      </c>
      <c r="G96" s="4">
        <v>-89.6471519</v>
      </c>
    </row>
    <row r="97">
      <c r="A97" s="12" t="s">
        <v>822</v>
      </c>
      <c r="B97" s="13" t="s">
        <v>144</v>
      </c>
      <c r="C97" s="5" t="str">
        <f t="shared" si="2"/>
        <v>West Salem hockey rink</v>
      </c>
      <c r="D97" s="1" t="s">
        <v>823</v>
      </c>
      <c r="E97" s="1" t="s">
        <v>824</v>
      </c>
      <c r="F97" s="4">
        <v>43.9045001</v>
      </c>
      <c r="G97" s="4">
        <v>-91.0705672</v>
      </c>
    </row>
    <row r="98">
      <c r="A98" s="12" t="s">
        <v>825</v>
      </c>
      <c r="B98" s="13" t="s">
        <v>52</v>
      </c>
      <c r="C98" s="5" t="str">
        <f t="shared" si="2"/>
        <v>River Falls hockey rink</v>
      </c>
      <c r="D98" s="1" t="s">
        <v>826</v>
      </c>
      <c r="E98" s="1" t="s">
        <v>827</v>
      </c>
      <c r="F98" s="4">
        <v>44.8411979</v>
      </c>
      <c r="G98" s="4">
        <v>-92.61480710000001</v>
      </c>
    </row>
    <row r="99">
      <c r="A99" s="12" t="s">
        <v>828</v>
      </c>
      <c r="B99" s="13" t="s">
        <v>146</v>
      </c>
      <c r="C99" s="5" t="str">
        <f t="shared" si="2"/>
        <v>Beloit Memorial hockey rink</v>
      </c>
      <c r="D99" s="1" t="s">
        <v>829</v>
      </c>
      <c r="E99" s="1" t="s">
        <v>830</v>
      </c>
      <c r="F99" s="4">
        <v>42.5339259</v>
      </c>
      <c r="G99" s="4">
        <v>-89.0073354</v>
      </c>
    </row>
    <row r="100">
      <c r="A100" s="12" t="s">
        <v>831</v>
      </c>
      <c r="B100" s="13" t="s">
        <v>441</v>
      </c>
      <c r="C100" s="5" t="str">
        <f t="shared" si="2"/>
        <v>Wild United hockey rink</v>
      </c>
      <c r="D100" s="1" t="s">
        <v>832</v>
      </c>
      <c r="E100" s="1" t="s">
        <v>833</v>
      </c>
      <c r="F100" s="1">
        <v>44.8412</v>
      </c>
      <c r="G100" s="1">
        <v>-92.6148</v>
      </c>
    </row>
    <row r="101">
      <c r="A101" s="12" t="s">
        <v>834</v>
      </c>
      <c r="B101" s="13" t="s">
        <v>81</v>
      </c>
      <c r="C101" s="5" t="str">
        <f t="shared" si="2"/>
        <v>Fond du Lac hockey rink</v>
      </c>
      <c r="D101" s="1" t="s">
        <v>835</v>
      </c>
      <c r="E101" s="1" t="s">
        <v>836</v>
      </c>
      <c r="F101" s="4">
        <v>43.7645105</v>
      </c>
      <c r="G101" s="4">
        <v>-88.4276034</v>
      </c>
    </row>
    <row r="102">
      <c r="A102" s="12" t="s">
        <v>834</v>
      </c>
      <c r="B102" s="13" t="s">
        <v>61</v>
      </c>
      <c r="C102" s="5" t="str">
        <f t="shared" si="2"/>
        <v>Fond du Lac Springs hockey rink</v>
      </c>
      <c r="D102" s="1" t="s">
        <v>835</v>
      </c>
      <c r="E102" s="1" t="s">
        <v>836</v>
      </c>
      <c r="F102" s="4">
        <v>43.7645105</v>
      </c>
      <c r="G102" s="4">
        <v>-88.4276034</v>
      </c>
    </row>
  </sheetData>
  <drawing r:id="rId1"/>
</worksheet>
</file>