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97692be21e5ebd/Documents/Windigo Ice Analysis using R/"/>
    </mc:Choice>
  </mc:AlternateContent>
  <xr:revisionPtr revIDLastSave="27" documentId="8_{90CC6907-87ED-4F6A-A153-2E33708F7F61}" xr6:coauthVersionLast="47" xr6:coauthVersionMax="47" xr10:uidLastSave="{2D899DD4-456D-4144-993C-54A622A1F842}"/>
  <bookViews>
    <workbookView xWindow="-105" yWindow="0" windowWidth="10455" windowHeight="10905" xr2:uid="{2C695120-188F-48AA-88E0-ADAA39F614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<sst xmlns="http://schemas.openxmlformats.org/spreadsheetml/2006/main" count="24" uniqueCount="24">
  <si>
    <t>Bill date</t>
  </si>
  <si>
    <t>06/11/2026</t>
  </si>
  <si>
    <t>05/12/2026</t>
  </si>
  <si>
    <t>04/13/2026</t>
  </si>
  <si>
    <t>03/12/2026</t>
  </si>
  <si>
    <t>02/11/2026</t>
  </si>
  <si>
    <t>01/14/2026</t>
  </si>
  <si>
    <t>12/11/2025</t>
  </si>
  <si>
    <t>11/07/2025</t>
  </si>
  <si>
    <t>10/10/2025</t>
  </si>
  <si>
    <t>09/11/2025</t>
  </si>
  <si>
    <t>08/12/2025</t>
  </si>
  <si>
    <t>07/14/2025</t>
  </si>
  <si>
    <t>06/12/2025</t>
  </si>
  <si>
    <t>05/12/2025</t>
  </si>
  <si>
    <t>Billing days</t>
  </si>
  <si>
    <t>System demand (kW)</t>
  </si>
  <si>
    <t>Customer demand (kW)</t>
  </si>
  <si>
    <t>Heating degree days</t>
  </si>
  <si>
    <t>Cooling degree days</t>
  </si>
  <si>
    <t>On-peak</t>
  </si>
  <si>
    <t>Off-peak</t>
  </si>
  <si>
    <t>Total_kwh</t>
  </si>
  <si>
    <t>daily_avg_kwh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</si>
</sst>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"/>
  </numFmts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1" fillId="2" borderId="0" xfId="1"/>
    <xf numFmtId="14" fontId="0" fillId="0" borderId="0" xfId="0" applyNumberFormat="1"/>
    <xf numFmtId="168" fontId="0" fillId="0" borderId="0" xfId="0" applyNumberFormat="1"/>
    <xf numFmtId="1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5A3C3-FAC1-44D1-B1DF-D5824D0A5EB0}">
  <dimension ref="A1:J15"/>
  <sheetViews>
    <sheetView tabSelected="1" workbookViewId="0">
      <selection activeCell="K1" sqref="K1"/>
    </sheetView>
  </sheetViews>
  <sheetFormatPr defaultRowHeight="15" x14ac:dyDescent="0.25"/>
  <cols>
    <col min="1" max="1" width="10.42578125" bestFit="1" customWidth="1"/>
    <col min="2" max="2" width="11.140625" bestFit="1" customWidth="1"/>
    <col min="3" max="4" width="8.5703125" bestFit="1" customWidth="1"/>
    <col min="5" max="5" width="11.28515625" bestFit="1" customWidth="1"/>
    <col min="6" max="6" width="19.7109375" bestFit="1" customWidth="1"/>
    <col min="7" max="8" width="22.140625" bestFit="1" customWidth="1"/>
    <col min="9" max="9" width="18.85546875" bestFit="1" customWidth="1"/>
    <col min="10" max="10" width="13.7109375" bestFit="1" customWidth="1"/>
  </cols>
  <sheetData>
    <row r="1" spans="1:10" x14ac:dyDescent="0.25">
      <c r="A1" s="1" t="s">
        <v>0</v>
      </c>
      <c r="B1" s="1" t="s">
        <v>15</v>
      </c>
      <c r="C1" s="1" t="s">
        <v>20</v>
      </c>
      <c r="D1" s="1" t="s">
        <v>21</v>
      </c>
      <c r="E1" s="1" t="s">
        <v>22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23</v>
      </c>
    </row>
    <row r="2" spans="1:10" x14ac:dyDescent="0.25">
      <c r="A2" s="2" t="s">
        <v>1</v>
      </c>
      <c r="B2" s="4">
        <v>30</v>
      </c>
      <c r="C2" s="4">
        <v>19798</v>
      </c>
      <c r="D2" s="4">
        <v>32470</v>
      </c>
      <c r="E2" s="4">
        <f>C2+D2</f>
        <v>52268</v>
      </c>
      <c r="F2" s="4">
        <v>122</v>
      </c>
      <c r="G2" s="4">
        <v>222</v>
      </c>
      <c r="H2" s="4">
        <v>61</v>
      </c>
      <c r="I2" s="4">
        <v>137</v>
      </c>
      <c r="J2" s="3">
        <f>E2/B2</f>
        <v>1742.2666666666667</v>
      </c>
    </row>
    <row r="3" spans="1:10" x14ac:dyDescent="0.25">
      <c r="A3" s="2" t="s">
        <v>2</v>
      </c>
      <c r="B3" s="4">
        <v>28</v>
      </c>
      <c r="C3" s="4">
        <v>20781</v>
      </c>
      <c r="D3" s="4">
        <v>33150</v>
      </c>
      <c r="E3" s="4">
        <f t="shared" ref="E3:E15" si="0">C3+D3</f>
        <v>53931</v>
      </c>
      <c r="F3" s="4">
        <v>131</v>
      </c>
      <c r="G3" s="4">
        <v>222</v>
      </c>
      <c r="H3" s="4">
        <v>271</v>
      </c>
      <c r="I3" s="4">
        <v>9</v>
      </c>
      <c r="J3" s="3">
        <f t="shared" ref="J3:J15" si="1">E3/B3</f>
        <v>1926.1071428571429</v>
      </c>
    </row>
    <row r="4" spans="1:10" x14ac:dyDescent="0.25">
      <c r="A4" s="2" t="s">
        <v>3</v>
      </c>
      <c r="B4" s="4">
        <v>33</v>
      </c>
      <c r="C4" s="4">
        <v>21900</v>
      </c>
      <c r="D4" s="4">
        <v>36415</v>
      </c>
      <c r="E4" s="4">
        <f t="shared" si="0"/>
        <v>58315</v>
      </c>
      <c r="F4" s="4">
        <v>112</v>
      </c>
      <c r="G4" s="4">
        <v>186</v>
      </c>
      <c r="H4" s="4">
        <v>723</v>
      </c>
      <c r="I4" s="4">
        <v>0</v>
      </c>
      <c r="J4" s="3">
        <f t="shared" si="1"/>
        <v>1767.121212121212</v>
      </c>
    </row>
    <row r="5" spans="1:10" x14ac:dyDescent="0.25">
      <c r="A5" s="2" t="s">
        <v>4</v>
      </c>
      <c r="B5" s="4">
        <v>29</v>
      </c>
      <c r="C5" s="4">
        <v>23017</v>
      </c>
      <c r="D5" s="4">
        <v>37173</v>
      </c>
      <c r="E5" s="4">
        <f t="shared" si="0"/>
        <v>60190</v>
      </c>
      <c r="F5" s="4">
        <v>116</v>
      </c>
      <c r="G5" s="4">
        <v>186</v>
      </c>
      <c r="H5" s="4">
        <v>839</v>
      </c>
      <c r="I5" s="4">
        <v>0</v>
      </c>
      <c r="J5" s="3">
        <f t="shared" si="1"/>
        <v>2075.5172413793102</v>
      </c>
    </row>
    <row r="6" spans="1:10" x14ac:dyDescent="0.25">
      <c r="A6" s="2" t="s">
        <v>5</v>
      </c>
      <c r="B6" s="4">
        <v>27</v>
      </c>
      <c r="C6" s="4">
        <v>34632</v>
      </c>
      <c r="D6" s="4">
        <v>56123</v>
      </c>
      <c r="E6" s="4">
        <f t="shared" si="0"/>
        <v>90755</v>
      </c>
      <c r="F6" s="4">
        <v>185</v>
      </c>
      <c r="G6" s="4">
        <v>186</v>
      </c>
      <c r="H6" s="4">
        <v>1404</v>
      </c>
      <c r="I6" s="4">
        <v>0</v>
      </c>
      <c r="J6" s="3">
        <f t="shared" si="1"/>
        <v>3361.2962962962961</v>
      </c>
    </row>
    <row r="7" spans="1:10" x14ac:dyDescent="0.25">
      <c r="A7" s="2" t="s">
        <v>6</v>
      </c>
      <c r="B7" s="4">
        <v>35</v>
      </c>
      <c r="C7" s="4">
        <v>24797</v>
      </c>
      <c r="D7" s="4">
        <v>47074</v>
      </c>
      <c r="E7" s="4">
        <f t="shared" si="0"/>
        <v>71871</v>
      </c>
      <c r="F7" s="4">
        <v>127</v>
      </c>
      <c r="G7" s="4">
        <v>168</v>
      </c>
      <c r="H7" s="4">
        <v>1324</v>
      </c>
      <c r="I7" s="4">
        <v>0</v>
      </c>
      <c r="J7" s="3">
        <f t="shared" si="1"/>
        <v>2053.457142857143</v>
      </c>
    </row>
    <row r="8" spans="1:10" x14ac:dyDescent="0.25">
      <c r="A8" s="2" t="s">
        <v>7</v>
      </c>
      <c r="B8" s="4">
        <v>34</v>
      </c>
      <c r="C8" s="4">
        <v>24489</v>
      </c>
      <c r="D8" s="4">
        <v>45630</v>
      </c>
      <c r="E8" s="4">
        <f t="shared" si="0"/>
        <v>70119</v>
      </c>
      <c r="F8" s="4">
        <v>117</v>
      </c>
      <c r="G8" s="4">
        <v>168</v>
      </c>
      <c r="H8" s="4">
        <v>1092</v>
      </c>
      <c r="I8" s="4">
        <v>0</v>
      </c>
      <c r="J8" s="3">
        <f t="shared" si="1"/>
        <v>2062.3235294117649</v>
      </c>
    </row>
    <row r="9" spans="1:10" x14ac:dyDescent="0.25">
      <c r="A9" s="2" t="s">
        <v>8</v>
      </c>
      <c r="B9" s="4">
        <v>28</v>
      </c>
      <c r="C9" s="4">
        <v>19761</v>
      </c>
      <c r="D9" s="4">
        <v>33985</v>
      </c>
      <c r="E9" s="4">
        <f t="shared" si="0"/>
        <v>53746</v>
      </c>
      <c r="F9" s="4">
        <v>108</v>
      </c>
      <c r="G9" s="4">
        <v>168</v>
      </c>
      <c r="H9" s="4">
        <v>400</v>
      </c>
      <c r="I9" s="4">
        <v>3</v>
      </c>
      <c r="J9" s="3">
        <f t="shared" si="1"/>
        <v>1919.5</v>
      </c>
    </row>
    <row r="10" spans="1:10" x14ac:dyDescent="0.25">
      <c r="A10" s="2" t="s">
        <v>9</v>
      </c>
      <c r="B10" s="4">
        <v>28</v>
      </c>
      <c r="C10" s="4">
        <v>23448</v>
      </c>
      <c r="D10" s="4">
        <v>37316</v>
      </c>
      <c r="E10" s="4">
        <f t="shared" si="0"/>
        <v>60764</v>
      </c>
      <c r="F10" s="4">
        <v>166</v>
      </c>
      <c r="G10" s="4">
        <v>168</v>
      </c>
      <c r="H10" s="4">
        <v>27</v>
      </c>
      <c r="I10" s="4">
        <v>128</v>
      </c>
      <c r="J10" s="3">
        <f t="shared" si="1"/>
        <v>2170.1428571428573</v>
      </c>
    </row>
    <row r="11" spans="1:10" x14ac:dyDescent="0.25">
      <c r="A11" s="2" t="s">
        <v>10</v>
      </c>
      <c r="B11" s="4">
        <v>30</v>
      </c>
      <c r="C11" s="4">
        <v>24518</v>
      </c>
      <c r="D11" s="4">
        <v>36113</v>
      </c>
      <c r="E11" s="4">
        <f t="shared" si="0"/>
        <v>60631</v>
      </c>
      <c r="F11" s="4">
        <v>140</v>
      </c>
      <c r="G11" s="4">
        <v>157</v>
      </c>
      <c r="H11" s="4">
        <v>80</v>
      </c>
      <c r="I11" s="4">
        <v>103</v>
      </c>
      <c r="J11" s="3">
        <f t="shared" si="1"/>
        <v>2021.0333333333333</v>
      </c>
    </row>
    <row r="12" spans="1:10" x14ac:dyDescent="0.25">
      <c r="A12" s="2" t="s">
        <v>11</v>
      </c>
      <c r="B12" s="4">
        <v>30</v>
      </c>
      <c r="C12" s="4">
        <v>24728</v>
      </c>
      <c r="D12" s="4">
        <v>33503</v>
      </c>
      <c r="E12" s="4">
        <f t="shared" si="0"/>
        <v>58231</v>
      </c>
      <c r="F12" s="4">
        <v>141</v>
      </c>
      <c r="G12" s="4">
        <v>157</v>
      </c>
      <c r="H12" s="4">
        <v>0</v>
      </c>
      <c r="I12" s="4">
        <v>246</v>
      </c>
      <c r="J12" s="3">
        <f t="shared" si="1"/>
        <v>1941.0333333333333</v>
      </c>
    </row>
    <row r="13" spans="1:10" x14ac:dyDescent="0.25">
      <c r="A13" s="2" t="s">
        <v>12</v>
      </c>
      <c r="B13" s="4">
        <v>32</v>
      </c>
      <c r="C13" s="4">
        <v>23815</v>
      </c>
      <c r="D13" s="4">
        <v>39037</v>
      </c>
      <c r="E13" s="4">
        <f t="shared" si="0"/>
        <v>62852</v>
      </c>
      <c r="F13" s="4">
        <v>146</v>
      </c>
      <c r="G13" s="4">
        <v>157</v>
      </c>
      <c r="H13" s="4">
        <v>0</v>
      </c>
      <c r="I13" s="4">
        <v>318</v>
      </c>
      <c r="J13" s="3">
        <f t="shared" si="1"/>
        <v>1964.125</v>
      </c>
    </row>
    <row r="14" spans="1:10" x14ac:dyDescent="0.25">
      <c r="A14" s="2" t="s">
        <v>13</v>
      </c>
      <c r="B14" s="4">
        <v>31</v>
      </c>
      <c r="C14" s="4">
        <v>20207</v>
      </c>
      <c r="D14" s="4">
        <v>31047</v>
      </c>
      <c r="E14" s="4">
        <f t="shared" si="0"/>
        <v>51254</v>
      </c>
      <c r="F14" s="4">
        <v>108</v>
      </c>
      <c r="G14" s="4">
        <v>146</v>
      </c>
      <c r="H14" s="4">
        <v>132</v>
      </c>
      <c r="I14" s="4">
        <v>47</v>
      </c>
      <c r="J14" s="3">
        <f t="shared" si="1"/>
        <v>1653.3548387096773</v>
      </c>
    </row>
    <row r="15" spans="1:10" x14ac:dyDescent="0.25">
      <c r="A15" s="2" t="s">
        <v>14</v>
      </c>
      <c r="B15" s="4">
        <v>31</v>
      </c>
      <c r="C15" s="4">
        <v>17417</v>
      </c>
      <c r="D15" s="4">
        <v>32412</v>
      </c>
      <c r="E15" s="4">
        <f t="shared" si="0"/>
        <v>49829</v>
      </c>
      <c r="F15" s="4">
        <v>102</v>
      </c>
      <c r="G15" s="4">
        <v>146</v>
      </c>
      <c r="H15" s="4">
        <v>339</v>
      </c>
      <c r="I15" s="4">
        <v>3</v>
      </c>
      <c r="J15" s="3">
        <f t="shared" si="1"/>
        <v>1607.3870967741937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Brockwell</dc:creator>
  <cp:lastModifiedBy>Lucas Bedroske</cp:lastModifiedBy>
  <dcterms:created xsi:type="dcterms:W3CDTF">2026-06-30T18:37:56Z</dcterms:created>
  <dcterms:modified xsi:type="dcterms:W3CDTF">2026-07-13T23:56:30Z</dcterms:modified>
</cp:coreProperties>
</file>