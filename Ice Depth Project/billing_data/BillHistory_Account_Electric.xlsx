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her-files\school\database_dev\The-Windigo-Data-Team-Summer-2026\Ice Depth Project\"/>
    </mc:Choice>
  </mc:AlternateContent>
  <xr:revisionPtr revIDLastSave="0" documentId="13_ncr:1_{9DEBDD70-01CA-441F-BF0B-52A4B72FE506}" xr6:coauthVersionLast="47" xr6:coauthVersionMax="47" xr10:uidLastSave="{00000000-0000-0000-0000-000000000000}"/>
  <bookViews>
    <workbookView xWindow="-120" yWindow="-120" windowWidth="38640" windowHeight="21120" xr2:uid="{2C695120-188F-48AA-88E0-ADAA39F61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3" i="1" l="1"/>
  <c r="Y4" i="1"/>
  <c r="Y6" i="1"/>
  <c r="Y15" i="1"/>
  <c r="X3" i="1"/>
  <c r="X4" i="1"/>
  <c r="X5" i="1"/>
  <c r="Y5" i="1" s="1"/>
  <c r="X6" i="1"/>
  <c r="X7" i="1"/>
  <c r="Y7" i="1" s="1"/>
  <c r="X8" i="1"/>
  <c r="Y8" i="1" s="1"/>
  <c r="X9" i="1"/>
  <c r="Y9" i="1" s="1"/>
  <c r="X10" i="1"/>
  <c r="Y10" i="1" s="1"/>
  <c r="X11" i="1"/>
  <c r="Y11" i="1" s="1"/>
  <c r="X12" i="1"/>
  <c r="Y12" i="1" s="1"/>
  <c r="X13" i="1"/>
  <c r="Y13" i="1" s="1"/>
  <c r="X14" i="1"/>
  <c r="Y14" i="1" s="1"/>
  <c r="X15" i="1"/>
  <c r="X2" i="1"/>
  <c r="Y2" i="1" s="1"/>
  <c r="W8" i="1"/>
  <c r="U3" i="1"/>
  <c r="W3" i="1" s="1"/>
  <c r="U4" i="1"/>
  <c r="W4" i="1" s="1"/>
  <c r="V4" i="1"/>
  <c r="U5" i="1"/>
  <c r="W5" i="1" s="1"/>
  <c r="V5" i="1"/>
  <c r="U6" i="1"/>
  <c r="W6" i="1" s="1"/>
  <c r="V6" i="1"/>
  <c r="U7" i="1"/>
  <c r="W7" i="1" s="1"/>
  <c r="V7" i="1"/>
  <c r="U8" i="1"/>
  <c r="V8" i="1"/>
  <c r="U9" i="1"/>
  <c r="W9" i="1" s="1"/>
  <c r="V9" i="1"/>
  <c r="U10" i="1"/>
  <c r="W10" i="1" s="1"/>
  <c r="V10" i="1"/>
  <c r="U11" i="1"/>
  <c r="W11" i="1" s="1"/>
  <c r="V11" i="1"/>
  <c r="U12" i="1"/>
  <c r="W12" i="1" s="1"/>
  <c r="U13" i="1"/>
  <c r="W13" i="1" s="1"/>
  <c r="V13" i="1"/>
  <c r="U14" i="1"/>
  <c r="W14" i="1" s="1"/>
  <c r="V14" i="1"/>
  <c r="U15" i="1"/>
  <c r="W15" i="1" s="1"/>
  <c r="V15" i="1"/>
  <c r="U2" i="1"/>
  <c r="W2" i="1" s="1"/>
  <c r="V12" i="1" l="1"/>
  <c r="V2" i="1"/>
  <c r="V3" i="1"/>
</calcChain>
</file>

<file path=xl/sharedStrings.xml><?xml version="1.0" encoding="utf-8"?>
<sst xmlns="http://schemas.openxmlformats.org/spreadsheetml/2006/main" count="81" uniqueCount="41">
  <si>
    <t>Bill date</t>
  </si>
  <si>
    <t>06/11/2026</t>
  </si>
  <si>
    <t>05/12/2026</t>
  </si>
  <si>
    <t>04/13/2026</t>
  </si>
  <si>
    <t>03/12/2026</t>
  </si>
  <si>
    <t>02/11/2026</t>
  </si>
  <si>
    <t>01/14/2026</t>
  </si>
  <si>
    <t>12/11/2025</t>
  </si>
  <si>
    <t>11/07/2025</t>
  </si>
  <si>
    <t>10/10/2025</t>
  </si>
  <si>
    <t>09/11/2025</t>
  </si>
  <si>
    <t>08/12/2025</t>
  </si>
  <si>
    <t>07/14/2025</t>
  </si>
  <si>
    <t>06/12/2025</t>
  </si>
  <si>
    <t>05/12/2025</t>
  </si>
  <si>
    <t>Billing days</t>
  </si>
  <si>
    <t>On-peak energy charges</t>
  </si>
  <si>
    <t>Off-peak energy charges</t>
  </si>
  <si>
    <t>System demand charge</t>
  </si>
  <si>
    <t>Customer demand charge</t>
  </si>
  <si>
    <t>Customer charge</t>
  </si>
  <si>
    <t>Other charges</t>
  </si>
  <si>
    <t>On-peak electricity used (kWh)</t>
  </si>
  <si>
    <t>Off-peak electricity used (kWh)</t>
  </si>
  <si>
    <t>System demand (kW)</t>
  </si>
  <si>
    <t>Customer demand (kW)</t>
  </si>
  <si>
    <t>Summary of Other charges</t>
  </si>
  <si>
    <t>Taxes</t>
  </si>
  <si>
    <t>Previous balance and adjustments</t>
  </si>
  <si>
    <t>Heating degree days</t>
  </si>
  <si>
    <t>Cooling degree days</t>
  </si>
  <si>
    <t>FirstName</t>
  </si>
  <si>
    <t>Jacob</t>
  </si>
  <si>
    <t>LastName</t>
  </si>
  <si>
    <t>Brockwell</t>
  </si>
  <si>
    <t>Electric Charges</t>
  </si>
  <si>
    <t>Total bill</t>
  </si>
  <si>
    <t>Avg cost / day</t>
  </si>
  <si>
    <t>Electricity used (kWh)</t>
  </si>
  <si>
    <t>Avg kWh / day</t>
  </si>
  <si>
    <t>Read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</si>
</sst>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2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A3C3-FAC1-44D1-B1DF-D5824D0A5EB0}">
  <dimension ref="A1:Y15"/>
  <sheetViews>
    <sheetView tabSelected="1" workbookViewId="0">
      <selection activeCell="H18" sqref="H18"/>
    </sheetView>
  </sheetViews>
  <sheetFormatPr defaultRowHeight="15" x14ac:dyDescent="0.25"/>
  <cols>
    <col min="1" max="1" width="10.42578125" bestFit="1" customWidth="1"/>
    <col min="2" max="2" width="12" customWidth="1"/>
    <col min="3" max="3" width="11.140625" bestFit="1" customWidth="1"/>
    <col min="4" max="5" width="22.5703125" bestFit="1" customWidth="1"/>
    <col min="6" max="6" width="21.7109375" bestFit="1" customWidth="1"/>
    <col min="7" max="7" width="24" bestFit="1" customWidth="1"/>
    <col min="8" max="8" width="16" bestFit="1" customWidth="1"/>
    <col min="9" max="9" width="13.42578125" bestFit="1" customWidth="1"/>
    <col min="10" max="10" width="9.42578125" customWidth="1"/>
    <col min="11" max="11" width="28.42578125" bestFit="1" customWidth="1"/>
    <col min="12" max="13" width="32.140625" bestFit="1" customWidth="1"/>
    <col min="14" max="14" width="28.42578125" bestFit="1" customWidth="1"/>
    <col min="15" max="15" width="19.7109375" bestFit="1" customWidth="1"/>
    <col min="16" max="17" width="22.140625" bestFit="1" customWidth="1"/>
    <col min="18" max="18" width="18.85546875" bestFit="1" customWidth="1"/>
    <col min="19" max="19" width="15.28515625" bestFit="1" customWidth="1"/>
    <col min="20" max="20" width="9.85546875" bestFit="1" customWidth="1"/>
    <col min="21" max="21" width="15.85546875" customWidth="1"/>
    <col min="23" max="23" width="12.85546875" bestFit="1" customWidth="1"/>
    <col min="24" max="24" width="20.140625" bestFit="1" customWidth="1"/>
    <col min="25" max="25" width="13.140625" bestFit="1" customWidth="1"/>
    <col min="26" max="26" width="12.28515625" customWidth="1"/>
  </cols>
  <sheetData>
    <row r="1" spans="1:25" x14ac:dyDescent="0.25">
      <c r="A1" s="1" t="s">
        <v>0</v>
      </c>
      <c r="B1" s="1" t="s">
        <v>40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27</v>
      </c>
      <c r="K1" s="1" t="s">
        <v>26</v>
      </c>
      <c r="L1" s="1" t="s">
        <v>28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29</v>
      </c>
      <c r="R1" s="1" t="s">
        <v>30</v>
      </c>
      <c r="S1" s="1" t="s">
        <v>31</v>
      </c>
      <c r="T1" s="1" t="s">
        <v>33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</row>
    <row r="2" spans="1:25" x14ac:dyDescent="0.25">
      <c r="A2" t="s">
        <v>1</v>
      </c>
      <c r="B2" t="s">
        <v>1</v>
      </c>
      <c r="C2">
        <v>30</v>
      </c>
      <c r="D2">
        <v>1932.48</v>
      </c>
      <c r="E2">
        <v>1948.2</v>
      </c>
      <c r="F2">
        <v>2451.59</v>
      </c>
      <c r="G2">
        <v>749.25</v>
      </c>
      <c r="H2">
        <v>60</v>
      </c>
      <c r="I2">
        <v>162.47</v>
      </c>
      <c r="J2">
        <v>363.51</v>
      </c>
      <c r="K2">
        <v>0</v>
      </c>
      <c r="L2">
        <v>0</v>
      </c>
      <c r="M2">
        <v>19798</v>
      </c>
      <c r="N2">
        <v>32470</v>
      </c>
      <c r="O2">
        <v>122</v>
      </c>
      <c r="P2">
        <v>222</v>
      </c>
      <c r="Q2">
        <v>61</v>
      </c>
      <c r="R2">
        <v>137</v>
      </c>
      <c r="S2" t="s">
        <v>32</v>
      </c>
      <c r="T2" t="s">
        <v>34</v>
      </c>
      <c r="U2">
        <f>SUM(D2:J2)</f>
        <v>7667.5000000000009</v>
      </c>
      <c r="V2">
        <f>SUM(U2, K2:L2)</f>
        <v>7667.5000000000009</v>
      </c>
      <c r="W2" s="2">
        <f xml:space="preserve"> U2/C2</f>
        <v>255.58333333333337</v>
      </c>
      <c r="X2">
        <f>SUM(M2:N2)</f>
        <v>52268</v>
      </c>
      <c r="Y2">
        <f>X2/C2</f>
        <v>1742.2666666666667</v>
      </c>
    </row>
    <row r="3" spans="1:25" x14ac:dyDescent="0.25">
      <c r="A3" t="s">
        <v>2</v>
      </c>
      <c r="B3" t="s">
        <v>2</v>
      </c>
      <c r="C3">
        <v>28</v>
      </c>
      <c r="D3">
        <v>2028.43</v>
      </c>
      <c r="E3">
        <v>1989</v>
      </c>
      <c r="F3">
        <v>2632.44</v>
      </c>
      <c r="G3">
        <v>749.25</v>
      </c>
      <c r="H3">
        <v>56</v>
      </c>
      <c r="I3">
        <v>166.39</v>
      </c>
      <c r="J3">
        <v>379.39</v>
      </c>
      <c r="K3">
        <v>74.44</v>
      </c>
      <c r="L3">
        <v>7814.65</v>
      </c>
      <c r="M3">
        <v>20781</v>
      </c>
      <c r="N3">
        <v>33150</v>
      </c>
      <c r="O3">
        <v>131</v>
      </c>
      <c r="P3">
        <v>222</v>
      </c>
      <c r="Q3">
        <v>271</v>
      </c>
      <c r="R3">
        <v>9</v>
      </c>
      <c r="S3" t="s">
        <v>32</v>
      </c>
      <c r="T3" t="s">
        <v>34</v>
      </c>
      <c r="U3">
        <f t="shared" ref="U3:U15" si="0">SUM(D3:J3)</f>
        <v>8000.9000000000015</v>
      </c>
      <c r="V3">
        <f>SUM(U3, K3:L3)</f>
        <v>15889.990000000002</v>
      </c>
      <c r="W3" s="2">
        <f t="shared" ref="W3:W15" si="1" xml:space="preserve"> U3/C3</f>
        <v>285.74642857142862</v>
      </c>
      <c r="X3">
        <f t="shared" ref="X3:X15" si="2">SUM(M3:N3)</f>
        <v>53931</v>
      </c>
      <c r="Y3">
        <f t="shared" ref="Y3:Y15" si="3">X3/C3</f>
        <v>1926.1071428571429</v>
      </c>
    </row>
    <row r="4" spans="1:25" x14ac:dyDescent="0.25">
      <c r="A4" t="s">
        <v>3</v>
      </c>
      <c r="B4" t="s">
        <v>3</v>
      </c>
      <c r="C4">
        <v>33</v>
      </c>
      <c r="D4">
        <v>2137.66</v>
      </c>
      <c r="E4">
        <v>2184.9</v>
      </c>
      <c r="F4">
        <v>2250.64</v>
      </c>
      <c r="G4">
        <v>627.75</v>
      </c>
      <c r="H4">
        <v>66</v>
      </c>
      <c r="I4">
        <v>177.18</v>
      </c>
      <c r="J4">
        <v>370.52</v>
      </c>
      <c r="K4">
        <v>0</v>
      </c>
      <c r="L4">
        <v>0</v>
      </c>
      <c r="M4">
        <v>21900</v>
      </c>
      <c r="N4">
        <v>36415</v>
      </c>
      <c r="O4">
        <v>112</v>
      </c>
      <c r="P4">
        <v>186</v>
      </c>
      <c r="Q4">
        <v>723</v>
      </c>
      <c r="R4">
        <v>0</v>
      </c>
      <c r="S4" t="s">
        <v>32</v>
      </c>
      <c r="T4" t="s">
        <v>34</v>
      </c>
      <c r="U4">
        <f t="shared" si="0"/>
        <v>7814.65</v>
      </c>
      <c r="V4">
        <f t="shared" ref="V4:V15" si="4">SUM(U4, K4:L4)</f>
        <v>7814.65</v>
      </c>
      <c r="W4" s="2">
        <f t="shared" si="1"/>
        <v>236.80757575757573</v>
      </c>
      <c r="X4">
        <f t="shared" si="2"/>
        <v>58315</v>
      </c>
      <c r="Y4">
        <f t="shared" si="3"/>
        <v>1767.121212121212</v>
      </c>
    </row>
    <row r="5" spans="1:25" x14ac:dyDescent="0.25">
      <c r="A5" t="s">
        <v>4</v>
      </c>
      <c r="B5" t="s">
        <v>4</v>
      </c>
      <c r="C5">
        <v>29</v>
      </c>
      <c r="D5">
        <v>2246.69</v>
      </c>
      <c r="E5">
        <v>2230.38</v>
      </c>
      <c r="F5">
        <v>2331.02</v>
      </c>
      <c r="G5">
        <v>627.75</v>
      </c>
      <c r="H5">
        <v>58</v>
      </c>
      <c r="I5">
        <v>181.79</v>
      </c>
      <c r="J5">
        <v>382.1</v>
      </c>
      <c r="K5">
        <v>0</v>
      </c>
      <c r="L5">
        <v>0</v>
      </c>
      <c r="M5">
        <v>23017</v>
      </c>
      <c r="N5">
        <v>37173</v>
      </c>
      <c r="O5">
        <v>116</v>
      </c>
      <c r="P5">
        <v>186</v>
      </c>
      <c r="Q5">
        <v>839</v>
      </c>
      <c r="R5">
        <v>0</v>
      </c>
      <c r="S5" t="s">
        <v>32</v>
      </c>
      <c r="T5" t="s">
        <v>34</v>
      </c>
      <c r="U5">
        <f t="shared" si="0"/>
        <v>8057.7300000000005</v>
      </c>
      <c r="V5">
        <f t="shared" si="4"/>
        <v>8057.7300000000005</v>
      </c>
      <c r="W5" s="2">
        <f t="shared" si="1"/>
        <v>277.85275862068966</v>
      </c>
      <c r="X5">
        <f t="shared" si="2"/>
        <v>60190</v>
      </c>
      <c r="Y5">
        <f t="shared" si="3"/>
        <v>2075.5172413793102</v>
      </c>
    </row>
    <row r="6" spans="1:25" x14ac:dyDescent="0.25">
      <c r="A6" t="s">
        <v>5</v>
      </c>
      <c r="B6" t="s">
        <v>5</v>
      </c>
      <c r="C6">
        <v>27</v>
      </c>
      <c r="D6">
        <v>3380.43</v>
      </c>
      <c r="E6">
        <v>3367.38</v>
      </c>
      <c r="F6">
        <v>3717.58</v>
      </c>
      <c r="G6">
        <v>627.75</v>
      </c>
      <c r="H6">
        <v>54</v>
      </c>
      <c r="I6">
        <v>256.97000000000003</v>
      </c>
      <c r="J6">
        <v>568.52</v>
      </c>
      <c r="K6">
        <v>84.53</v>
      </c>
      <c r="L6">
        <v>8869.6200000000008</v>
      </c>
      <c r="M6">
        <v>34632</v>
      </c>
      <c r="N6">
        <v>56123</v>
      </c>
      <c r="O6">
        <v>185</v>
      </c>
      <c r="P6">
        <v>186</v>
      </c>
      <c r="Q6">
        <v>1404</v>
      </c>
      <c r="R6">
        <v>0</v>
      </c>
      <c r="S6" t="s">
        <v>32</v>
      </c>
      <c r="T6" t="s">
        <v>34</v>
      </c>
      <c r="U6">
        <f t="shared" si="0"/>
        <v>11972.63</v>
      </c>
      <c r="V6">
        <f t="shared" si="4"/>
        <v>20926.78</v>
      </c>
      <c r="W6" s="2">
        <f t="shared" si="1"/>
        <v>443.4307407407407</v>
      </c>
      <c r="X6">
        <f t="shared" si="2"/>
        <v>90755</v>
      </c>
      <c r="Y6">
        <f t="shared" si="3"/>
        <v>3361.2962962962961</v>
      </c>
    </row>
    <row r="7" spans="1:25" x14ac:dyDescent="0.25">
      <c r="A7" t="s">
        <v>6</v>
      </c>
      <c r="B7" t="s">
        <v>6</v>
      </c>
      <c r="C7">
        <v>35</v>
      </c>
      <c r="D7">
        <v>2298.6799999999998</v>
      </c>
      <c r="E7">
        <v>2687.89</v>
      </c>
      <c r="F7">
        <v>2634.61</v>
      </c>
      <c r="G7">
        <v>559.94000000000005</v>
      </c>
      <c r="H7">
        <v>70</v>
      </c>
      <c r="I7">
        <v>124.36</v>
      </c>
      <c r="J7">
        <v>417.09</v>
      </c>
      <c r="K7">
        <v>77.05</v>
      </c>
      <c r="L7">
        <v>0</v>
      </c>
      <c r="M7">
        <v>24797</v>
      </c>
      <c r="N7">
        <v>47074</v>
      </c>
      <c r="O7">
        <v>127</v>
      </c>
      <c r="P7">
        <v>168</v>
      </c>
      <c r="Q7">
        <v>1324</v>
      </c>
      <c r="R7">
        <v>0</v>
      </c>
      <c r="S7" t="s">
        <v>32</v>
      </c>
      <c r="T7" t="s">
        <v>34</v>
      </c>
      <c r="U7">
        <f t="shared" si="0"/>
        <v>8792.5700000000015</v>
      </c>
      <c r="V7">
        <f t="shared" si="4"/>
        <v>8869.6200000000008</v>
      </c>
      <c r="W7" s="2">
        <f t="shared" si="1"/>
        <v>251.21628571428576</v>
      </c>
      <c r="X7">
        <f t="shared" si="2"/>
        <v>71871</v>
      </c>
      <c r="Y7">
        <f t="shared" si="3"/>
        <v>2053.457142857143</v>
      </c>
    </row>
    <row r="8" spans="1:25" x14ac:dyDescent="0.25">
      <c r="A8" t="s">
        <v>7</v>
      </c>
      <c r="B8" t="s">
        <v>7</v>
      </c>
      <c r="C8">
        <v>34</v>
      </c>
      <c r="D8">
        <v>2196.42</v>
      </c>
      <c r="E8">
        <v>2514.67</v>
      </c>
      <c r="F8">
        <v>2302.6799999999998</v>
      </c>
      <c r="G8">
        <v>555.24</v>
      </c>
      <c r="H8">
        <v>68</v>
      </c>
      <c r="I8">
        <v>68.16</v>
      </c>
      <c r="J8">
        <v>383.57</v>
      </c>
      <c r="K8">
        <v>0</v>
      </c>
      <c r="L8">
        <v>0</v>
      </c>
      <c r="M8">
        <v>24489</v>
      </c>
      <c r="N8">
        <v>45630</v>
      </c>
      <c r="O8">
        <v>117</v>
      </c>
      <c r="P8">
        <v>168</v>
      </c>
      <c r="Q8">
        <v>1092</v>
      </c>
      <c r="R8">
        <v>0</v>
      </c>
      <c r="S8" t="s">
        <v>32</v>
      </c>
      <c r="T8" t="s">
        <v>34</v>
      </c>
      <c r="U8">
        <f t="shared" si="0"/>
        <v>8088.74</v>
      </c>
      <c r="V8">
        <f t="shared" si="4"/>
        <v>8088.74</v>
      </c>
      <c r="W8" s="2">
        <f t="shared" si="1"/>
        <v>237.90411764705883</v>
      </c>
      <c r="X8">
        <f t="shared" si="2"/>
        <v>70119</v>
      </c>
      <c r="Y8">
        <f t="shared" si="3"/>
        <v>2062.3235294117649</v>
      </c>
    </row>
    <row r="9" spans="1:25" x14ac:dyDescent="0.25">
      <c r="A9" t="s">
        <v>8</v>
      </c>
      <c r="B9" t="s">
        <v>8</v>
      </c>
      <c r="C9">
        <v>28</v>
      </c>
      <c r="D9">
        <v>1772.36</v>
      </c>
      <c r="E9">
        <v>1872.91</v>
      </c>
      <c r="F9">
        <v>2125.5500000000002</v>
      </c>
      <c r="G9">
        <v>555.24</v>
      </c>
      <c r="H9">
        <v>56</v>
      </c>
      <c r="I9">
        <v>60.59</v>
      </c>
      <c r="J9">
        <v>320.45</v>
      </c>
      <c r="K9">
        <v>66.59</v>
      </c>
      <c r="L9">
        <v>6990.56</v>
      </c>
      <c r="M9">
        <v>19761</v>
      </c>
      <c r="N9">
        <v>33985</v>
      </c>
      <c r="O9">
        <v>108</v>
      </c>
      <c r="P9">
        <v>168</v>
      </c>
      <c r="Q9">
        <v>400</v>
      </c>
      <c r="R9">
        <v>3</v>
      </c>
      <c r="S9" t="s">
        <v>32</v>
      </c>
      <c r="T9" t="s">
        <v>34</v>
      </c>
      <c r="U9">
        <f t="shared" si="0"/>
        <v>6763.0999999999995</v>
      </c>
      <c r="V9">
        <f t="shared" si="4"/>
        <v>13820.25</v>
      </c>
      <c r="W9" s="2">
        <f t="shared" si="1"/>
        <v>241.53928571428568</v>
      </c>
      <c r="X9">
        <f t="shared" si="2"/>
        <v>53746</v>
      </c>
      <c r="Y9">
        <f t="shared" si="3"/>
        <v>1919.5</v>
      </c>
    </row>
    <row r="10" spans="1:25" x14ac:dyDescent="0.25">
      <c r="A10" t="s">
        <v>9</v>
      </c>
      <c r="B10" t="s">
        <v>9</v>
      </c>
      <c r="C10">
        <v>28</v>
      </c>
      <c r="D10">
        <v>2103.0500000000002</v>
      </c>
      <c r="E10">
        <v>2056.48</v>
      </c>
      <c r="F10">
        <v>3267.05</v>
      </c>
      <c r="G10">
        <v>555.24</v>
      </c>
      <c r="H10">
        <v>56</v>
      </c>
      <c r="I10">
        <v>-1378.54</v>
      </c>
      <c r="J10">
        <v>331.28</v>
      </c>
      <c r="K10">
        <v>0</v>
      </c>
      <c r="L10">
        <v>0</v>
      </c>
      <c r="M10">
        <v>23448</v>
      </c>
      <c r="N10">
        <v>37316</v>
      </c>
      <c r="O10">
        <v>166</v>
      </c>
      <c r="P10">
        <v>168</v>
      </c>
      <c r="Q10">
        <v>27</v>
      </c>
      <c r="R10">
        <v>128</v>
      </c>
      <c r="S10" t="s">
        <v>32</v>
      </c>
      <c r="T10" t="s">
        <v>34</v>
      </c>
      <c r="U10">
        <f t="shared" si="0"/>
        <v>6990.56</v>
      </c>
      <c r="V10">
        <f t="shared" si="4"/>
        <v>6990.56</v>
      </c>
      <c r="W10" s="2">
        <f t="shared" si="1"/>
        <v>249.66285714285715</v>
      </c>
      <c r="X10">
        <f t="shared" si="2"/>
        <v>60764</v>
      </c>
      <c r="Y10">
        <f t="shared" si="3"/>
        <v>2170.1428571428573</v>
      </c>
    </row>
    <row r="11" spans="1:25" x14ac:dyDescent="0.25">
      <c r="A11" t="s">
        <v>10</v>
      </c>
      <c r="B11" t="s">
        <v>10</v>
      </c>
      <c r="C11">
        <v>30</v>
      </c>
      <c r="D11">
        <v>2199.02</v>
      </c>
      <c r="E11">
        <v>1990.19</v>
      </c>
      <c r="F11">
        <v>2755.34</v>
      </c>
      <c r="G11">
        <v>518.89</v>
      </c>
      <c r="H11">
        <v>60</v>
      </c>
      <c r="I11">
        <v>-754.22</v>
      </c>
      <c r="J11">
        <v>336.78</v>
      </c>
      <c r="K11">
        <v>74.81</v>
      </c>
      <c r="L11">
        <v>0</v>
      </c>
      <c r="M11">
        <v>24518</v>
      </c>
      <c r="N11">
        <v>36113</v>
      </c>
      <c r="O11">
        <v>140</v>
      </c>
      <c r="P11">
        <v>157</v>
      </c>
      <c r="Q11">
        <v>80</v>
      </c>
      <c r="R11">
        <v>103</v>
      </c>
      <c r="S11" t="s">
        <v>32</v>
      </c>
      <c r="T11" t="s">
        <v>34</v>
      </c>
      <c r="U11">
        <f t="shared" si="0"/>
        <v>7106</v>
      </c>
      <c r="V11">
        <f t="shared" si="4"/>
        <v>7180.81</v>
      </c>
      <c r="W11" s="2">
        <f t="shared" si="1"/>
        <v>236.86666666666667</v>
      </c>
      <c r="X11">
        <f t="shared" si="2"/>
        <v>60631</v>
      </c>
      <c r="Y11">
        <f t="shared" si="3"/>
        <v>2021.0333333333333</v>
      </c>
    </row>
    <row r="12" spans="1:25" x14ac:dyDescent="0.25">
      <c r="A12" t="s">
        <v>11</v>
      </c>
      <c r="B12" t="s">
        <v>11</v>
      </c>
      <c r="C12">
        <v>30</v>
      </c>
      <c r="D12">
        <v>2217.85</v>
      </c>
      <c r="E12">
        <v>1846.35</v>
      </c>
      <c r="F12">
        <v>2775.02</v>
      </c>
      <c r="G12">
        <v>518.89</v>
      </c>
      <c r="H12">
        <v>60</v>
      </c>
      <c r="I12">
        <v>62.84</v>
      </c>
      <c r="J12">
        <v>372.36</v>
      </c>
      <c r="K12">
        <v>0</v>
      </c>
      <c r="L12">
        <v>0</v>
      </c>
      <c r="M12">
        <v>24728</v>
      </c>
      <c r="N12">
        <v>33503</v>
      </c>
      <c r="O12">
        <v>141</v>
      </c>
      <c r="P12">
        <v>157</v>
      </c>
      <c r="Q12">
        <v>0</v>
      </c>
      <c r="R12">
        <v>246</v>
      </c>
      <c r="S12" t="s">
        <v>32</v>
      </c>
      <c r="T12" t="s">
        <v>34</v>
      </c>
      <c r="U12">
        <f t="shared" si="0"/>
        <v>7853.3099999999995</v>
      </c>
      <c r="V12">
        <f t="shared" si="4"/>
        <v>7853.3099999999995</v>
      </c>
      <c r="W12" s="2">
        <f t="shared" si="1"/>
        <v>261.77699999999999</v>
      </c>
      <c r="X12">
        <f t="shared" si="2"/>
        <v>58231</v>
      </c>
      <c r="Y12">
        <f t="shared" si="3"/>
        <v>1941.0333333333333</v>
      </c>
    </row>
    <row r="13" spans="1:25" x14ac:dyDescent="0.25">
      <c r="A13" t="s">
        <v>12</v>
      </c>
      <c r="B13" t="s">
        <v>12</v>
      </c>
      <c r="C13">
        <v>32</v>
      </c>
      <c r="D13">
        <v>2135.9699999999998</v>
      </c>
      <c r="E13">
        <v>2151.33</v>
      </c>
      <c r="F13">
        <v>2873.43</v>
      </c>
      <c r="G13">
        <v>518.89</v>
      </c>
      <c r="H13">
        <v>64</v>
      </c>
      <c r="I13">
        <v>64.55</v>
      </c>
      <c r="J13">
        <v>388.75</v>
      </c>
      <c r="K13">
        <v>0</v>
      </c>
      <c r="L13">
        <v>0</v>
      </c>
      <c r="M13">
        <v>23815</v>
      </c>
      <c r="N13">
        <v>39037</v>
      </c>
      <c r="O13">
        <v>146</v>
      </c>
      <c r="P13">
        <v>157</v>
      </c>
      <c r="Q13">
        <v>0</v>
      </c>
      <c r="R13">
        <v>318</v>
      </c>
      <c r="S13" t="s">
        <v>32</v>
      </c>
      <c r="T13" t="s">
        <v>34</v>
      </c>
      <c r="U13">
        <f t="shared" si="0"/>
        <v>8196.92</v>
      </c>
      <c r="V13">
        <f t="shared" si="4"/>
        <v>8196.92</v>
      </c>
      <c r="W13" s="2">
        <f t="shared" si="1"/>
        <v>256.15375</v>
      </c>
      <c r="X13">
        <f t="shared" si="2"/>
        <v>62852</v>
      </c>
      <c r="Y13">
        <f t="shared" si="3"/>
        <v>1964.125</v>
      </c>
    </row>
    <row r="14" spans="1:25" x14ac:dyDescent="0.25">
      <c r="A14" t="s">
        <v>13</v>
      </c>
      <c r="B14" t="s">
        <v>13</v>
      </c>
      <c r="C14">
        <v>31</v>
      </c>
      <c r="D14">
        <v>1812.37</v>
      </c>
      <c r="E14">
        <v>1711</v>
      </c>
      <c r="F14">
        <v>2125.5500000000002</v>
      </c>
      <c r="G14">
        <v>482.53</v>
      </c>
      <c r="H14">
        <v>62</v>
      </c>
      <c r="I14">
        <v>58.98</v>
      </c>
      <c r="J14">
        <v>310.99</v>
      </c>
      <c r="K14">
        <v>59.59</v>
      </c>
      <c r="L14">
        <v>6255.27</v>
      </c>
      <c r="M14">
        <v>20207</v>
      </c>
      <c r="N14">
        <v>31047</v>
      </c>
      <c r="O14">
        <v>108</v>
      </c>
      <c r="P14">
        <v>146</v>
      </c>
      <c r="Q14">
        <v>132</v>
      </c>
      <c r="R14">
        <v>47</v>
      </c>
      <c r="S14" t="s">
        <v>32</v>
      </c>
      <c r="T14" t="s">
        <v>34</v>
      </c>
      <c r="U14">
        <f t="shared" si="0"/>
        <v>6563.4199999999992</v>
      </c>
      <c r="V14">
        <f t="shared" si="4"/>
        <v>12878.279999999999</v>
      </c>
      <c r="W14" s="2">
        <f t="shared" si="1"/>
        <v>211.72322580645158</v>
      </c>
      <c r="X14">
        <f t="shared" si="2"/>
        <v>51254</v>
      </c>
      <c r="Y14">
        <f t="shared" si="3"/>
        <v>1653.3548387096773</v>
      </c>
    </row>
    <row r="15" spans="1:25" x14ac:dyDescent="0.25">
      <c r="A15" t="s">
        <v>14</v>
      </c>
      <c r="B15" t="s">
        <v>14</v>
      </c>
      <c r="C15">
        <v>31</v>
      </c>
      <c r="D15">
        <v>1562.13</v>
      </c>
      <c r="E15">
        <v>1786.23</v>
      </c>
      <c r="F15">
        <v>2007.46</v>
      </c>
      <c r="G15">
        <v>482.53</v>
      </c>
      <c r="H15">
        <v>62</v>
      </c>
      <c r="I15">
        <v>58.61</v>
      </c>
      <c r="J15">
        <v>296.31</v>
      </c>
      <c r="K15">
        <v>0</v>
      </c>
      <c r="L15">
        <v>0</v>
      </c>
      <c r="M15">
        <v>17417</v>
      </c>
      <c r="N15">
        <v>32412</v>
      </c>
      <c r="O15">
        <v>102</v>
      </c>
      <c r="P15">
        <v>146</v>
      </c>
      <c r="Q15">
        <v>339</v>
      </c>
      <c r="R15">
        <v>3</v>
      </c>
      <c r="S15" t="s">
        <v>32</v>
      </c>
      <c r="T15" t="s">
        <v>34</v>
      </c>
      <c r="U15">
        <f t="shared" si="0"/>
        <v>6255.2699999999995</v>
      </c>
      <c r="V15">
        <f t="shared" si="4"/>
        <v>6255.2699999999995</v>
      </c>
      <c r="W15" s="2">
        <f t="shared" si="1"/>
        <v>201.78290322580645</v>
      </c>
      <c r="X15">
        <f t="shared" si="2"/>
        <v>49829</v>
      </c>
      <c r="Y15">
        <f t="shared" si="3"/>
        <v>1607.3870967741937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Brockwell</dc:creator>
  <cp:lastModifiedBy>Jacob Brockwell</cp:lastModifiedBy>
  <dcterms:created xsi:type="dcterms:W3CDTF">2026-06-30T18:37:56Z</dcterms:created>
  <dcterms:modified xsi:type="dcterms:W3CDTF">2026-07-02T19:39:23Z</dcterms:modified>
</cp:coreProperties>
</file>