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"/>
    </mc:Choice>
  </mc:AlternateContent>
  <xr:revisionPtr revIDLastSave="0" documentId="13_ncr:1_{B4AC5E72-F2BB-4434-AFEA-F8333F7DEAED}" xr6:coauthVersionLast="47" xr6:coauthVersionMax="47" xr10:uidLastSave="{00000000-0000-0000-0000-000000000000}"/>
  <bookViews>
    <workbookView xWindow="38280" yWindow="690" windowWidth="29040" windowHeight="17520" xr2:uid="{00000000-000D-0000-FFFF-FFFF00000000}"/>
  </bookViews>
  <sheets>
    <sheet name="Usage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  <c r="P4" i="1"/>
  <c r="P5" i="1"/>
  <c r="P6" i="1"/>
  <c r="P7" i="1"/>
  <c r="P8" i="1"/>
  <c r="P9" i="1"/>
  <c r="P10" i="1"/>
  <c r="P11" i="1"/>
  <c r="P12" i="1"/>
  <c r="P13" i="1"/>
  <c r="P14" i="1"/>
  <c r="P15" i="1"/>
  <c r="P3" i="1"/>
</calcChain>
</file>

<file path=xl/sharedStrings.xml><?xml version="1.0" encoding="utf-8"?>
<sst xmlns="http://schemas.openxmlformats.org/spreadsheetml/2006/main" count="75" uniqueCount="49">
  <si>
    <t>Bill date</t>
  </si>
  <si>
    <t>Read date</t>
  </si>
  <si>
    <t>Billing days</t>
  </si>
  <si>
    <t>Natural gas used (therms)</t>
  </si>
  <si>
    <t>Heating degree days</t>
  </si>
  <si>
    <t>Cooling degree days</t>
  </si>
  <si>
    <t>06/11/2026</t>
  </si>
  <si>
    <t>06/10/2026</t>
  </si>
  <si>
    <t>05/12/2026</t>
  </si>
  <si>
    <t>05/11/2026</t>
  </si>
  <si>
    <t>04/13/2026</t>
  </si>
  <si>
    <t>04/12/2026</t>
  </si>
  <si>
    <t>03/12/2026</t>
  </si>
  <si>
    <t>03/11/2026</t>
  </si>
  <si>
    <t>02/11/2026</t>
  </si>
  <si>
    <t>02/10/2026</t>
  </si>
  <si>
    <t>01/14/2026</t>
  </si>
  <si>
    <t>01/13/2026</t>
  </si>
  <si>
    <t>12/11/2025</t>
  </si>
  <si>
    <t>12/10/2025</t>
  </si>
  <si>
    <t>11/07/2025</t>
  </si>
  <si>
    <t>11/06/2025</t>
  </si>
  <si>
    <t>10/10/2025</t>
  </si>
  <si>
    <t>10/09/2025</t>
  </si>
  <si>
    <t>09/11/2025</t>
  </si>
  <si>
    <t>09/10/2025</t>
  </si>
  <si>
    <t>08/12/2025</t>
  </si>
  <si>
    <t>08/11/2025</t>
  </si>
  <si>
    <t>07/14/2025</t>
  </si>
  <si>
    <t>07/13/2025</t>
  </si>
  <si>
    <t>06/12/2025</t>
  </si>
  <si>
    <t>06/11/2025</t>
  </si>
  <si>
    <t>05/12/2025</t>
  </si>
  <si>
    <t>05/11/2025</t>
  </si>
  <si>
    <t>Other charges</t>
  </si>
  <si>
    <t>Previous balance and adjustments</t>
  </si>
  <si>
    <t>Base gas cost</t>
  </si>
  <si>
    <t>Purchase gas adjustment</t>
  </si>
  <si>
    <t>Distribution charge</t>
  </si>
  <si>
    <t>Customer charge</t>
  </si>
  <si>
    <t>Taxes</t>
  </si>
  <si>
    <t>FirstName</t>
  </si>
  <si>
    <t>LastName</t>
  </si>
  <si>
    <t>Jacob</t>
  </si>
  <si>
    <t>Brockwell</t>
  </si>
  <si>
    <t>Total natural gas charges</t>
  </si>
  <si>
    <t>Total bill</t>
  </si>
  <si>
    <t>Avg cost / day</t>
  </si>
  <si>
    <t>Avg therms /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</si>
</sst>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6" fillId="2" borderId="0" xfId="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D1" workbookViewId="0">
      <selection activeCell="P21" sqref="P21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24.42578125" bestFit="1" customWidth="1"/>
    <col min="5" max="5" width="18.85546875" bestFit="1" customWidth="1"/>
    <col min="6" max="6" width="19" customWidth="1"/>
    <col min="7" max="7" width="13.42578125" bestFit="1" customWidth="1"/>
    <col min="8" max="8" width="32.140625" bestFit="1" customWidth="1"/>
    <col min="9" max="9" width="13.140625" bestFit="1" customWidth="1"/>
    <col min="10" max="10" width="23.7109375" bestFit="1" customWidth="1"/>
    <col min="11" max="11" width="18.140625" bestFit="1" customWidth="1"/>
    <col min="12" max="12" width="16" bestFit="1" customWidth="1"/>
    <col min="13" max="13" width="7" bestFit="1" customWidth="1"/>
    <col min="14" max="14" width="10.140625" bestFit="1" customWidth="1"/>
    <col min="15" max="15" width="9.85546875" bestFit="1" customWidth="1"/>
    <col min="16" max="17" width="23.7109375" bestFit="1" customWidth="1"/>
    <col min="18" max="18" width="12.85546875" bestFit="1" customWidth="1"/>
    <col min="19" max="19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s="1" t="s">
        <v>41</v>
      </c>
      <c r="O1" s="1" t="s">
        <v>42</v>
      </c>
      <c r="P1" t="s">
        <v>46</v>
      </c>
      <c r="Q1" t="s">
        <v>45</v>
      </c>
      <c r="R1" t="s">
        <v>47</v>
      </c>
      <c r="S1" t="s">
        <v>48</v>
      </c>
    </row>
    <row r="2" spans="1:19" x14ac:dyDescent="0.25">
      <c r="A2" t="s">
        <v>6</v>
      </c>
      <c r="B2" t="s">
        <v>7</v>
      </c>
      <c r="C2">
        <v>30</v>
      </c>
      <c r="D2">
        <v>1364.3</v>
      </c>
      <c r="E2">
        <v>61</v>
      </c>
      <c r="F2">
        <v>137</v>
      </c>
      <c r="G2">
        <v>0</v>
      </c>
      <c r="H2">
        <v>0</v>
      </c>
      <c r="I2">
        <v>697.7</v>
      </c>
      <c r="J2">
        <v>-253.49</v>
      </c>
      <c r="K2">
        <v>450.36</v>
      </c>
      <c r="L2">
        <v>25.5</v>
      </c>
      <c r="M2">
        <v>46</v>
      </c>
      <c r="N2" t="s">
        <v>43</v>
      </c>
      <c r="O2" t="s">
        <v>44</v>
      </c>
      <c r="P2">
        <f>SUM(G2:M2)</f>
        <v>966.07</v>
      </c>
      <c r="Q2">
        <f>SUM(I2:M2)</f>
        <v>966.07</v>
      </c>
      <c r="R2">
        <f>Q2/C2</f>
        <v>32.202333333333335</v>
      </c>
      <c r="S2">
        <f>D2/C2</f>
        <v>45.476666666666667</v>
      </c>
    </row>
    <row r="3" spans="1:19" x14ac:dyDescent="0.25">
      <c r="A3" t="s">
        <v>8</v>
      </c>
      <c r="B3" t="s">
        <v>9</v>
      </c>
      <c r="C3">
        <v>29</v>
      </c>
      <c r="D3">
        <v>2034</v>
      </c>
      <c r="E3">
        <v>275</v>
      </c>
      <c r="F3">
        <v>9</v>
      </c>
      <c r="G3">
        <v>24.05</v>
      </c>
      <c r="H3">
        <v>2405.11</v>
      </c>
      <c r="I3">
        <v>1040.19</v>
      </c>
      <c r="J3">
        <v>-429.84</v>
      </c>
      <c r="K3">
        <v>671.42</v>
      </c>
      <c r="L3">
        <v>24.65</v>
      </c>
      <c r="M3">
        <v>65.319999999999993</v>
      </c>
      <c r="N3" t="s">
        <v>43</v>
      </c>
      <c r="O3" t="s">
        <v>44</v>
      </c>
      <c r="P3">
        <f>SUM(G3:M3)</f>
        <v>3800.9000000000005</v>
      </c>
      <c r="Q3">
        <f t="shared" ref="Q3:Q15" si="0">SUM(I3:M3)</f>
        <v>1371.74</v>
      </c>
      <c r="R3">
        <f t="shared" ref="R3:R15" si="1">Q3/C3</f>
        <v>47.301379310344828</v>
      </c>
      <c r="S3">
        <f t="shared" ref="S3:S15" si="2">D3/C3</f>
        <v>70.137931034482762</v>
      </c>
    </row>
    <row r="4" spans="1:19" x14ac:dyDescent="0.25">
      <c r="A4" t="s">
        <v>10</v>
      </c>
      <c r="B4" t="s">
        <v>11</v>
      </c>
      <c r="C4">
        <v>32</v>
      </c>
      <c r="D4">
        <v>3657.4</v>
      </c>
      <c r="E4">
        <v>719</v>
      </c>
      <c r="F4">
        <v>0</v>
      </c>
      <c r="G4">
        <v>0</v>
      </c>
      <c r="H4">
        <v>0</v>
      </c>
      <c r="I4">
        <v>1870.39</v>
      </c>
      <c r="J4">
        <v>-814.32</v>
      </c>
      <c r="K4">
        <v>1207.31</v>
      </c>
      <c r="L4">
        <v>27.2</v>
      </c>
      <c r="M4">
        <v>114.53</v>
      </c>
      <c r="N4" t="s">
        <v>43</v>
      </c>
      <c r="O4" t="s">
        <v>44</v>
      </c>
      <c r="P4">
        <f t="shared" ref="P4:P15" si="3">SUM(G4:M4)</f>
        <v>2405.11</v>
      </c>
      <c r="Q4">
        <f t="shared" si="0"/>
        <v>2405.11</v>
      </c>
      <c r="R4">
        <f t="shared" si="1"/>
        <v>75.159687500000004</v>
      </c>
      <c r="S4">
        <f t="shared" si="2"/>
        <v>114.29375</v>
      </c>
    </row>
    <row r="5" spans="1:19" x14ac:dyDescent="0.25">
      <c r="A5" t="s">
        <v>12</v>
      </c>
      <c r="B5" t="s">
        <v>13</v>
      </c>
      <c r="C5">
        <v>29</v>
      </c>
      <c r="D5">
        <v>3941.5</v>
      </c>
      <c r="E5">
        <v>839</v>
      </c>
      <c r="F5">
        <v>0</v>
      </c>
      <c r="G5">
        <v>0</v>
      </c>
      <c r="H5">
        <v>0</v>
      </c>
      <c r="I5">
        <v>2015.68</v>
      </c>
      <c r="J5">
        <v>622.89</v>
      </c>
      <c r="K5">
        <v>1301.0899999999999</v>
      </c>
      <c r="L5">
        <v>24.65</v>
      </c>
      <c r="M5">
        <v>198.22</v>
      </c>
      <c r="N5" t="s">
        <v>43</v>
      </c>
      <c r="O5" t="s">
        <v>44</v>
      </c>
      <c r="P5">
        <f t="shared" si="3"/>
        <v>4162.53</v>
      </c>
      <c r="Q5">
        <f t="shared" si="0"/>
        <v>4162.53</v>
      </c>
      <c r="R5">
        <f t="shared" si="1"/>
        <v>143.5355172413793</v>
      </c>
      <c r="S5">
        <f t="shared" si="2"/>
        <v>135.91379310344828</v>
      </c>
    </row>
    <row r="6" spans="1:19" x14ac:dyDescent="0.25">
      <c r="A6" t="s">
        <v>14</v>
      </c>
      <c r="B6" t="s">
        <v>15</v>
      </c>
      <c r="C6">
        <v>28</v>
      </c>
      <c r="D6">
        <v>5801.4</v>
      </c>
      <c r="E6">
        <v>1429</v>
      </c>
      <c r="F6">
        <v>0</v>
      </c>
      <c r="G6">
        <v>53.98</v>
      </c>
      <c r="H6">
        <v>5489.06</v>
      </c>
      <c r="I6">
        <v>2966.84</v>
      </c>
      <c r="J6">
        <v>1144.3699999999999</v>
      </c>
      <c r="K6">
        <v>1915.04</v>
      </c>
      <c r="L6">
        <v>23.8</v>
      </c>
      <c r="M6">
        <v>302.5</v>
      </c>
      <c r="N6" t="s">
        <v>43</v>
      </c>
      <c r="O6" t="s">
        <v>44</v>
      </c>
      <c r="P6">
        <f t="shared" si="3"/>
        <v>11895.59</v>
      </c>
      <c r="Q6">
        <f t="shared" si="0"/>
        <v>6352.55</v>
      </c>
      <c r="R6">
        <f t="shared" si="1"/>
        <v>226.87678571428572</v>
      </c>
      <c r="S6">
        <f t="shared" si="2"/>
        <v>207.19285714285712</v>
      </c>
    </row>
    <row r="7" spans="1:19" x14ac:dyDescent="0.25">
      <c r="A7" t="s">
        <v>16</v>
      </c>
      <c r="B7" t="s">
        <v>17</v>
      </c>
      <c r="C7">
        <v>34</v>
      </c>
      <c r="D7">
        <v>5682.6</v>
      </c>
      <c r="E7">
        <v>1299</v>
      </c>
      <c r="F7">
        <v>0</v>
      </c>
      <c r="G7">
        <v>42.68</v>
      </c>
      <c r="H7">
        <v>0</v>
      </c>
      <c r="I7">
        <v>2794.47</v>
      </c>
      <c r="J7">
        <v>548.20000000000005</v>
      </c>
      <c r="K7">
        <v>1815.46</v>
      </c>
      <c r="L7">
        <v>28.9</v>
      </c>
      <c r="M7">
        <v>259.35000000000002</v>
      </c>
      <c r="N7" t="s">
        <v>43</v>
      </c>
      <c r="O7" t="s">
        <v>44</v>
      </c>
      <c r="P7">
        <f t="shared" si="3"/>
        <v>5489.0599999999995</v>
      </c>
      <c r="Q7">
        <f t="shared" si="0"/>
        <v>5446.38</v>
      </c>
      <c r="R7">
        <f t="shared" si="1"/>
        <v>160.18764705882353</v>
      </c>
      <c r="S7">
        <f t="shared" si="2"/>
        <v>167.13529411764708</v>
      </c>
    </row>
    <row r="8" spans="1:19" x14ac:dyDescent="0.25">
      <c r="A8" t="s">
        <v>18</v>
      </c>
      <c r="B8" t="s">
        <v>19</v>
      </c>
      <c r="C8">
        <v>34</v>
      </c>
      <c r="D8">
        <v>4992</v>
      </c>
      <c r="E8">
        <v>1092</v>
      </c>
      <c r="F8">
        <v>0</v>
      </c>
      <c r="G8">
        <v>0</v>
      </c>
      <c r="H8">
        <v>0</v>
      </c>
      <c r="I8">
        <v>2394.16</v>
      </c>
      <c r="J8">
        <v>282.55</v>
      </c>
      <c r="K8">
        <v>1562</v>
      </c>
      <c r="L8">
        <v>28.9</v>
      </c>
      <c r="M8">
        <v>213.38</v>
      </c>
      <c r="N8" t="s">
        <v>43</v>
      </c>
      <c r="O8" t="s">
        <v>44</v>
      </c>
      <c r="P8">
        <f t="shared" si="3"/>
        <v>4480.99</v>
      </c>
      <c r="Q8">
        <f t="shared" si="0"/>
        <v>4480.99</v>
      </c>
      <c r="R8">
        <f t="shared" si="1"/>
        <v>131.79382352941175</v>
      </c>
      <c r="S8">
        <f t="shared" si="2"/>
        <v>146.8235294117647</v>
      </c>
    </row>
    <row r="9" spans="1:19" x14ac:dyDescent="0.25">
      <c r="A9" t="s">
        <v>20</v>
      </c>
      <c r="B9" t="s">
        <v>21</v>
      </c>
      <c r="C9">
        <v>28</v>
      </c>
      <c r="D9">
        <v>2369.1999999999998</v>
      </c>
      <c r="E9">
        <v>400</v>
      </c>
      <c r="F9">
        <v>3</v>
      </c>
      <c r="G9">
        <v>12.6</v>
      </c>
      <c r="H9">
        <v>1259.74</v>
      </c>
      <c r="I9">
        <v>1136.27</v>
      </c>
      <c r="J9">
        <v>-389.34</v>
      </c>
      <c r="K9">
        <v>741.32</v>
      </c>
      <c r="L9">
        <v>23.8</v>
      </c>
      <c r="M9">
        <v>75.599999999999994</v>
      </c>
      <c r="N9" t="s">
        <v>43</v>
      </c>
      <c r="O9" t="s">
        <v>44</v>
      </c>
      <c r="P9">
        <f t="shared" si="3"/>
        <v>2859.99</v>
      </c>
      <c r="Q9">
        <f t="shared" si="0"/>
        <v>1587.6499999999999</v>
      </c>
      <c r="R9">
        <f t="shared" si="1"/>
        <v>56.701785714285712</v>
      </c>
      <c r="S9">
        <f t="shared" si="2"/>
        <v>84.614285714285714</v>
      </c>
    </row>
    <row r="10" spans="1:19" x14ac:dyDescent="0.25">
      <c r="A10" t="s">
        <v>22</v>
      </c>
      <c r="B10" t="s">
        <v>23</v>
      </c>
      <c r="C10">
        <v>29</v>
      </c>
      <c r="D10">
        <v>1978.8</v>
      </c>
      <c r="E10">
        <v>27</v>
      </c>
      <c r="F10">
        <v>128</v>
      </c>
      <c r="G10">
        <v>0</v>
      </c>
      <c r="H10">
        <v>0</v>
      </c>
      <c r="I10">
        <v>949.03</v>
      </c>
      <c r="J10">
        <v>-393.1</v>
      </c>
      <c r="K10">
        <v>619.16999999999996</v>
      </c>
      <c r="L10">
        <v>24.65</v>
      </c>
      <c r="M10">
        <v>59.99</v>
      </c>
      <c r="N10" t="s">
        <v>43</v>
      </c>
      <c r="O10" t="s">
        <v>44</v>
      </c>
      <c r="P10">
        <f t="shared" si="3"/>
        <v>1259.74</v>
      </c>
      <c r="Q10">
        <f t="shared" si="0"/>
        <v>1259.74</v>
      </c>
      <c r="R10">
        <f t="shared" si="1"/>
        <v>43.439310344827589</v>
      </c>
      <c r="S10">
        <f t="shared" si="2"/>
        <v>68.234482758620686</v>
      </c>
    </row>
    <row r="11" spans="1:19" x14ac:dyDescent="0.25">
      <c r="A11" t="s">
        <v>24</v>
      </c>
      <c r="B11" t="s">
        <v>25</v>
      </c>
      <c r="C11">
        <v>30</v>
      </c>
      <c r="D11">
        <v>1776.4</v>
      </c>
      <c r="E11">
        <v>80</v>
      </c>
      <c r="F11">
        <v>112</v>
      </c>
      <c r="G11">
        <v>9.1</v>
      </c>
      <c r="H11">
        <v>0</v>
      </c>
      <c r="I11">
        <v>851.96</v>
      </c>
      <c r="J11">
        <v>-353.21</v>
      </c>
      <c r="K11">
        <v>555.84</v>
      </c>
      <c r="L11">
        <v>25.5</v>
      </c>
      <c r="M11">
        <v>54</v>
      </c>
      <c r="N11" t="s">
        <v>43</v>
      </c>
      <c r="O11" t="s">
        <v>44</v>
      </c>
      <c r="P11">
        <f t="shared" si="3"/>
        <v>1143.19</v>
      </c>
      <c r="Q11">
        <f t="shared" si="0"/>
        <v>1134.0900000000001</v>
      </c>
      <c r="R11">
        <f t="shared" si="1"/>
        <v>37.803000000000004</v>
      </c>
      <c r="S11">
        <f t="shared" si="2"/>
        <v>59.213333333333338</v>
      </c>
    </row>
    <row r="12" spans="1:19" x14ac:dyDescent="0.25">
      <c r="A12" t="s">
        <v>26</v>
      </c>
      <c r="B12" t="s">
        <v>27</v>
      </c>
      <c r="C12">
        <v>29</v>
      </c>
      <c r="D12">
        <v>1393.8</v>
      </c>
      <c r="E12">
        <v>0</v>
      </c>
      <c r="F12">
        <v>237</v>
      </c>
      <c r="G12">
        <v>0</v>
      </c>
      <c r="H12">
        <v>0</v>
      </c>
      <c r="I12">
        <v>668.47</v>
      </c>
      <c r="J12">
        <v>-262.52999999999997</v>
      </c>
      <c r="K12">
        <v>436.12</v>
      </c>
      <c r="L12">
        <v>24.65</v>
      </c>
      <c r="M12">
        <v>43.34</v>
      </c>
      <c r="N12" t="s">
        <v>43</v>
      </c>
      <c r="O12" t="s">
        <v>44</v>
      </c>
      <c r="P12">
        <f t="shared" si="3"/>
        <v>910.05000000000007</v>
      </c>
      <c r="Q12">
        <f t="shared" si="0"/>
        <v>910.05000000000007</v>
      </c>
      <c r="R12">
        <f t="shared" si="1"/>
        <v>31.381034482758622</v>
      </c>
      <c r="S12">
        <f t="shared" si="2"/>
        <v>48.062068965517241</v>
      </c>
    </row>
    <row r="13" spans="1:19" x14ac:dyDescent="0.25">
      <c r="A13" t="s">
        <v>28</v>
      </c>
      <c r="B13" t="s">
        <v>29</v>
      </c>
      <c r="C13">
        <v>32</v>
      </c>
      <c r="D13">
        <v>1500</v>
      </c>
      <c r="E13">
        <v>0</v>
      </c>
      <c r="F13">
        <v>318</v>
      </c>
      <c r="G13">
        <v>0</v>
      </c>
      <c r="H13">
        <v>0</v>
      </c>
      <c r="I13">
        <v>719.4</v>
      </c>
      <c r="J13">
        <v>-183.15</v>
      </c>
      <c r="K13">
        <v>469.35</v>
      </c>
      <c r="L13">
        <v>27.2</v>
      </c>
      <c r="M13">
        <v>51.64</v>
      </c>
      <c r="N13" t="s">
        <v>43</v>
      </c>
      <c r="O13" t="s">
        <v>44</v>
      </c>
      <c r="P13">
        <f t="shared" si="3"/>
        <v>1084.44</v>
      </c>
      <c r="Q13">
        <f t="shared" si="0"/>
        <v>1084.44</v>
      </c>
      <c r="R13">
        <f t="shared" si="1"/>
        <v>33.888750000000002</v>
      </c>
      <c r="S13">
        <f t="shared" si="2"/>
        <v>46.875</v>
      </c>
    </row>
    <row r="14" spans="1:19" x14ac:dyDescent="0.25">
      <c r="A14" t="s">
        <v>30</v>
      </c>
      <c r="B14" t="s">
        <v>31</v>
      </c>
      <c r="C14">
        <v>31</v>
      </c>
      <c r="D14">
        <v>1909.7</v>
      </c>
      <c r="E14">
        <v>132</v>
      </c>
      <c r="F14">
        <v>47</v>
      </c>
      <c r="G14">
        <v>18.350000000000001</v>
      </c>
      <c r="H14">
        <v>1927.12</v>
      </c>
      <c r="I14">
        <v>915.89</v>
      </c>
      <c r="J14">
        <v>-241.24</v>
      </c>
      <c r="K14">
        <v>597.54999999999995</v>
      </c>
      <c r="L14">
        <v>26.35</v>
      </c>
      <c r="M14">
        <v>64.930000000000007</v>
      </c>
      <c r="N14" t="s">
        <v>43</v>
      </c>
      <c r="O14" t="s">
        <v>44</v>
      </c>
      <c r="P14">
        <f t="shared" si="3"/>
        <v>3308.95</v>
      </c>
      <c r="Q14">
        <f t="shared" si="0"/>
        <v>1363.4799999999998</v>
      </c>
      <c r="R14">
        <f t="shared" si="1"/>
        <v>43.983225806451607</v>
      </c>
      <c r="S14">
        <f t="shared" si="2"/>
        <v>61.603225806451611</v>
      </c>
    </row>
    <row r="15" spans="1:19" x14ac:dyDescent="0.25">
      <c r="A15" t="s">
        <v>32</v>
      </c>
      <c r="B15" t="s">
        <v>33</v>
      </c>
      <c r="C15">
        <v>31</v>
      </c>
      <c r="D15">
        <v>2507.5</v>
      </c>
      <c r="E15">
        <v>339</v>
      </c>
      <c r="F15">
        <v>3</v>
      </c>
      <c r="G15">
        <v>0</v>
      </c>
      <c r="H15">
        <v>0</v>
      </c>
      <c r="I15">
        <v>1202.5999999999999</v>
      </c>
      <c r="J15">
        <v>-178.2</v>
      </c>
      <c r="K15">
        <v>784.6</v>
      </c>
      <c r="L15">
        <v>26.35</v>
      </c>
      <c r="M15">
        <v>91.77</v>
      </c>
      <c r="N15" t="s">
        <v>43</v>
      </c>
      <c r="O15" t="s">
        <v>44</v>
      </c>
      <c r="P15">
        <f t="shared" si="3"/>
        <v>1927.12</v>
      </c>
      <c r="Q15">
        <f t="shared" si="0"/>
        <v>1927.12</v>
      </c>
      <c r="R15">
        <f t="shared" si="1"/>
        <v>62.16516129032258</v>
      </c>
      <c r="S15">
        <f t="shared" si="2"/>
        <v>80.887096774193552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Usage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Brockwell</cp:lastModifiedBy>
  <dcterms:modified xsi:type="dcterms:W3CDTF">2026-07-02T20:36:42Z</dcterms:modified>
</cp:coreProperties>
</file>